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Máy tính\VTI\"/>
    </mc:Choice>
  </mc:AlternateContent>
  <xr:revisionPtr revIDLastSave="0" documentId="13_ncr:9_{B6A95D46-4104-4C1E-A422-5FD5DCBDE6D5}" xr6:coauthVersionLast="47" xr6:coauthVersionMax="47" xr10:uidLastSave="{00000000-0000-0000-0000-000000000000}"/>
  <bookViews>
    <workbookView xWindow="-96" yWindow="0" windowWidth="11712" windowHeight="12336" firstSheet="1" activeTab="1" xr2:uid="{67FDBBE9-B6E6-4E37-A276-52861D604D25}"/>
  </bookViews>
  <sheets>
    <sheet name="Sheet1" sheetId="1" r:id="rId1"/>
    <sheet name="Sheet9" sheetId="9" r:id="rId2"/>
    <sheet name="Refined Data" sheetId="2" r:id="rId3"/>
    <sheet name="Dashboard" sheetId="3" r:id="rId4"/>
    <sheet name="Analyst" sheetId="6" r:id="rId5"/>
  </sheets>
  <definedNames>
    <definedName name="ExternalData_1" localSheetId="2" hidden="1">'Refined Data'!$A$1:$M$842</definedName>
    <definedName name="PVData">'Refined Data'!$A:$M</definedName>
  </definedNames>
  <calcPr calcId="181029" fullCalcOnLoad="1"/>
  <pivotCaches>
    <pivotCache cacheId="20" r:id="rId6"/>
    <pivotCache cacheId="24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9" l="1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5" i="9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O10" i="2"/>
  <c r="O14" i="2"/>
  <c r="O15" i="2"/>
  <c r="O16" i="2"/>
  <c r="O23" i="2"/>
  <c r="O24" i="2"/>
  <c r="O27" i="2"/>
  <c r="O34" i="2"/>
  <c r="O35" i="2"/>
  <c r="O38" i="2"/>
  <c r="O44" i="2"/>
  <c r="O53" i="2"/>
  <c r="O54" i="2"/>
  <c r="O64" i="2"/>
  <c r="O65" i="2"/>
  <c r="O66" i="2"/>
  <c r="O68" i="2"/>
  <c r="O73" i="2"/>
  <c r="O77" i="2"/>
  <c r="O78" i="2"/>
  <c r="O79" i="2"/>
  <c r="O84" i="2"/>
  <c r="O98" i="2"/>
  <c r="O99" i="2"/>
  <c r="O122" i="2"/>
  <c r="O132" i="2"/>
  <c r="O133" i="2"/>
  <c r="O136" i="2"/>
  <c r="O146" i="2"/>
  <c r="O155" i="2"/>
  <c r="O156" i="2"/>
  <c r="O160" i="2"/>
  <c r="O177" i="2"/>
  <c r="O187" i="2"/>
  <c r="O191" i="2"/>
  <c r="O195" i="2"/>
  <c r="O196" i="2"/>
  <c r="O197" i="2"/>
  <c r="O201" i="2"/>
  <c r="O232" i="2"/>
  <c r="O234" i="2"/>
  <c r="O247" i="2"/>
  <c r="O249" i="2"/>
  <c r="O252" i="2"/>
  <c r="O255" i="2"/>
  <c r="O263" i="2"/>
  <c r="O273" i="2"/>
  <c r="O274" i="2"/>
  <c r="O290" i="2"/>
  <c r="O298" i="2"/>
  <c r="O299" i="2"/>
  <c r="O307" i="2"/>
  <c r="O308" i="2"/>
  <c r="O317" i="2"/>
  <c r="O333" i="2"/>
  <c r="O338" i="2"/>
  <c r="O341" i="2"/>
  <c r="O349" i="2"/>
  <c r="O350" i="2"/>
  <c r="O358" i="2"/>
  <c r="O359" i="2"/>
  <c r="O377" i="2"/>
  <c r="O379" i="2"/>
  <c r="O389" i="2"/>
  <c r="O392" i="2"/>
  <c r="O402" i="2"/>
  <c r="O412" i="2"/>
  <c r="O414" i="2"/>
  <c r="O426" i="2"/>
  <c r="O439" i="2"/>
  <c r="O454" i="2"/>
  <c r="O459" i="2"/>
  <c r="O462" i="2"/>
  <c r="O464" i="2"/>
  <c r="O466" i="2"/>
  <c r="O474" i="2"/>
  <c r="O475" i="2"/>
  <c r="O497" i="2"/>
  <c r="O499" i="2"/>
  <c r="O504" i="2"/>
  <c r="O513" i="2"/>
  <c r="O521" i="2"/>
  <c r="O530" i="2"/>
  <c r="O533" i="2"/>
  <c r="O534" i="2"/>
  <c r="O535" i="2"/>
  <c r="O536" i="2"/>
  <c r="O548" i="2"/>
  <c r="O549" i="2"/>
  <c r="O553" i="2"/>
  <c r="O556" i="2"/>
  <c r="O558" i="2"/>
  <c r="O567" i="2"/>
  <c r="O572" i="2"/>
  <c r="O576" i="2"/>
  <c r="O591" i="2"/>
  <c r="O600" i="2"/>
  <c r="O610" i="2"/>
  <c r="O621" i="2"/>
  <c r="O622" i="2"/>
  <c r="O633" i="2"/>
  <c r="O636" i="2"/>
  <c r="O641" i="2"/>
  <c r="O653" i="2"/>
  <c r="O656" i="2"/>
  <c r="O658" i="2"/>
  <c r="O663" i="2"/>
  <c r="O666" i="2"/>
  <c r="O667" i="2"/>
  <c r="O695" i="2"/>
  <c r="O706" i="2"/>
  <c r="O712" i="2"/>
  <c r="O719" i="2"/>
  <c r="O721" i="2"/>
  <c r="O724" i="2"/>
  <c r="O726" i="2"/>
  <c r="O729" i="2"/>
  <c r="O734" i="2"/>
  <c r="O757" i="2"/>
  <c r="O762" i="2"/>
  <c r="O763" i="2"/>
  <c r="O767" i="2"/>
  <c r="O768" i="2"/>
  <c r="O769" i="2"/>
  <c r="O776" i="2"/>
  <c r="O786" i="2"/>
  <c r="O793" i="2"/>
  <c r="O798" i="2"/>
  <c r="O806" i="2"/>
  <c r="O807" i="2"/>
  <c r="O808" i="2"/>
  <c r="O810" i="2"/>
  <c r="O817" i="2"/>
  <c r="O818" i="2"/>
  <c r="O826" i="2"/>
  <c r="O830" i="2"/>
  <c r="O836" i="2"/>
  <c r="O837" i="2"/>
  <c r="N2" i="2"/>
  <c r="O2" i="2" s="1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N11" i="2"/>
  <c r="O11" i="2" s="1"/>
  <c r="N12" i="2"/>
  <c r="O12" i="2" s="1"/>
  <c r="N13" i="2"/>
  <c r="O13" i="2" s="1"/>
  <c r="N14" i="2"/>
  <c r="N15" i="2"/>
  <c r="N16" i="2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N24" i="2"/>
  <c r="N25" i="2"/>
  <c r="O25" i="2" s="1"/>
  <c r="N26" i="2"/>
  <c r="O26" i="2" s="1"/>
  <c r="N27" i="2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N35" i="2"/>
  <c r="N36" i="2"/>
  <c r="O36" i="2" s="1"/>
  <c r="N37" i="2"/>
  <c r="O37" i="2" s="1"/>
  <c r="N38" i="2"/>
  <c r="N39" i="2"/>
  <c r="O39" i="2" s="1"/>
  <c r="N40" i="2"/>
  <c r="O40" i="2" s="1"/>
  <c r="N41" i="2"/>
  <c r="O41" i="2" s="1"/>
  <c r="N42" i="2"/>
  <c r="O42" i="2" s="1"/>
  <c r="N43" i="2"/>
  <c r="O43" i="2" s="1"/>
  <c r="N44" i="2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N54" i="2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N65" i="2"/>
  <c r="N66" i="2"/>
  <c r="N67" i="2"/>
  <c r="O67" i="2" s="1"/>
  <c r="N68" i="2"/>
  <c r="N69" i="2"/>
  <c r="O69" i="2" s="1"/>
  <c r="N70" i="2"/>
  <c r="O70" i="2" s="1"/>
  <c r="N71" i="2"/>
  <c r="O71" i="2" s="1"/>
  <c r="N72" i="2"/>
  <c r="O72" i="2" s="1"/>
  <c r="N73" i="2"/>
  <c r="N74" i="2"/>
  <c r="O74" i="2" s="1"/>
  <c r="N75" i="2"/>
  <c r="O75" i="2" s="1"/>
  <c r="N76" i="2"/>
  <c r="O76" i="2" s="1"/>
  <c r="N77" i="2"/>
  <c r="N78" i="2"/>
  <c r="N79" i="2"/>
  <c r="N80" i="2"/>
  <c r="O80" i="2" s="1"/>
  <c r="N81" i="2"/>
  <c r="O81" i="2" s="1"/>
  <c r="N82" i="2"/>
  <c r="O82" i="2" s="1"/>
  <c r="N83" i="2"/>
  <c r="O83" i="2" s="1"/>
  <c r="N84" i="2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N99" i="2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N133" i="2"/>
  <c r="N134" i="2"/>
  <c r="O134" i="2" s="1"/>
  <c r="N135" i="2"/>
  <c r="O135" i="2" s="1"/>
  <c r="N136" i="2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N156" i="2"/>
  <c r="N157" i="2"/>
  <c r="O157" i="2" s="1"/>
  <c r="N158" i="2"/>
  <c r="O158" i="2" s="1"/>
  <c r="N159" i="2"/>
  <c r="O159" i="2" s="1"/>
  <c r="N160" i="2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N188" i="2"/>
  <c r="O188" i="2" s="1"/>
  <c r="N189" i="2"/>
  <c r="O189" i="2" s="1"/>
  <c r="N190" i="2"/>
  <c r="O190" i="2" s="1"/>
  <c r="N191" i="2"/>
  <c r="N192" i="2"/>
  <c r="O192" i="2" s="1"/>
  <c r="N193" i="2"/>
  <c r="O193" i="2" s="1"/>
  <c r="N194" i="2"/>
  <c r="O194" i="2" s="1"/>
  <c r="N195" i="2"/>
  <c r="N196" i="2"/>
  <c r="N197" i="2"/>
  <c r="N198" i="2"/>
  <c r="O198" i="2" s="1"/>
  <c r="N199" i="2"/>
  <c r="O199" i="2" s="1"/>
  <c r="N200" i="2"/>
  <c r="O200" i="2" s="1"/>
  <c r="N201" i="2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N233" i="2"/>
  <c r="O233" i="2" s="1"/>
  <c r="N234" i="2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N248" i="2"/>
  <c r="O248" i="2" s="1"/>
  <c r="N249" i="2"/>
  <c r="N250" i="2"/>
  <c r="O250" i="2" s="1"/>
  <c r="N251" i="2"/>
  <c r="O251" i="2" s="1"/>
  <c r="N252" i="2"/>
  <c r="N253" i="2"/>
  <c r="O253" i="2" s="1"/>
  <c r="N254" i="2"/>
  <c r="O254" i="2" s="1"/>
  <c r="N255" i="2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N274" i="2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N299" i="2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N308" i="2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N334" i="2"/>
  <c r="O334" i="2" s="1"/>
  <c r="N335" i="2"/>
  <c r="O335" i="2" s="1"/>
  <c r="N336" i="2"/>
  <c r="O336" i="2" s="1"/>
  <c r="N337" i="2"/>
  <c r="O337" i="2" s="1"/>
  <c r="N338" i="2"/>
  <c r="N339" i="2"/>
  <c r="O339" i="2" s="1"/>
  <c r="N340" i="2"/>
  <c r="O340" i="2" s="1"/>
  <c r="N341" i="2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N350" i="2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N359" i="2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N378" i="2"/>
  <c r="O378" i="2" s="1"/>
  <c r="N379" i="2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N390" i="2"/>
  <c r="O390" i="2" s="1"/>
  <c r="N391" i="2"/>
  <c r="O391" i="2" s="1"/>
  <c r="N392" i="2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N413" i="2"/>
  <c r="O413" i="2" s="1"/>
  <c r="N414" i="2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N455" i="2"/>
  <c r="O455" i="2" s="1"/>
  <c r="N456" i="2"/>
  <c r="O456" i="2" s="1"/>
  <c r="N457" i="2"/>
  <c r="O457" i="2" s="1"/>
  <c r="N458" i="2"/>
  <c r="O458" i="2" s="1"/>
  <c r="N459" i="2"/>
  <c r="N460" i="2"/>
  <c r="O460" i="2" s="1"/>
  <c r="N461" i="2"/>
  <c r="O461" i="2" s="1"/>
  <c r="N462" i="2"/>
  <c r="N463" i="2"/>
  <c r="O463" i="2" s="1"/>
  <c r="N464" i="2"/>
  <c r="N465" i="2"/>
  <c r="O465" i="2" s="1"/>
  <c r="N466" i="2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N475" i="2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N498" i="2"/>
  <c r="O498" i="2" s="1"/>
  <c r="N499" i="2"/>
  <c r="N500" i="2"/>
  <c r="O500" i="2" s="1"/>
  <c r="N501" i="2"/>
  <c r="O501" i="2" s="1"/>
  <c r="N502" i="2"/>
  <c r="O502" i="2" s="1"/>
  <c r="N503" i="2"/>
  <c r="O503" i="2" s="1"/>
  <c r="N504" i="2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N531" i="2"/>
  <c r="O531" i="2" s="1"/>
  <c r="N532" i="2"/>
  <c r="O532" i="2" s="1"/>
  <c r="N533" i="2"/>
  <c r="N534" i="2"/>
  <c r="N535" i="2"/>
  <c r="N536" i="2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N549" i="2"/>
  <c r="N550" i="2"/>
  <c r="O550" i="2" s="1"/>
  <c r="N551" i="2"/>
  <c r="O551" i="2" s="1"/>
  <c r="N552" i="2"/>
  <c r="O552" i="2" s="1"/>
  <c r="N553" i="2"/>
  <c r="N554" i="2"/>
  <c r="O554" i="2" s="1"/>
  <c r="N555" i="2"/>
  <c r="O555" i="2" s="1"/>
  <c r="N556" i="2"/>
  <c r="N557" i="2"/>
  <c r="O557" i="2" s="1"/>
  <c r="N558" i="2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N568" i="2"/>
  <c r="O568" i="2" s="1"/>
  <c r="N569" i="2"/>
  <c r="O569" i="2" s="1"/>
  <c r="N570" i="2"/>
  <c r="O570" i="2" s="1"/>
  <c r="N571" i="2"/>
  <c r="O571" i="2" s="1"/>
  <c r="N572" i="2"/>
  <c r="N573" i="2"/>
  <c r="O573" i="2" s="1"/>
  <c r="N574" i="2"/>
  <c r="O574" i="2" s="1"/>
  <c r="N575" i="2"/>
  <c r="O575" i="2" s="1"/>
  <c r="N576" i="2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N622" i="2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N634" i="2"/>
  <c r="O634" i="2" s="1"/>
  <c r="N635" i="2"/>
  <c r="O635" i="2" s="1"/>
  <c r="N636" i="2"/>
  <c r="N637" i="2"/>
  <c r="O637" i="2" s="1"/>
  <c r="N638" i="2"/>
  <c r="O638" i="2" s="1"/>
  <c r="N639" i="2"/>
  <c r="O639" i="2" s="1"/>
  <c r="N640" i="2"/>
  <c r="O640" i="2" s="1"/>
  <c r="N641" i="2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N654" i="2"/>
  <c r="O654" i="2" s="1"/>
  <c r="N655" i="2"/>
  <c r="O655" i="2" s="1"/>
  <c r="N656" i="2"/>
  <c r="N657" i="2"/>
  <c r="O657" i="2" s="1"/>
  <c r="N658" i="2"/>
  <c r="N659" i="2"/>
  <c r="O659" i="2" s="1"/>
  <c r="N660" i="2"/>
  <c r="O660" i="2" s="1"/>
  <c r="N661" i="2"/>
  <c r="O661" i="2" s="1"/>
  <c r="N662" i="2"/>
  <c r="O662" i="2" s="1"/>
  <c r="N663" i="2"/>
  <c r="N664" i="2"/>
  <c r="O664" i="2" s="1"/>
  <c r="N665" i="2"/>
  <c r="O665" i="2" s="1"/>
  <c r="N666" i="2"/>
  <c r="N667" i="2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N720" i="2"/>
  <c r="O720" i="2" s="1"/>
  <c r="N721" i="2"/>
  <c r="N722" i="2"/>
  <c r="O722" i="2" s="1"/>
  <c r="N723" i="2"/>
  <c r="O723" i="2" s="1"/>
  <c r="N724" i="2"/>
  <c r="N725" i="2"/>
  <c r="O725" i="2" s="1"/>
  <c r="N726" i="2"/>
  <c r="N727" i="2"/>
  <c r="O727" i="2" s="1"/>
  <c r="N728" i="2"/>
  <c r="O728" i="2" s="1"/>
  <c r="N729" i="2"/>
  <c r="N730" i="2"/>
  <c r="O730" i="2" s="1"/>
  <c r="N731" i="2"/>
  <c r="O731" i="2" s="1"/>
  <c r="N732" i="2"/>
  <c r="O732" i="2" s="1"/>
  <c r="N733" i="2"/>
  <c r="O733" i="2" s="1"/>
  <c r="N734" i="2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N758" i="2"/>
  <c r="O758" i="2" s="1"/>
  <c r="N759" i="2"/>
  <c r="O759" i="2" s="1"/>
  <c r="N760" i="2"/>
  <c r="O760" i="2" s="1"/>
  <c r="N761" i="2"/>
  <c r="O761" i="2" s="1"/>
  <c r="N762" i="2"/>
  <c r="N763" i="2"/>
  <c r="N764" i="2"/>
  <c r="O764" i="2" s="1"/>
  <c r="N765" i="2"/>
  <c r="O765" i="2" s="1"/>
  <c r="N766" i="2"/>
  <c r="O766" i="2" s="1"/>
  <c r="N767" i="2"/>
  <c r="N768" i="2"/>
  <c r="N769" i="2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784" i="2"/>
  <c r="O784" i="2" s="1"/>
  <c r="N785" i="2"/>
  <c r="O785" i="2" s="1"/>
  <c r="N786" i="2"/>
  <c r="N787" i="2"/>
  <c r="O787" i="2" s="1"/>
  <c r="N788" i="2"/>
  <c r="O788" i="2" s="1"/>
  <c r="N789" i="2"/>
  <c r="O789" i="2" s="1"/>
  <c r="N790" i="2"/>
  <c r="O790" i="2" s="1"/>
  <c r="N791" i="2"/>
  <c r="O791" i="2" s="1"/>
  <c r="N792" i="2"/>
  <c r="O792" i="2" s="1"/>
  <c r="N793" i="2"/>
  <c r="N794" i="2"/>
  <c r="O794" i="2" s="1"/>
  <c r="N795" i="2"/>
  <c r="O795" i="2" s="1"/>
  <c r="N796" i="2"/>
  <c r="O796" i="2" s="1"/>
  <c r="N797" i="2"/>
  <c r="O797" i="2" s="1"/>
  <c r="N798" i="2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O805" i="2" s="1"/>
  <c r="N806" i="2"/>
  <c r="N807" i="2"/>
  <c r="N808" i="2"/>
  <c r="N809" i="2"/>
  <c r="O809" i="2" s="1"/>
  <c r="N810" i="2"/>
  <c r="N811" i="2"/>
  <c r="O811" i="2" s="1"/>
  <c r="N812" i="2"/>
  <c r="O812" i="2" s="1"/>
  <c r="N813" i="2"/>
  <c r="O813" i="2" s="1"/>
  <c r="N814" i="2"/>
  <c r="O814" i="2" s="1"/>
  <c r="N815" i="2"/>
  <c r="O815" i="2" s="1"/>
  <c r="N816" i="2"/>
  <c r="O816" i="2" s="1"/>
  <c r="N817" i="2"/>
  <c r="N818" i="2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O824" i="2" s="1"/>
  <c r="N825" i="2"/>
  <c r="O825" i="2" s="1"/>
  <c r="N826" i="2"/>
  <c r="N827" i="2"/>
  <c r="O827" i="2" s="1"/>
  <c r="N828" i="2"/>
  <c r="O828" i="2" s="1"/>
  <c r="N829" i="2"/>
  <c r="O829" i="2" s="1"/>
  <c r="N830" i="2"/>
  <c r="N831" i="2"/>
  <c r="O831" i="2" s="1"/>
  <c r="N832" i="2"/>
  <c r="O832" i="2" s="1"/>
  <c r="N833" i="2"/>
  <c r="O833" i="2" s="1"/>
  <c r="N834" i="2"/>
  <c r="O834" i="2" s="1"/>
  <c r="N835" i="2"/>
  <c r="O835" i="2" s="1"/>
  <c r="N836" i="2"/>
  <c r="N837" i="2"/>
  <c r="N838" i="2"/>
  <c r="O838" i="2" s="1"/>
  <c r="N839" i="2"/>
  <c r="O839" i="2" s="1"/>
  <c r="N840" i="2"/>
  <c r="O840" i="2" s="1"/>
  <c r="N841" i="2"/>
  <c r="O841" i="2" s="1"/>
  <c r="N842" i="2"/>
  <c r="O84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91BF4-7203-48B8-A1B5-9F7D8489967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<sst xmlns="http://schemas.openxmlformats.org/spreadsheetml/2006/main" count="11986" uniqueCount="1457">
  <si>
    <t>STT</t>
  </si>
  <si>
    <t>Mã</t>
  </si>
  <si>
    <t>Hàng</t>
  </si>
  <si>
    <t>ĐVT</t>
  </si>
  <si>
    <t>Tiền Nhập</t>
  </si>
  <si>
    <t>SL Xuất KM</t>
  </si>
  <si>
    <t>SL Xuất</t>
  </si>
  <si>
    <t>Tiền Xuất</t>
  </si>
  <si>
    <t>Doanh Thu</t>
  </si>
  <si>
    <t>Ngày Xuất</t>
  </si>
  <si>
    <t>Khách hàng</t>
  </si>
  <si>
    <t>KV100</t>
  </si>
  <si>
    <t>Khăn Napkin Toply 100 tờ x 48 gói</t>
  </si>
  <si>
    <t>Gói</t>
  </si>
  <si>
    <t>691200</t>
  </si>
  <si>
    <t>0</t>
  </si>
  <si>
    <t>96</t>
  </si>
  <si>
    <t>1036800</t>
  </si>
  <si>
    <t>345600</t>
  </si>
  <si>
    <t>01-09-2023</t>
  </si>
  <si>
    <t>Xuân Bình - M.Hiệp</t>
  </si>
  <si>
    <t>TLM</t>
  </si>
  <si>
    <t>Tẩy toilet Liên Minh (nguyên liệu nhập khẩu) x 12 chai</t>
  </si>
  <si>
    <t>Chai</t>
  </si>
  <si>
    <t>800040</t>
  </si>
  <si>
    <t>60</t>
  </si>
  <si>
    <t>1100040</t>
  </si>
  <si>
    <t>300000</t>
  </si>
  <si>
    <t>NG3600</t>
  </si>
  <si>
    <t>Nước giặt Kimono 6 in 1 (tím) x 3,6kg x 4 bình</t>
  </si>
  <si>
    <t>Bình</t>
  </si>
  <si>
    <t>365000</t>
  </si>
  <si>
    <t>4</t>
  </si>
  <si>
    <t>480000</t>
  </si>
  <si>
    <t>115000</t>
  </si>
  <si>
    <t>Bé Bắp - N.Mỹ</t>
  </si>
  <si>
    <t>KV1002</t>
  </si>
  <si>
    <t>Khăn Napkin TiOne nâu 100 tờ x 30 gói</t>
  </si>
  <si>
    <t>1296000</t>
  </si>
  <si>
    <t>180</t>
  </si>
  <si>
    <t>1692000</t>
  </si>
  <si>
    <t>396000</t>
  </si>
  <si>
    <t>Căn tin BV Phổi( Chị Duyên) - BV phổi</t>
  </si>
  <si>
    <t>BCTEM32</t>
  </si>
  <si>
    <t>BCTE N32 (xe) x 12 x 30 hộp</t>
  </si>
  <si>
    <t>Cây</t>
  </si>
  <si>
    <t>46800</t>
  </si>
  <si>
    <t>6</t>
  </si>
  <si>
    <t>66000</t>
  </si>
  <si>
    <t>19200</t>
  </si>
  <si>
    <t>MP Nhanh - M.Hiệp</t>
  </si>
  <si>
    <t>BCTEM35</t>
  </si>
  <si>
    <t>BCTE N35 (búp bê) x 12 x 30 hộp</t>
  </si>
  <si>
    <t>BCTEN36</t>
  </si>
  <si>
    <t>BCTE N36 (đồng hồ) x 18 x 20 hộp</t>
  </si>
  <si>
    <t>KU100</t>
  </si>
  <si>
    <t>Khăn ướt Begin 100 tờ x 20 gói</t>
  </si>
  <si>
    <t>340000</t>
  </si>
  <si>
    <t>5</t>
  </si>
  <si>
    <t>20</t>
  </si>
  <si>
    <t>140000</t>
  </si>
  <si>
    <t>KV1003</t>
  </si>
  <si>
    <t>Khăn vuông TiOne xanh 100 tờ X 30 gói</t>
  </si>
  <si>
    <t>10</t>
  </si>
  <si>
    <t>-90000</t>
  </si>
  <si>
    <t>04-09-2023</t>
  </si>
  <si>
    <t>Chị Nga - HCL</t>
  </si>
  <si>
    <t>KV320</t>
  </si>
  <si>
    <t>Khăn Napkin Fairy 320 x 100 tờ x 48 gói</t>
  </si>
  <si>
    <t>528000</t>
  </si>
  <si>
    <t>48</t>
  </si>
  <si>
    <t>576000</t>
  </si>
  <si>
    <t>48000</t>
  </si>
  <si>
    <t>1056000</t>
  </si>
  <si>
    <t>960000</t>
  </si>
  <si>
    <t>-96000</t>
  </si>
  <si>
    <t>Mỹ Nhân - N.Mỹ</t>
  </si>
  <si>
    <t>230400</t>
  </si>
  <si>
    <t>Điện thoại Tuấn - N.Mỹ</t>
  </si>
  <si>
    <t>-60000</t>
  </si>
  <si>
    <t>BG1000</t>
  </si>
  <si>
    <t>Bột giặt 107 Thái 100% - 1kg x 12 gói/thùng</t>
  </si>
  <si>
    <t>4 Điều - M.Trắng</t>
  </si>
  <si>
    <t>XV20</t>
  </si>
  <si>
    <t>Nước xả vải Hygiene 20ml x 30 dây</t>
  </si>
  <si>
    <t>Dây</t>
  </si>
  <si>
    <t>A1K15</t>
  </si>
  <si>
    <t>Kẹo bạc hà (chanh muối) Himalaya 15g x 12 gói x 12 hộp</t>
  </si>
  <si>
    <t>Hộp</t>
  </si>
  <si>
    <t>120756</t>
  </si>
  <si>
    <t>2</t>
  </si>
  <si>
    <t>112000</t>
  </si>
  <si>
    <t>-8756</t>
  </si>
  <si>
    <t>TT Hải Hà - HCL</t>
  </si>
  <si>
    <t>KDL01</t>
  </si>
  <si>
    <t>Khăn giấy bỏ túi Paseo 9 tờ x 6 gói/cây x 40 cây</t>
  </si>
  <si>
    <t>39312</t>
  </si>
  <si>
    <t>46000</t>
  </si>
  <si>
    <t>6688</t>
  </si>
  <si>
    <t>TBTE20003</t>
  </si>
  <si>
    <t>Tăm bông thân giấy TE hộp chữ nhật 200 cây x 12 hộp</t>
  </si>
  <si>
    <t>231000</t>
  </si>
  <si>
    <t>12</t>
  </si>
  <si>
    <t>240000</t>
  </si>
  <si>
    <t>9000</t>
  </si>
  <si>
    <t>DCTD708</t>
  </si>
  <si>
    <t>Dao cạo Dorco vàng TD 708 (12 cây x 40 vỉ)</t>
  </si>
  <si>
    <t>Vỉ</t>
  </si>
  <si>
    <t>52800</t>
  </si>
  <si>
    <t>72000</t>
  </si>
  <si>
    <t>TH Trương Vy - A.Bình 2</t>
  </si>
  <si>
    <t>KU250</t>
  </si>
  <si>
    <t>Khăn ướt TE Villa 250g x 30 gói</t>
  </si>
  <si>
    <t>77000</t>
  </si>
  <si>
    <t>100000</t>
  </si>
  <si>
    <t>23000</t>
  </si>
  <si>
    <t>KKDN300</t>
  </si>
  <si>
    <t>Khăn khô đa năng 300gr x 30 gói</t>
  </si>
  <si>
    <t>792000</t>
  </si>
  <si>
    <t>Thế Giới Con Cưng - HCL</t>
  </si>
  <si>
    <t>GC615</t>
  </si>
  <si>
    <t>GVS Phú An 6 cuộn x 12 cây</t>
  </si>
  <si>
    <t>Hải Vân - HCL (Thanh Mỹ)</t>
  </si>
  <si>
    <t>KMQCT</t>
  </si>
  <si>
    <t>Quạt SENKO 1216 chân thấp</t>
  </si>
  <si>
    <t>1</t>
  </si>
  <si>
    <t>-233000</t>
  </si>
  <si>
    <t>Chị Tuyết - HCL (N.Mỹ)</t>
  </si>
  <si>
    <t>KU1506</t>
  </si>
  <si>
    <t>Khăn ướt Lovely (khổ lớn) 150g x 30 gói</t>
  </si>
  <si>
    <t>570000</t>
  </si>
  <si>
    <t>1080000</t>
  </si>
  <si>
    <t>510000</t>
  </si>
  <si>
    <t>KV1011</t>
  </si>
  <si>
    <t>Khăn Napkin EMos x 30 gói</t>
  </si>
  <si>
    <t>200010</t>
  </si>
  <si>
    <t>30</t>
  </si>
  <si>
    <t>39990</t>
  </si>
  <si>
    <t>HTF3000</t>
  </si>
  <si>
    <t>Nước giặt Fineline tím 3L x 4 bình</t>
  </si>
  <si>
    <t>520000</t>
  </si>
  <si>
    <t>180000</t>
  </si>
  <si>
    <t>05-09-2023</t>
  </si>
  <si>
    <t>220500</t>
  </si>
  <si>
    <t>20490</t>
  </si>
  <si>
    <t>06-09-2023</t>
  </si>
  <si>
    <t>Thanh Nhàn - N.Mỹ</t>
  </si>
  <si>
    <t>CG50</t>
  </si>
  <si>
    <t>Chân gà cay ăn liền ZL FOOD loại 50g x 30 x 7 túi</t>
  </si>
  <si>
    <t>Cái</t>
  </si>
  <si>
    <t>165000</t>
  </si>
  <si>
    <t>195000</t>
  </si>
  <si>
    <t>30000</t>
  </si>
  <si>
    <t>07-09-2023</t>
  </si>
  <si>
    <t>Hồng Hạnh - P.Mỹ (cầu Trâu Trắng)</t>
  </si>
  <si>
    <t>CG501</t>
  </si>
  <si>
    <t>Chân gà cay ăn liền ZL FOOD Acao 50g x 30 x 7 túi</t>
  </si>
  <si>
    <t>NV004</t>
  </si>
  <si>
    <t>Núm vú cổ hẹp size XL</t>
  </si>
  <si>
    <t>250000</t>
  </si>
  <si>
    <t>10000</t>
  </si>
  <si>
    <t>NV101</t>
  </si>
  <si>
    <t>Núm vú cổ rộng size S</t>
  </si>
  <si>
    <t>GC606</t>
  </si>
  <si>
    <t>GVS TiOne Gấu 6 cuộn x 12 cây</t>
  </si>
  <si>
    <t>11-09-2023</t>
  </si>
  <si>
    <t>TT Hoàng Yến - M.Long</t>
  </si>
  <si>
    <t>GC609</t>
  </si>
  <si>
    <t>GVS Panda 6 cuộn x 12 cây x 10kg</t>
  </si>
  <si>
    <t>HM601</t>
  </si>
  <si>
    <t>HIMA DAILY (new) 6 lọ x 6 hộp</t>
  </si>
  <si>
    <t>768000</t>
  </si>
  <si>
    <t>192000</t>
  </si>
  <si>
    <t>NG5000</t>
  </si>
  <si>
    <t>Nước giặt Kimono 6 in 1 vuông (tím) 5Kg x 4 bình</t>
  </si>
  <si>
    <t>-600000</t>
  </si>
  <si>
    <t>Minh Hiền (chị Ớ) - B.H.Trung</t>
  </si>
  <si>
    <t>NG50002</t>
  </si>
  <si>
    <t>Nước giặt Kimono 6 in 1 vuông (đen) 5kg x 4 bình</t>
  </si>
  <si>
    <t>920000</t>
  </si>
  <si>
    <t>8</t>
  </si>
  <si>
    <t>1800000</t>
  </si>
  <si>
    <t>880000</t>
  </si>
  <si>
    <t>TNS1</t>
  </si>
  <si>
    <t>Tẩy toilet Nam Sơn NK 100% 1L x 12 chai</t>
  </si>
  <si>
    <t>190008</t>
  </si>
  <si>
    <t>276000</t>
  </si>
  <si>
    <t>85992</t>
  </si>
  <si>
    <t>Chị Xuyên - M.Long</t>
  </si>
  <si>
    <t>532000</t>
  </si>
  <si>
    <t>186400</t>
  </si>
  <si>
    <t>Chị Linh (bán bọc) - HCL</t>
  </si>
  <si>
    <t>TB10003</t>
  </si>
  <si>
    <t>Tăm bông thân trúc túi 100 cây x 24 túi</t>
  </si>
  <si>
    <t>Túi</t>
  </si>
  <si>
    <t>735000</t>
  </si>
  <si>
    <t>24</t>
  </si>
  <si>
    <t>120</t>
  </si>
  <si>
    <t>750000</t>
  </si>
  <si>
    <t>15000</t>
  </si>
  <si>
    <t>TT Ngọc Hạnh - Đ.Mối</t>
  </si>
  <si>
    <t>JA1KG</t>
  </si>
  <si>
    <t>Javel 1L x 12 chai</t>
  </si>
  <si>
    <t>90000</t>
  </si>
  <si>
    <t>132000</t>
  </si>
  <si>
    <t>42000</t>
  </si>
  <si>
    <t>TH Trinh (Mỹ Trinh) - HCL (cuối chợ)</t>
  </si>
  <si>
    <t>JA2KG</t>
  </si>
  <si>
    <t>Javel 2L x 6 chai</t>
  </si>
  <si>
    <t>BT001</t>
  </si>
  <si>
    <t>Bông tắm không mút cao cấp x 12 cái</t>
  </si>
  <si>
    <t>84000</t>
  </si>
  <si>
    <t>TT Nguyễn Thị Định - M.Xương</t>
  </si>
  <si>
    <t>GC605</t>
  </si>
  <si>
    <t>GVS Ruby 6 cuộn Mèo (không lõi) x 10 cây</t>
  </si>
  <si>
    <t>290000</t>
  </si>
  <si>
    <t>355000</t>
  </si>
  <si>
    <t>65000</t>
  </si>
  <si>
    <t>HTCTBC180</t>
  </si>
  <si>
    <t>Cốc thả bồn cầu 180g x 24 hũ</t>
  </si>
  <si>
    <t>Hủ</t>
  </si>
  <si>
    <t>52500</t>
  </si>
  <si>
    <t>60000</t>
  </si>
  <si>
    <t>7500</t>
  </si>
  <si>
    <t>KU102</t>
  </si>
  <si>
    <t>Khăn ướt không mùi cao cấp (AT-12) x 24 gói</t>
  </si>
  <si>
    <t>120835</t>
  </si>
  <si>
    <t>125000</t>
  </si>
  <si>
    <t>4165</t>
  </si>
  <si>
    <t>TC1800</t>
  </si>
  <si>
    <t>Thông cống 1,8L x 10 chai</t>
  </si>
  <si>
    <t>59000</t>
  </si>
  <si>
    <t>80000</t>
  </si>
  <si>
    <t>21000</t>
  </si>
  <si>
    <t>TB20002</t>
  </si>
  <si>
    <t>Tăm bông thân nhựa NL hộp tròn 200 cây x 12 hộp</t>
  </si>
  <si>
    <t>388512</t>
  </si>
  <si>
    <t>384000</t>
  </si>
  <si>
    <t>-4512</t>
  </si>
  <si>
    <t>TT Trung Tuấn - B.H.Tây</t>
  </si>
  <si>
    <t>TBTE20002</t>
  </si>
  <si>
    <t>Tăm bông thân nhựa TE hộp tròn 200 cây x 12 hộp</t>
  </si>
  <si>
    <t>178500</t>
  </si>
  <si>
    <t>216000</t>
  </si>
  <si>
    <t>37500</t>
  </si>
  <si>
    <t>A1Y601</t>
  </si>
  <si>
    <t>A1 Yến sào có nhân sâm 70ml x 6 lọ x 6 hộp</t>
  </si>
  <si>
    <t>Vương Quốc Sữa - B.H.Trung</t>
  </si>
  <si>
    <t>GC100</t>
  </si>
  <si>
    <t>GVS cuộn trắng rẻ (xá) x 10 cây</t>
  </si>
  <si>
    <t>Bao</t>
  </si>
  <si>
    <t>HM10</t>
  </si>
  <si>
    <t>Yến sào Finenest nhân sâm x 10 hộp</t>
  </si>
  <si>
    <t>95000</t>
  </si>
  <si>
    <t>218000</t>
  </si>
  <si>
    <t>123000</t>
  </si>
  <si>
    <t>HM603</t>
  </si>
  <si>
    <t>HIMA Vinnest 6 lọ KĐ x 6 hộp</t>
  </si>
  <si>
    <t>118000</t>
  </si>
  <si>
    <t>HM608</t>
  </si>
  <si>
    <t>Yến sào Seunest CĐ vàng x 6 hộp</t>
  </si>
  <si>
    <t>HM610</t>
  </si>
  <si>
    <t>Yến sào Finenest CĐ đỏ x 6 hộp</t>
  </si>
  <si>
    <t>102000</t>
  </si>
  <si>
    <t>144000</t>
  </si>
  <si>
    <t>285000</t>
  </si>
  <si>
    <t>420000</t>
  </si>
  <si>
    <t>135000</t>
  </si>
  <si>
    <t>Chị Oanh - M.Long</t>
  </si>
  <si>
    <t>KU801</t>
  </si>
  <si>
    <t>Khăn ướt Baby (đỏ) 80g x 50 gói</t>
  </si>
  <si>
    <t>130000</t>
  </si>
  <si>
    <t>50000</t>
  </si>
  <si>
    <t>KV1007</t>
  </si>
  <si>
    <t>Khăn Napkin An An 100 tờ x 40 gói</t>
  </si>
  <si>
    <t>270000</t>
  </si>
  <si>
    <t>40</t>
  </si>
  <si>
    <t>54000</t>
  </si>
  <si>
    <t>Thiên Phú - M.Long</t>
  </si>
  <si>
    <t>12-09-2023</t>
  </si>
  <si>
    <t>Trung Phụng - T.H.Trung</t>
  </si>
  <si>
    <t>HTK151</t>
  </si>
  <si>
    <t>Kẹo Tommy trái cây 15g x 12 gói x 12 dây</t>
  </si>
  <si>
    <t>500000</t>
  </si>
  <si>
    <t>160000</t>
  </si>
  <si>
    <t>Sữa tả Hoàng Trúc - HCL (T.Mỹ)</t>
  </si>
  <si>
    <t>Su Trường - T.H.Trung</t>
  </si>
  <si>
    <t>KTN3001</t>
  </si>
  <si>
    <t>Kẹo Trang Nghiêm DÂU TÂY hộp 200g x 24 hộp/thùng</t>
  </si>
  <si>
    <t>43500</t>
  </si>
  <si>
    <t>3</t>
  </si>
  <si>
    <t>-1500</t>
  </si>
  <si>
    <t>KTN3002</t>
  </si>
  <si>
    <t>Kẹo Trang Nghiêm DÂU TẰM hộp 200g x 24 hộp/thùng</t>
  </si>
  <si>
    <t>58000</t>
  </si>
  <si>
    <t>56000</t>
  </si>
  <si>
    <t>-2000</t>
  </si>
  <si>
    <t>KTN3003</t>
  </si>
  <si>
    <t>Kẹo Trang Nghiêm ME ỚT hộp 200g x 24 hộp/thùng</t>
  </si>
  <si>
    <t>362268</t>
  </si>
  <si>
    <t>-22268</t>
  </si>
  <si>
    <t>14-09-2023</t>
  </si>
  <si>
    <t>TT Đông Nghi - P.Mỹ</t>
  </si>
  <si>
    <t>Anh Nghiệp (Cậu 2 Nhựt) - Ngã 4</t>
  </si>
  <si>
    <t>BG32001</t>
  </si>
  <si>
    <t>Bột giặt 109 Thái 100% - 3,2kg x 4 gói/thùng</t>
  </si>
  <si>
    <t>305000</t>
  </si>
  <si>
    <t>424000</t>
  </si>
  <si>
    <t>119000</t>
  </si>
  <si>
    <t>LLDORCOTITAN</t>
  </si>
  <si>
    <t>Lưỡi lam Dorco Titan 10 lưỡi x 10 lốc x 10 hộp</t>
  </si>
  <si>
    <t>294000</t>
  </si>
  <si>
    <t>310000</t>
  </si>
  <si>
    <t>16000</t>
  </si>
  <si>
    <t>KV1009</t>
  </si>
  <si>
    <t>Khăn Napkin TiOne Gấu 100 tờ x 48 gói</t>
  </si>
  <si>
    <t>Thanh Tâm - Ngã 4</t>
  </si>
  <si>
    <t>A1BTE50CR</t>
  </si>
  <si>
    <t>A1 Bánh trẻ em vị cà rốt 50g x 24 hộp</t>
  </si>
  <si>
    <t>TH An ( Lê Đà) - Ngã 4</t>
  </si>
  <si>
    <t>A1BTE50RC</t>
  </si>
  <si>
    <t>A1 Bánh trẻ em vị gà và rau củ 50g x 24 hộp</t>
  </si>
  <si>
    <t>A1BTE50TT</t>
  </si>
  <si>
    <t>A1 Bánh trẻ em vị truyền thống 50g x 24 hộp</t>
  </si>
  <si>
    <t>BSOGI121</t>
  </si>
  <si>
    <t>Bánh SOGI CHOCOLATE WITH STRAWBERRY CREAM 12g x 24 cây x 6 hủ</t>
  </si>
  <si>
    <t>63000</t>
  </si>
  <si>
    <t>69000</t>
  </si>
  <si>
    <t>6000</t>
  </si>
  <si>
    <t>Thế giới sữa Tony - T.Nghĩa</t>
  </si>
  <si>
    <t>CG26</t>
  </si>
  <si>
    <t>Chân gà rút xương cay ăn liền ZL FOOD 26g x 20 x 10 túi</t>
  </si>
  <si>
    <t>110000</t>
  </si>
  <si>
    <t>20000</t>
  </si>
  <si>
    <t>NLREDBULL2</t>
  </si>
  <si>
    <t>RedBull ThaiLan nắp hình</t>
  </si>
  <si>
    <t>Block</t>
  </si>
  <si>
    <t>SD1000</t>
  </si>
  <si>
    <t>Sữa đặc Creamer có đường 1kg x 24 lon</t>
  </si>
  <si>
    <t>Lon</t>
  </si>
  <si>
    <t>820800</t>
  </si>
  <si>
    <t>840000</t>
  </si>
  <si>
    <t>CC16</t>
  </si>
  <si>
    <t>Cacao Passion 3 in 1 (16g x 10s x 80 dây)</t>
  </si>
  <si>
    <t>138000</t>
  </si>
  <si>
    <t>162000</t>
  </si>
  <si>
    <t>24000</t>
  </si>
  <si>
    <t>5 Phụng - T.Nghĩa</t>
  </si>
  <si>
    <t>72500</t>
  </si>
  <si>
    <t>70000</t>
  </si>
  <si>
    <t>-2500</t>
  </si>
  <si>
    <t>171000</t>
  </si>
  <si>
    <t>175000</t>
  </si>
  <si>
    <t>4000</t>
  </si>
  <si>
    <t>KDL1301</t>
  </si>
  <si>
    <t>Khăn du lịch GIA PHÁT 3 lớp x 130 tờ x 100 gói</t>
  </si>
  <si>
    <t>Tường Sang - T.Nghĩa</t>
  </si>
  <si>
    <t>KR500</t>
  </si>
  <si>
    <t>Khăn rút lụa NAROTO 2 lớp x 500 tờ x 50 gói</t>
  </si>
  <si>
    <t>70400</t>
  </si>
  <si>
    <t>136000</t>
  </si>
  <si>
    <t>65600</t>
  </si>
  <si>
    <t>SRT500</t>
  </si>
  <si>
    <t>SRT tự nhiên (hồng, tím, đỏ, xanh) 500ml x 20 chai</t>
  </si>
  <si>
    <t>77500</t>
  </si>
  <si>
    <t>97500</t>
  </si>
  <si>
    <t>An Nhiên - T.Nghĩa</t>
  </si>
  <si>
    <t>TBND500</t>
  </si>
  <si>
    <t>Nước Yến Nha Đam (Pet) 500ml x 24 chai</t>
  </si>
  <si>
    <t>Thùng</t>
  </si>
  <si>
    <t>163485</t>
  </si>
  <si>
    <t>11515</t>
  </si>
  <si>
    <t>15-09-2023</t>
  </si>
  <si>
    <t>Cô Dọ - T.Linh</t>
  </si>
  <si>
    <t>Đạt Hường - P.Thịnh</t>
  </si>
  <si>
    <t>JA350G</t>
  </si>
  <si>
    <t>Javel 350ml x 30 chai</t>
  </si>
  <si>
    <t>75000</t>
  </si>
  <si>
    <t>JA500G</t>
  </si>
  <si>
    <t>Javel 550ml x 24 chai</t>
  </si>
  <si>
    <t>168000</t>
  </si>
  <si>
    <t>78000</t>
  </si>
  <si>
    <t>HTBSN80</t>
  </si>
  <si>
    <t>Snack bắp Otori vị Phô Mai 80g x 12</t>
  </si>
  <si>
    <t>55440</t>
  </si>
  <si>
    <t>64000</t>
  </si>
  <si>
    <t>8560</t>
  </si>
  <si>
    <t>16-09-2023</t>
  </si>
  <si>
    <t>Mỹ Hạnh - HCL</t>
  </si>
  <si>
    <t>HTBSN90</t>
  </si>
  <si>
    <t>Snack bắp Otori vị Gà cay 90g x 12</t>
  </si>
  <si>
    <t>HTBSN902</t>
  </si>
  <si>
    <t>Snack bắp Otori vị Tomyum Kung 90g x 12</t>
  </si>
  <si>
    <t>HTBSN903</t>
  </si>
  <si>
    <t>Snack bắp Otori vị Rong Biển 90g x 12</t>
  </si>
  <si>
    <t>83160</t>
  </si>
  <si>
    <t>96000</t>
  </si>
  <si>
    <t>12840</t>
  </si>
  <si>
    <t>HTBSN904</t>
  </si>
  <si>
    <t>Snack bắp Otori vị Dừa 80g x 12</t>
  </si>
  <si>
    <t>KV1001</t>
  </si>
  <si>
    <t>Khăn Napkin Ruby Gold 100 tờ x 30 gói</t>
  </si>
  <si>
    <t>450000</t>
  </si>
  <si>
    <t>NSSK555</t>
  </si>
  <si>
    <t>Saka 555ml x 24 chai</t>
  </si>
  <si>
    <t>390000</t>
  </si>
  <si>
    <t>TT Hải Châu - T.H.Trung</t>
  </si>
  <si>
    <t>BTT160</t>
  </si>
  <si>
    <t>Bông tẩy trang 160 miếng x 120 cây</t>
  </si>
  <si>
    <t>36000</t>
  </si>
  <si>
    <t>TT Ngọc Trinh - B.H.Trung</t>
  </si>
  <si>
    <t>98280</t>
  </si>
  <si>
    <t>16720</t>
  </si>
  <si>
    <t>TBTE1001</t>
  </si>
  <si>
    <t>Tăm bông thân nhựa TE túi 100 cây x 24 túi</t>
  </si>
  <si>
    <t>126000</t>
  </si>
  <si>
    <t>GC106</t>
  </si>
  <si>
    <t>GVS Ruby (HQ) 10 cuộn x 8kg</t>
  </si>
  <si>
    <t>220000</t>
  </si>
  <si>
    <t>40000</t>
  </si>
  <si>
    <t>Chị Thắm (Hồng Thắm) - B.H.Tây</t>
  </si>
  <si>
    <t>GC617</t>
  </si>
  <si>
    <t>GVS TiOne hồng 6 cuộn x 12 cây</t>
  </si>
  <si>
    <t>265716</t>
  </si>
  <si>
    <t>360000</t>
  </si>
  <si>
    <t>94284</t>
  </si>
  <si>
    <t>TT Hữu Nghị - M.Trắng</t>
  </si>
  <si>
    <t>288000</t>
  </si>
  <si>
    <t>Chị Đào - T.H.Trung</t>
  </si>
  <si>
    <t>HM607</t>
  </si>
  <si>
    <t>Yến sào Seunest KĐ xanh x 6 hộp</t>
  </si>
  <si>
    <t>654000</t>
  </si>
  <si>
    <t>354000</t>
  </si>
  <si>
    <t>TH Ngân (chị Ngân) - T.H.Trung</t>
  </si>
  <si>
    <t>-720000</t>
  </si>
  <si>
    <t>521000</t>
  </si>
  <si>
    <t>175400</t>
  </si>
  <si>
    <t>Chị Hạnh - M.Trắng</t>
  </si>
  <si>
    <t>377000</t>
  </si>
  <si>
    <t>111284</t>
  </si>
  <si>
    <t>Kim Quyên - M.Trắng</t>
  </si>
  <si>
    <t>XM6007</t>
  </si>
  <si>
    <t>Xịt muỗi 600ml x 30 chai</t>
  </si>
  <si>
    <t>264000</t>
  </si>
  <si>
    <t>GC6010</t>
  </si>
  <si>
    <t>GVS Fairy cuộn CN 600g x 10 cuộn</t>
  </si>
  <si>
    <t>Cuộn</t>
  </si>
  <si>
    <t>267000</t>
  </si>
  <si>
    <t>3000</t>
  </si>
  <si>
    <t>Như Ý - M.Trắng</t>
  </si>
  <si>
    <t>Uốn tóc Kim Phụng - M.Trắng</t>
  </si>
  <si>
    <t>Chú 7 Vân - B.H.Tây</t>
  </si>
  <si>
    <t>HM600</t>
  </si>
  <si>
    <t>HIMA Yến Huyết 6 lọ x 6 hộp</t>
  </si>
  <si>
    <t>1215000</t>
  </si>
  <si>
    <t>1620000</t>
  </si>
  <si>
    <t>405000</t>
  </si>
  <si>
    <t>1152000</t>
  </si>
  <si>
    <t>1440000</t>
  </si>
  <si>
    <t>HM609</t>
  </si>
  <si>
    <t>HIMA Hoa Hồng 35% yến 6 lọ x 6 hộp</t>
  </si>
  <si>
    <t>900000</t>
  </si>
  <si>
    <t>1308000</t>
  </si>
  <si>
    <t>408000</t>
  </si>
  <si>
    <t>600000</t>
  </si>
  <si>
    <t>708000</t>
  </si>
  <si>
    <t>KMKLR4N</t>
  </si>
  <si>
    <t>Kệ lắp ráp 3 tầng 30cm x 35cm x 70cm x 1,2m</t>
  </si>
  <si>
    <t>Bộ</t>
  </si>
  <si>
    <t>240</t>
  </si>
  <si>
    <t>1920000</t>
  </si>
  <si>
    <t>526000</t>
  </si>
  <si>
    <t>180400</t>
  </si>
  <si>
    <t>6 Trạng - M.Trắng</t>
  </si>
  <si>
    <t>182500</t>
  </si>
  <si>
    <t>260000</t>
  </si>
  <si>
    <t>NG36002</t>
  </si>
  <si>
    <t>Nước giặt Kimono 6 in 1 (đen) x 3,6kg x 4 bình</t>
  </si>
  <si>
    <t>Chị Thủy (đồ nhựa) - T.H.Trung</t>
  </si>
  <si>
    <t>GC603</t>
  </si>
  <si>
    <t>GVS Ruby Gold 6 cuộn (không lõi) x 12 cây</t>
  </si>
  <si>
    <t>409000</t>
  </si>
  <si>
    <t>109000</t>
  </si>
  <si>
    <t>TT Kim Dung - M.Hiệp</t>
  </si>
  <si>
    <t>KU80</t>
  </si>
  <si>
    <t>Khăn ướt đa năng Begin 80g x 20 gói</t>
  </si>
  <si>
    <t>111000</t>
  </si>
  <si>
    <t>51000</t>
  </si>
  <si>
    <t>NLSDN280</t>
  </si>
  <si>
    <t>Sữa đậu nành nguyên chất 280ml x 24 chai</t>
  </si>
  <si>
    <t>18000</t>
  </si>
  <si>
    <t>TC301</t>
  </si>
  <si>
    <t>Tăm chỉ nha khoa 30 chiếc x 10 hộp</t>
  </si>
  <si>
    <t>KMNL7731</t>
  </si>
  <si>
    <t>Nồi lẩu điện Comet 7731</t>
  </si>
  <si>
    <t>-370000</t>
  </si>
  <si>
    <t>855000</t>
  </si>
  <si>
    <t>90</t>
  </si>
  <si>
    <t>765000</t>
  </si>
  <si>
    <t>120000</t>
  </si>
  <si>
    <t>Trinh Nữ - M.Trắng</t>
  </si>
  <si>
    <t>TT Bảo Hạnh - M.Trắng</t>
  </si>
  <si>
    <t>BSOGI12</t>
  </si>
  <si>
    <t>Bánh SOGI CHOCOLATE 12g x 24 cây x 6 hủ</t>
  </si>
  <si>
    <t>7000</t>
  </si>
  <si>
    <t>Ngọc Khánh ( Mỹ Khánh ) - M.Trắng</t>
  </si>
  <si>
    <t>HM605</t>
  </si>
  <si>
    <t>HIMA Canxi &amp; Cơ Xương Khớp KĐ 6 lọ x 6 hộp</t>
  </si>
  <si>
    <t>1500000</t>
  </si>
  <si>
    <t>-1440000</t>
  </si>
  <si>
    <t>HM611</t>
  </si>
  <si>
    <t>Yến sào Seunest Huyết x 6 hộp</t>
  </si>
  <si>
    <t>660000</t>
  </si>
  <si>
    <t>1368000</t>
  </si>
  <si>
    <t>147000</t>
  </si>
  <si>
    <t>33000</t>
  </si>
  <si>
    <t>TT01</t>
  </si>
  <si>
    <t>Thanh toán lần 1</t>
  </si>
  <si>
    <t>VNĐ</t>
  </si>
  <si>
    <t>-1356000</t>
  </si>
  <si>
    <t>540000</t>
  </si>
  <si>
    <t>630000</t>
  </si>
  <si>
    <t>816000</t>
  </si>
  <si>
    <t>-4800</t>
  </si>
  <si>
    <t>Thảo Vy - HCL</t>
  </si>
  <si>
    <t>Tuấn Kiệt - M.Long</t>
  </si>
  <si>
    <t>TBME500</t>
  </si>
  <si>
    <t>Nước Me ThaiLan (Pet) 500ml x 24 chai</t>
  </si>
  <si>
    <t>GC32</t>
  </si>
  <si>
    <t>Giấy cân 32 (1kg x 10 bịch)</t>
  </si>
  <si>
    <t>Bịch</t>
  </si>
  <si>
    <t>504000</t>
  </si>
  <si>
    <t>473000</t>
  </si>
  <si>
    <t>-31000</t>
  </si>
  <si>
    <t>21-09-2023</t>
  </si>
  <si>
    <t>Thông Thảo - P.Mỹ (QL30)</t>
  </si>
  <si>
    <t>620016</t>
  </si>
  <si>
    <t>762000</t>
  </si>
  <si>
    <t>141984</t>
  </si>
  <si>
    <t>23-09-2023</t>
  </si>
  <si>
    <t>SBOMGROW900</t>
  </si>
  <si>
    <t>SURE OMEGA-GROW IQ 900G</t>
  </si>
  <si>
    <t>637200</t>
  </si>
  <si>
    <t>716400</t>
  </si>
  <si>
    <t>79200</t>
  </si>
  <si>
    <t>GC1202</t>
  </si>
  <si>
    <t>GVS Toply 12 cuộn x 12 cây</t>
  </si>
  <si>
    <t>467508</t>
  </si>
  <si>
    <t>444000</t>
  </si>
  <si>
    <t>-23508</t>
  </si>
  <si>
    <t>301890</t>
  </si>
  <si>
    <t>-41890</t>
  </si>
  <si>
    <t>TT Minh Huệ - B.H.Trung</t>
  </si>
  <si>
    <t>Hoàng Huyên - M.Long</t>
  </si>
  <si>
    <t>1728000</t>
  </si>
  <si>
    <t>2880000</t>
  </si>
  <si>
    <t>378000</t>
  </si>
  <si>
    <t>72</t>
  </si>
  <si>
    <t>432000</t>
  </si>
  <si>
    <t>A1Y600</t>
  </si>
  <si>
    <t>A1 Yến đường phèn 70ml x 6 lọ x 6 hộp</t>
  </si>
  <si>
    <t>3000000</t>
  </si>
  <si>
    <t>3360000</t>
  </si>
  <si>
    <t>Kim Hường - B.H.Tây</t>
  </si>
  <si>
    <t>KMBTIGER</t>
  </si>
  <si>
    <t>Bia Tiger lon</t>
  </si>
  <si>
    <t>-375000</t>
  </si>
  <si>
    <t>912000</t>
  </si>
  <si>
    <t>-144000</t>
  </si>
  <si>
    <t>310008</t>
  </si>
  <si>
    <t>410000</t>
  </si>
  <si>
    <t>99992</t>
  </si>
  <si>
    <t>BCN189</t>
  </si>
  <si>
    <t>BC KAKA NANO N189 x 30 x 10 hộp</t>
  </si>
  <si>
    <t>210000</t>
  </si>
  <si>
    <t>TT Đông Nguyên - M.Long</t>
  </si>
  <si>
    <t>BCX6</t>
  </si>
  <si>
    <t>BC KAKA NANO X6 x 20 x 15 lốc</t>
  </si>
  <si>
    <t>Ngọc Như - M.Long</t>
  </si>
  <si>
    <t>GC612</t>
  </si>
  <si>
    <t>GVS GLEE 6 cuộn x 12 cây</t>
  </si>
  <si>
    <t>265008</t>
  </si>
  <si>
    <t>94992</t>
  </si>
  <si>
    <t>9990</t>
  </si>
  <si>
    <t>TC1000</t>
  </si>
  <si>
    <t>Thông cống 1L x 18 chai</t>
  </si>
  <si>
    <t>131112</t>
  </si>
  <si>
    <t>178000</t>
  </si>
  <si>
    <t>46888</t>
  </si>
  <si>
    <t>-660000</t>
  </si>
  <si>
    <t>Tố Quyên - T.H.Trung</t>
  </si>
  <si>
    <t>312000</t>
  </si>
  <si>
    <t>121992</t>
  </si>
  <si>
    <t>Tuyết Lài ( Chị Lài) - B.H.Trung</t>
  </si>
  <si>
    <t>225000</t>
  </si>
  <si>
    <t>330000</t>
  </si>
  <si>
    <t>105000</t>
  </si>
  <si>
    <t>-50000</t>
  </si>
  <si>
    <t>VMS002</t>
  </si>
  <si>
    <t>VM Kẹo Thạch 500g (500g x 20 túi)</t>
  </si>
  <si>
    <t>232810</t>
  </si>
  <si>
    <t>325000</t>
  </si>
  <si>
    <t>92190</t>
  </si>
  <si>
    <t>Dung Vũ (đồ nhựa) - T.H.Trung</t>
  </si>
  <si>
    <t>Chị Lan - T.H.Trung</t>
  </si>
  <si>
    <t>NRC400</t>
  </si>
  <si>
    <t>NRC 107 - 400ml x 24 chai</t>
  </si>
  <si>
    <t>26-09-2023</t>
  </si>
  <si>
    <t>Gas Hồng Ngọc - M.Hội</t>
  </si>
  <si>
    <t>950880</t>
  </si>
  <si>
    <t>1380000</t>
  </si>
  <si>
    <t>429120</t>
  </si>
  <si>
    <t>27-09-2023</t>
  </si>
  <si>
    <t>HTBD12</t>
  </si>
  <si>
    <t>Bánh đũa Gap Dâu tây 12g x 12 hộp x 12</t>
  </si>
  <si>
    <t>42084</t>
  </si>
  <si>
    <t>5916</t>
  </si>
  <si>
    <t>28-09-2023</t>
  </si>
  <si>
    <t>HTBD121</t>
  </si>
  <si>
    <t>Bánh đũa Gap Sô cô la 12g x 12 hộp x 12</t>
  </si>
  <si>
    <t>NLREDBULL1</t>
  </si>
  <si>
    <t>RedBull ThaiLan</t>
  </si>
  <si>
    <t>KGC10</t>
  </si>
  <si>
    <t>KHÔ GÀ CAY - 10 GR x 500 gói</t>
  </si>
  <si>
    <t>25</t>
  </si>
  <si>
    <t>Chị Nhung - T.Nghĩa</t>
  </si>
  <si>
    <t>KGLC10</t>
  </si>
  <si>
    <t>KHÔ GÀ LÁ CHANH - 10 GR x 500 gói</t>
  </si>
  <si>
    <t>KL100</t>
  </si>
  <si>
    <t>Khăn lạnh Happy Life dày (xanh lá) 20 cái x 100 túi</t>
  </si>
  <si>
    <t>22000</t>
  </si>
  <si>
    <t>8000</t>
  </si>
  <si>
    <t>KTN802</t>
  </si>
  <si>
    <t>Kẹo Trang Nghiêm ME ỚT 80gr x 100 gói/thùng</t>
  </si>
  <si>
    <t>35000</t>
  </si>
  <si>
    <t>25000</t>
  </si>
  <si>
    <t>KU802</t>
  </si>
  <si>
    <t>Khăn ướt TiOne 80g x 40 gói</t>
  </si>
  <si>
    <t>55000</t>
  </si>
  <si>
    <t>53000</t>
  </si>
  <si>
    <t>NGT3600</t>
  </si>
  <si>
    <t>Nước giặt Kimono (đen) 3,6kg x 5 túi</t>
  </si>
  <si>
    <t>74000</t>
  </si>
  <si>
    <t>108000</t>
  </si>
  <si>
    <t>34000</t>
  </si>
  <si>
    <t>NGT36001</t>
  </si>
  <si>
    <t>Nước giặt Kimono (tím) 3,6kg x 5 túi</t>
  </si>
  <si>
    <t>5000</t>
  </si>
  <si>
    <t>Ngọc Huyền - Gáo Giồng</t>
  </si>
  <si>
    <t>67500</t>
  </si>
  <si>
    <t>66670</t>
  </si>
  <si>
    <t>8330</t>
  </si>
  <si>
    <t>82500</t>
  </si>
  <si>
    <t>15</t>
  </si>
  <si>
    <t>Ngọc Thắm - T.Nghĩa</t>
  </si>
  <si>
    <t>DCKAKA</t>
  </si>
  <si>
    <t>Dao cạo Kaka thay lưỡi (6 cây x 80 vỉ)</t>
  </si>
  <si>
    <t>280000</t>
  </si>
  <si>
    <t>Lợi Thủy - Gáo Giồng</t>
  </si>
  <si>
    <t>Thu Trang - T.Nghĩa</t>
  </si>
  <si>
    <t>26400</t>
  </si>
  <si>
    <t>9600</t>
  </si>
  <si>
    <t>29-09-2023</t>
  </si>
  <si>
    <t>Chị Bích - T.Linh</t>
  </si>
  <si>
    <t>Ánh Tuyết (Tuyết Thành) - T.Linh</t>
  </si>
  <si>
    <t>648000</t>
  </si>
  <si>
    <t>Tuấn Quyên - P.Thịnh</t>
  </si>
  <si>
    <t>Chị Thúy - Gáo Giồng</t>
  </si>
  <si>
    <t>HM613</t>
  </si>
  <si>
    <t>HIMA Seunest DTHT có đường 6 lọ x 6 hộp</t>
  </si>
  <si>
    <t>-186000</t>
  </si>
  <si>
    <t>30-09-2023</t>
  </si>
  <si>
    <t>HM614</t>
  </si>
  <si>
    <t>HIMA Seunest Colagen có đường 6 lọ x 6 hộp</t>
  </si>
  <si>
    <t>560000</t>
  </si>
  <si>
    <t>TB20001</t>
  </si>
  <si>
    <t>Tăm bông thân gỗ hộp 200 cây x 12 hộp</t>
  </si>
  <si>
    <t>399000</t>
  </si>
  <si>
    <t>461000</t>
  </si>
  <si>
    <t>62000</t>
  </si>
  <si>
    <t>NRC38001</t>
  </si>
  <si>
    <t>NRC KIMONO 3,6kg x 4 bình</t>
  </si>
  <si>
    <t>Tuyết Lan - B.H.Tây</t>
  </si>
  <si>
    <t>GC109</t>
  </si>
  <si>
    <t>GVS Toply 10 cuộn x 10 cây</t>
  </si>
  <si>
    <t>186500</t>
  </si>
  <si>
    <t>8500</t>
  </si>
  <si>
    <t>TT Kim Thoa - M.Long</t>
  </si>
  <si>
    <t>HTKDR16001</t>
  </si>
  <si>
    <t>KDR Closeup 160g x 6 cây x 12 block</t>
  </si>
  <si>
    <t>110004</t>
  </si>
  <si>
    <t>33996</t>
  </si>
  <si>
    <t>9828</t>
  </si>
  <si>
    <t>11500</t>
  </si>
  <si>
    <t>1672</t>
  </si>
  <si>
    <t>39000</t>
  </si>
  <si>
    <t>185000</t>
  </si>
  <si>
    <t>BCOCEAN</t>
  </si>
  <si>
    <t>BÀN CHẢI ĐÁNH RĂNG ION - OCEAN</t>
  </si>
  <si>
    <t>2304000</t>
  </si>
  <si>
    <t>-384000</t>
  </si>
  <si>
    <t>KMQCL</t>
  </si>
  <si>
    <t>Quạt SENKO 1638 chân lỡ</t>
  </si>
  <si>
    <t>-282000</t>
  </si>
  <si>
    <t>-64000</t>
  </si>
  <si>
    <t>BCTEELEPHAN</t>
  </si>
  <si>
    <t>BÀN CHẢI ĐÁNH RĂNG TE ION - ELEPHAN</t>
  </si>
  <si>
    <t>BCTEPANDA</t>
  </si>
  <si>
    <t>BÀN CHẢI ĐÁNH RĂNG TE ION - PANDA</t>
  </si>
  <si>
    <t>36</t>
  </si>
  <si>
    <t>1070000</t>
  </si>
  <si>
    <t>-82000</t>
  </si>
  <si>
    <t>57000</t>
  </si>
  <si>
    <t>242000</t>
  </si>
  <si>
    <t>247000</t>
  </si>
  <si>
    <t>NLSTING</t>
  </si>
  <si>
    <t>Sting ThaiLan</t>
  </si>
  <si>
    <t>HTBTE50</t>
  </si>
  <si>
    <t>Bánh gạo TE Happy Bites Việt Quất 50g x 12 hộp</t>
  </si>
  <si>
    <t>271800</t>
  </si>
  <si>
    <t>4200</t>
  </si>
  <si>
    <t>02-10-2023</t>
  </si>
  <si>
    <t>453000</t>
  </si>
  <si>
    <t>460000</t>
  </si>
  <si>
    <t>CH sữa tả Quý Ngọc - B.H.Trung</t>
  </si>
  <si>
    <t>1087200</t>
  </si>
  <si>
    <t>1004000</t>
  </si>
  <si>
    <t>-83200</t>
  </si>
  <si>
    <t>Mẹ &amp; Bé ( Mẹ Yêu Con) - M.Hiệp</t>
  </si>
  <si>
    <t>03-10-2023</t>
  </si>
  <si>
    <t>1200000</t>
  </si>
  <si>
    <t>-36000</t>
  </si>
  <si>
    <t>05-10-2023</t>
  </si>
  <si>
    <t>Thu Thủy - P.Mỹ (cầu Trâu Trắng)</t>
  </si>
  <si>
    <t>2112000</t>
  </si>
  <si>
    <t>192</t>
  </si>
  <si>
    <t>2256000</t>
  </si>
  <si>
    <t>-1764000</t>
  </si>
  <si>
    <t>KR1000</t>
  </si>
  <si>
    <t>Khăn giấy rút đa năng Jolly 1kg x 20 gói</t>
  </si>
  <si>
    <t>412911</t>
  </si>
  <si>
    <t>9</t>
  </si>
  <si>
    <t>421200</t>
  </si>
  <si>
    <t>8289</t>
  </si>
  <si>
    <t>KTN80</t>
  </si>
  <si>
    <t>Kẹo Trang Nghiêm DÂU TÂY 80gr x 100 gói/thùng</t>
  </si>
  <si>
    <t>26250</t>
  </si>
  <si>
    <t>8750</t>
  </si>
  <si>
    <t>KTN801</t>
  </si>
  <si>
    <t>Kẹo Trang Nghiêm DÂU TẰM 80gr x 100 gói/thùng</t>
  </si>
  <si>
    <t>181200</t>
  </si>
  <si>
    <t>154000</t>
  </si>
  <si>
    <t>-27200</t>
  </si>
  <si>
    <t>HTBTE501</t>
  </si>
  <si>
    <t>Bánh gạo TE Happy Bites Táo 50g x 12 hộp</t>
  </si>
  <si>
    <t>200000</t>
  </si>
  <si>
    <t>18800</t>
  </si>
  <si>
    <t>HTBTE502</t>
  </si>
  <si>
    <t>Bánh gạo TE Happy Bites Chuối 50g x 12 hộp</t>
  </si>
  <si>
    <t>484000</t>
  </si>
  <si>
    <t>498000</t>
  </si>
  <si>
    <t>14000</t>
  </si>
  <si>
    <t>82000</t>
  </si>
  <si>
    <t>-70000</t>
  </si>
  <si>
    <t>KU203</t>
  </si>
  <si>
    <t>Khăn ướt TiOne 20g x 100 gói</t>
  </si>
  <si>
    <t>424800</t>
  </si>
  <si>
    <t>477600</t>
  </si>
  <si>
    <t>06-10-2023</t>
  </si>
  <si>
    <t>Trúc Ly - Ba Sao</t>
  </si>
  <si>
    <t>TC50</t>
  </si>
  <si>
    <t>Tăm chỉ nha khoa 50 chiếc x 20 gói x 18 hộp</t>
  </si>
  <si>
    <t>TT Ngọc Cát Tường - N.V.Tiếp</t>
  </si>
  <si>
    <t>184000</t>
  </si>
  <si>
    <t>2800</t>
  </si>
  <si>
    <t>07-10-2023</t>
  </si>
  <si>
    <t>45300</t>
  </si>
  <si>
    <t>700</t>
  </si>
  <si>
    <t>536000</t>
  </si>
  <si>
    <t>190400</t>
  </si>
  <si>
    <t>518400</t>
  </si>
  <si>
    <t>172800</t>
  </si>
  <si>
    <t>199500</t>
  </si>
  <si>
    <t>88500</t>
  </si>
  <si>
    <t>194256</t>
  </si>
  <si>
    <t>45744</t>
  </si>
  <si>
    <t>148000</t>
  </si>
  <si>
    <t>122000</t>
  </si>
  <si>
    <t>T3501</t>
  </si>
  <si>
    <t>Tẩy quần áo màu KIMONO 350ml x 30 chai</t>
  </si>
  <si>
    <t>-55000</t>
  </si>
  <si>
    <t>730000</t>
  </si>
  <si>
    <t>230000</t>
  </si>
  <si>
    <t>KR1001</t>
  </si>
  <si>
    <t>Khăn giấy rút lụa SSS BiBi 2 lớp x 1kg x 10 gói</t>
  </si>
  <si>
    <t>434000</t>
  </si>
  <si>
    <t>-46000</t>
  </si>
  <si>
    <t>Thanh Nhã - M.Long</t>
  </si>
  <si>
    <t>580000</t>
  </si>
  <si>
    <t>709000</t>
  </si>
  <si>
    <t>129000</t>
  </si>
  <si>
    <t>Trường An - Đ.Mối</t>
  </si>
  <si>
    <t>222000</t>
  </si>
  <si>
    <t>KB01</t>
  </si>
  <si>
    <t>Khăn bóp Mỹ Lan 10 gói x 60 cây</t>
  </si>
  <si>
    <t>BCTE005</t>
  </si>
  <si>
    <t>BCTE chữ U x 600 cây</t>
  </si>
  <si>
    <t>362400</t>
  </si>
  <si>
    <t>400000</t>
  </si>
  <si>
    <t>37600</t>
  </si>
  <si>
    <t>-95400</t>
  </si>
  <si>
    <t>KDR001</t>
  </si>
  <si>
    <t>Kem đánh răng bộ (KDR + BC) x 144 bộ</t>
  </si>
  <si>
    <t>279996</t>
  </si>
  <si>
    <t>8004</t>
  </si>
  <si>
    <t>1069200</t>
  </si>
  <si>
    <t>27</t>
  </si>
  <si>
    <t>800</t>
  </si>
  <si>
    <t xml:space="preserve">Chị Cúc (Bạch Cúc) - HCL </t>
  </si>
  <si>
    <t>327000</t>
  </si>
  <si>
    <t>27000</t>
  </si>
  <si>
    <t>Cô 7 - X.Quýt</t>
  </si>
  <si>
    <t>320000</t>
  </si>
  <si>
    <t>Chị Thùy - X.Quýt</t>
  </si>
  <si>
    <t>1835160</t>
  </si>
  <si>
    <t>1849000</t>
  </si>
  <si>
    <t>13840</t>
  </si>
  <si>
    <t>13-10-2023</t>
  </si>
  <si>
    <t>Thanh Trang - HCL</t>
  </si>
  <si>
    <t>HTBTE30</t>
  </si>
  <si>
    <t>Bánh TE Munchies Chuối &amp; Bí Đỏ 30g x 12 hộp</t>
  </si>
  <si>
    <t>633600</t>
  </si>
  <si>
    <t>720000</t>
  </si>
  <si>
    <t>86400</t>
  </si>
  <si>
    <t>TT Minh Phương - T.H.Trung</t>
  </si>
  <si>
    <t>HTBTE301</t>
  </si>
  <si>
    <t>Bánh TE Munchies Mâm Xôi &amp; Củ Dền 30g x 12 hộp</t>
  </si>
  <si>
    <t>-73600</t>
  </si>
  <si>
    <t>KR5003</t>
  </si>
  <si>
    <t>Khăn rút lụa TiOne HQ xanh 500 tờ x 25 gói</t>
  </si>
  <si>
    <t>-160000</t>
  </si>
  <si>
    <t>KU50001</t>
  </si>
  <si>
    <t>Khăn ướt đa năng TiOne 50 tờ x 24 gói</t>
  </si>
  <si>
    <t>36750</t>
  </si>
  <si>
    <t>7</t>
  </si>
  <si>
    <t>49000</t>
  </si>
  <si>
    <t>12250</t>
  </si>
  <si>
    <t>31500</t>
  </si>
  <si>
    <t>10500</t>
  </si>
  <si>
    <t>NGT2000</t>
  </si>
  <si>
    <t>Nước giặt Kimono (đen) 2kg x 6 túi</t>
  </si>
  <si>
    <t>116000</t>
  </si>
  <si>
    <t>150000</t>
  </si>
  <si>
    <t>NGT2001</t>
  </si>
  <si>
    <t>Nước giặt Kimono (tím) 2kg x 6 túi</t>
  </si>
  <si>
    <t>NGT2002</t>
  </si>
  <si>
    <t>Nước giặt Kimono (hồng) 2kg x 6 túi</t>
  </si>
  <si>
    <t>17000</t>
  </si>
  <si>
    <t>NGT2003</t>
  </si>
  <si>
    <t>Nước giặt Kimono (vàng) 2kg x 6 túi</t>
  </si>
  <si>
    <t>NRC1500</t>
  </si>
  <si>
    <t>NRC 107 - 1,5L x 8 bình</t>
  </si>
  <si>
    <t>190176</t>
  </si>
  <si>
    <t>85824</t>
  </si>
  <si>
    <t>NRC750</t>
  </si>
  <si>
    <t>NRC 107 - 750ml x 16 chai</t>
  </si>
  <si>
    <t>212384</t>
  </si>
  <si>
    <t>16</t>
  </si>
  <si>
    <t>304000</t>
  </si>
  <si>
    <t>91616</t>
  </si>
  <si>
    <t>14-10-2023</t>
  </si>
  <si>
    <t>GC613</t>
  </si>
  <si>
    <t>GVS TiOne (HQ) xanh 6 cuộn x 12 cây</t>
  </si>
  <si>
    <t>155004</t>
  </si>
  <si>
    <t>66996</t>
  </si>
  <si>
    <t>1460000</t>
  </si>
  <si>
    <t>1840000</t>
  </si>
  <si>
    <t>380000</t>
  </si>
  <si>
    <t>155000</t>
  </si>
  <si>
    <t>375000</t>
  </si>
  <si>
    <t>85000</t>
  </si>
  <si>
    <t>Hiệp Hòa (dì Hồng) - HCL</t>
  </si>
  <si>
    <t>211200</t>
  </si>
  <si>
    <t>256000</t>
  </si>
  <si>
    <t>44800</t>
  </si>
  <si>
    <t>TH Bình Minh - M.Trắng</t>
  </si>
  <si>
    <t>133992</t>
  </si>
  <si>
    <t>-63000</t>
  </si>
  <si>
    <t>KU1505</t>
  </si>
  <si>
    <t>Khăn ướt TE TiOne 150g x 30 gói</t>
  </si>
  <si>
    <t>KU2501</t>
  </si>
  <si>
    <t>Khăn ướt TiOne (khổ lớn) 250g x 20 gói</t>
  </si>
  <si>
    <t>352000</t>
  </si>
  <si>
    <t>LK500</t>
  </si>
  <si>
    <t>Lau kính (kháng khuẩn, khủ mùi) 500ml x 24 chai</t>
  </si>
  <si>
    <t>348000</t>
  </si>
  <si>
    <t>415000</t>
  </si>
  <si>
    <t>67000</t>
  </si>
  <si>
    <t>1267200</t>
  </si>
  <si>
    <t>1301200</t>
  </si>
  <si>
    <t>Mẹ &amp; Bé (Hồng Nhung) - M.Long</t>
  </si>
  <si>
    <t>2174400</t>
  </si>
  <si>
    <t>2008000</t>
  </si>
  <si>
    <t>-166400</t>
  </si>
  <si>
    <t>-7878000</t>
  </si>
  <si>
    <t>NV102</t>
  </si>
  <si>
    <t>Núm vú cổ rộng size M</t>
  </si>
  <si>
    <t>NV103</t>
  </si>
  <si>
    <t>Núm vú cổ rộng size L</t>
  </si>
  <si>
    <t>9 Tiến - M.Trắng</t>
  </si>
  <si>
    <t>GC101</t>
  </si>
  <si>
    <t>GVS TiOne 10 cuộn xanh x 10 cây</t>
  </si>
  <si>
    <t>170000</t>
  </si>
  <si>
    <t>4 Xinh - M.Trắng</t>
  </si>
  <si>
    <t>73992</t>
  </si>
  <si>
    <t>-48000</t>
  </si>
  <si>
    <t>BCTENEKO1</t>
  </si>
  <si>
    <t>BÀN CHẢI ĐÁNH RĂNG TE ION - NEKO plus</t>
  </si>
  <si>
    <t>358000</t>
  </si>
  <si>
    <t>-142000</t>
  </si>
  <si>
    <t>17-10-2023</t>
  </si>
  <si>
    <t>20-10-2023</t>
  </si>
  <si>
    <t>GC10</t>
  </si>
  <si>
    <t>V/S Bibi không lõi x 10 dây</t>
  </si>
  <si>
    <t>-10000</t>
  </si>
  <si>
    <t>MP Út Tuyền - B.Sao</t>
  </si>
  <si>
    <t>GC1023</t>
  </si>
  <si>
    <t>V/S Bibi có lõi x 10 dây</t>
  </si>
  <si>
    <t>122500</t>
  </si>
  <si>
    <t>191000</t>
  </si>
  <si>
    <t>35996</t>
  </si>
  <si>
    <t>21-10-2023</t>
  </si>
  <si>
    <t>Cô Triết - T.H.Trung</t>
  </si>
  <si>
    <t>115200</t>
  </si>
  <si>
    <t>-30000</t>
  </si>
  <si>
    <t>GC600</t>
  </si>
  <si>
    <t>GVS TiOne cuộn CN 600gr x 10 cuộn</t>
  </si>
  <si>
    <t>-180000</t>
  </si>
  <si>
    <t>KTN2001</t>
  </si>
  <si>
    <t>Kẹo Trang Nghiêm ME CAM THẢO 200gr x 50 gói/thùng</t>
  </si>
  <si>
    <t>61000</t>
  </si>
  <si>
    <t>KTN2002</t>
  </si>
  <si>
    <t>Kẹo Trang Nghiêm DÂU TÂY 200gr x 50 gói/thùng</t>
  </si>
  <si>
    <t>73200</t>
  </si>
  <si>
    <t>4800</t>
  </si>
  <si>
    <t>KTN2003</t>
  </si>
  <si>
    <t>Kẹo Trang Nghiêm DÂU TẰM 200gr x 50 gói/thùng</t>
  </si>
  <si>
    <t>KTN2004</t>
  </si>
  <si>
    <t>Kẹo Trang Nghiêm ME ỚT 200gr x 50 gói/thùng</t>
  </si>
  <si>
    <t>-50268</t>
  </si>
  <si>
    <t>320016</t>
  </si>
  <si>
    <t>440016</t>
  </si>
  <si>
    <t>50</t>
  </si>
  <si>
    <t>-327000</t>
  </si>
  <si>
    <t>261000</t>
  </si>
  <si>
    <t>-130000</t>
  </si>
  <si>
    <t>207500</t>
  </si>
  <si>
    <t>KDR002</t>
  </si>
  <si>
    <t>Kem đánh răng AquaStar TE cam x 60 hộp</t>
  </si>
  <si>
    <t>79998</t>
  </si>
  <si>
    <t>83000</t>
  </si>
  <si>
    <t>3002</t>
  </si>
  <si>
    <t>KDR003</t>
  </si>
  <si>
    <t>Kem đánh răng AquaStar TE dâu x 60 hộp</t>
  </si>
  <si>
    <t>KV501</t>
  </si>
  <si>
    <t>Khăn ăn Cocktail Paseo 50 tờ 2 lớp x 60 gói</t>
  </si>
  <si>
    <t>37585</t>
  </si>
  <si>
    <t>-7585</t>
  </si>
  <si>
    <t>KVK300</t>
  </si>
  <si>
    <t>Khăn vải khô đa năng 300g x 30 gói</t>
  </si>
  <si>
    <t>-80000</t>
  </si>
  <si>
    <t>135900</t>
  </si>
  <si>
    <t>-25000</t>
  </si>
  <si>
    <t>-160900</t>
  </si>
  <si>
    <t>317100</t>
  </si>
  <si>
    <t>343000</t>
  </si>
  <si>
    <t>25900</t>
  </si>
  <si>
    <t>634200</t>
  </si>
  <si>
    <t>14</t>
  </si>
  <si>
    <t>686000</t>
  </si>
  <si>
    <t>51800</t>
  </si>
  <si>
    <t>BG3500</t>
  </si>
  <si>
    <t>Bột giặt Lady 107 - 3,5kg x 4 gói/thùng</t>
  </si>
  <si>
    <t>331520</t>
  </si>
  <si>
    <t>76480</t>
  </si>
  <si>
    <t>24990</t>
  </si>
  <si>
    <t>23-10-2023</t>
  </si>
  <si>
    <t>BT002</t>
  </si>
  <si>
    <t>Bông tắm có mút cao cấp x 12 cái</t>
  </si>
  <si>
    <t>693000</t>
  </si>
  <si>
    <t>44</t>
  </si>
  <si>
    <t>99000</t>
  </si>
  <si>
    <t>26-10-2023</t>
  </si>
  <si>
    <t>950040</t>
  </si>
  <si>
    <t>1325000</t>
  </si>
  <si>
    <t>374960</t>
  </si>
  <si>
    <t>Lê Đà - Ngã 4</t>
  </si>
  <si>
    <t>17500</t>
  </si>
  <si>
    <t>79992</t>
  </si>
  <si>
    <t>145000</t>
  </si>
  <si>
    <t>-5000</t>
  </si>
  <si>
    <t>KTN400</t>
  </si>
  <si>
    <t>Kẹo Trang Nghiêm DÂU TÂY hộp 400g x 24 hộp/thùng</t>
  </si>
  <si>
    <t>3600</t>
  </si>
  <si>
    <t>KTN4001</t>
  </si>
  <si>
    <t>Kẹo Trang Nghiêm DÂU TẰM hộp 400g x 24 hộp/thùng</t>
  </si>
  <si>
    <t>KU1509</t>
  </si>
  <si>
    <t>Khăn ướt BBIWINEW (khổ lớn) 150g x 30 gói</t>
  </si>
  <si>
    <t>Chị Lắm - T.Nghĩa</t>
  </si>
  <si>
    <t>HTNM</t>
  </si>
  <si>
    <t>Nhang muỗi đen ThaiLan</t>
  </si>
  <si>
    <t>133000</t>
  </si>
  <si>
    <t>43000</t>
  </si>
  <si>
    <t>-20000</t>
  </si>
  <si>
    <t>27-10-2023</t>
  </si>
  <si>
    <t>5 Hiếu - T.Linh</t>
  </si>
  <si>
    <t>Hồng Loan - P.Trà</t>
  </si>
  <si>
    <t>HTF30001</t>
  </si>
  <si>
    <t>Nước giặt Fineline hồng 3L x 4 bình</t>
  </si>
  <si>
    <t>268000</t>
  </si>
  <si>
    <t>95200</t>
  </si>
  <si>
    <t>Chị Liên - T.Linh</t>
  </si>
  <si>
    <t>Shop Hope - N.V.Tiếp ( Đập Đá)</t>
  </si>
  <si>
    <t>KR402</t>
  </si>
  <si>
    <t>Khăn giấy rút SSS BiBi 2 lớp x 400gr x 12 gói</t>
  </si>
  <si>
    <t>Quán Cơm Trâm Anh - T.Linh</t>
  </si>
  <si>
    <t>28-10-2023</t>
  </si>
  <si>
    <t>Chị My (căn tin) - BV HCL</t>
  </si>
  <si>
    <t>516000</t>
  </si>
  <si>
    <t>-12000</t>
  </si>
  <si>
    <t>-12756</t>
  </si>
  <si>
    <t>TT Thu Diễm - T.H.Trung</t>
  </si>
  <si>
    <t>104000</t>
  </si>
  <si>
    <t>-16756</t>
  </si>
  <si>
    <t>TT Anh Hào - BV HCL</t>
  </si>
  <si>
    <t>BCA11</t>
  </si>
  <si>
    <t>BC Ion Eco care (NK Hàn Quốc) 48 cây x 2 hộp</t>
  </si>
  <si>
    <t>170200</t>
  </si>
  <si>
    <t>-20200</t>
  </si>
  <si>
    <t>BCJEWELL</t>
  </si>
  <si>
    <t>BÀN CHẢI ĐÁNH RĂNG ION - JEWEL</t>
  </si>
  <si>
    <t>212500</t>
  </si>
  <si>
    <t>-62500</t>
  </si>
  <si>
    <t>BCN306</t>
  </si>
  <si>
    <t>BC KAKA NANO N306 x 50 cây x 6 hộp</t>
  </si>
  <si>
    <t>275000</t>
  </si>
  <si>
    <t>TBTE180</t>
  </si>
  <si>
    <t>TBTE THÂN NHỰA BABA 180 cây x 12 hộp x 20 block</t>
  </si>
  <si>
    <t>13500</t>
  </si>
  <si>
    <t>60378</t>
  </si>
  <si>
    <t>-6378</t>
  </si>
  <si>
    <t>TT Mỹ Hạnh - T.H.Trung</t>
  </si>
  <si>
    <t>181134</t>
  </si>
  <si>
    <t>156000</t>
  </si>
  <si>
    <t>-25134</t>
  </si>
  <si>
    <t>TT Mỹ Tiên - A.Bình</t>
  </si>
  <si>
    <t>Anh Như - Chợ 307</t>
  </si>
  <si>
    <t>Chị Duyên - HCL (Thanh Mỹ)</t>
  </si>
  <si>
    <t>Mỹ Phương - HCL (Thanh Mỹ)</t>
  </si>
  <si>
    <t>HTD3000</t>
  </si>
  <si>
    <t>Nước giặt D-nee tím 3L x 4 bình</t>
  </si>
  <si>
    <t>MP Chị Út - HCL (Thanh Mỹ)</t>
  </si>
  <si>
    <t>HTD30001</t>
  </si>
  <si>
    <t>Nước giặt D-nee hồng 3L x 4 bình</t>
  </si>
  <si>
    <t>Thuận Kiều (nhà may) - Chợ 307</t>
  </si>
  <si>
    <t>345000</t>
  </si>
  <si>
    <t>79284</t>
  </si>
  <si>
    <t>-654000</t>
  </si>
  <si>
    <t>Cẩm Giang - M.Xương</t>
  </si>
  <si>
    <t>HM110</t>
  </si>
  <si>
    <t>Yến sào Finenest Saffron (hoa nghệ tây) x 10 hộp</t>
  </si>
  <si>
    <t>780000</t>
  </si>
  <si>
    <t>1680000</t>
  </si>
  <si>
    <t>158000</t>
  </si>
  <si>
    <t>-23200</t>
  </si>
  <si>
    <t>133330</t>
  </si>
  <si>
    <t>26670</t>
  </si>
  <si>
    <t>106664</t>
  </si>
  <si>
    <t>87000</t>
  </si>
  <si>
    <t>-19664</t>
  </si>
  <si>
    <t>27720</t>
  </si>
  <si>
    <t>32000</t>
  </si>
  <si>
    <t>4280</t>
  </si>
  <si>
    <t>-3000</t>
  </si>
  <si>
    <t>Dì 2 - HCL ( Thanh Mỹ)</t>
  </si>
  <si>
    <t>TH Nguyệt - T.H.Trung</t>
  </si>
  <si>
    <t>66429</t>
  </si>
  <si>
    <t>23571</t>
  </si>
  <si>
    <t>Chị Nương - HCL ( Thanh Mỹ)</t>
  </si>
  <si>
    <t>38500</t>
  </si>
  <si>
    <t>01-11-2023</t>
  </si>
  <si>
    <t>BCN193</t>
  </si>
  <si>
    <t>BC KAKA NANO N193 x 30 cây x 10 hộp</t>
  </si>
  <si>
    <t>217000</t>
  </si>
  <si>
    <t>137000</t>
  </si>
  <si>
    <t>02-11-2023</t>
  </si>
  <si>
    <t>BCN302</t>
  </si>
  <si>
    <t>BC KAKA NANO N302 x 20 cây x 20 hộp</t>
  </si>
  <si>
    <t>142000</t>
  </si>
  <si>
    <t>BCN82</t>
  </si>
  <si>
    <t>BC KaKa Nhật N82 bộ 3 cây x 9 bộ x 33 túi</t>
  </si>
  <si>
    <t>121500</t>
  </si>
  <si>
    <t>85500</t>
  </si>
  <si>
    <t>BCSILISON</t>
  </si>
  <si>
    <t>BÀN CHẢI ĐÁNH RĂNG ION - SILISON NANO</t>
  </si>
  <si>
    <t>1008000</t>
  </si>
  <si>
    <t>-246000</t>
  </si>
  <si>
    <t>BCTE001</t>
  </si>
  <si>
    <t>BCTE AquaStar (con chó) x 24 cây</t>
  </si>
  <si>
    <t>93336</t>
  </si>
  <si>
    <t>26664</t>
  </si>
  <si>
    <t>BCTE002</t>
  </si>
  <si>
    <t>BCTE AquaStar (con kiến) x 24 cây</t>
  </si>
  <si>
    <t>BCTE003</t>
  </si>
  <si>
    <t>BCTE AquaStar (con sâu) x 24 cây</t>
  </si>
  <si>
    <t>-24336</t>
  </si>
  <si>
    <t>93600</t>
  </si>
  <si>
    <t>56400</t>
  </si>
  <si>
    <t>-1053000</t>
  </si>
  <si>
    <t>03-11-2023</t>
  </si>
  <si>
    <t>38335</t>
  </si>
  <si>
    <t>62500</t>
  </si>
  <si>
    <t>24165</t>
  </si>
  <si>
    <t>Cô Huệ - B.Sao</t>
  </si>
  <si>
    <t>SBOMMUM900</t>
  </si>
  <si>
    <t>SURE OMEGA- PRO MUM 900</t>
  </si>
  <si>
    <t>04-11-2023</t>
  </si>
  <si>
    <t>157000</t>
  </si>
  <si>
    <t>-24200</t>
  </si>
  <si>
    <t>BCA001</t>
  </si>
  <si>
    <t>BC Ion Exciting lông xoắn kép 24 cây x 1 hộp</t>
  </si>
  <si>
    <t>110400</t>
  </si>
  <si>
    <t>-5400</t>
  </si>
  <si>
    <t>BCA12</t>
  </si>
  <si>
    <t>BC AquaStar AQ-01 24 cây x 20 hộp</t>
  </si>
  <si>
    <t>156400</t>
  </si>
  <si>
    <t>-16400</t>
  </si>
  <si>
    <t>BCUNIQUE</t>
  </si>
  <si>
    <t>BÀN CHẢI ĐÁNH RĂNG ION- UNIQUE</t>
  </si>
  <si>
    <t>126720</t>
  </si>
  <si>
    <t>-18720</t>
  </si>
  <si>
    <t>73000</t>
  </si>
  <si>
    <t>Kim Loan - B.H.Tây</t>
  </si>
  <si>
    <t>Phước Hải - A.Bình</t>
  </si>
  <si>
    <t>320004</t>
  </si>
  <si>
    <t>-110004</t>
  </si>
  <si>
    <t>BG5200</t>
  </si>
  <si>
    <t>Bột giặt Lady 107 -  5,2kg x 3 gói/thùng</t>
  </si>
  <si>
    <t>1058940</t>
  </si>
  <si>
    <t>1431000</t>
  </si>
  <si>
    <t>372060</t>
  </si>
  <si>
    <t>TH Hiếu (Ngọc Hiếu) - N.Mỹ</t>
  </si>
  <si>
    <t>HTBX3501</t>
  </si>
  <si>
    <t>Bánh xốp Papang vị Cam 350g x 12</t>
  </si>
  <si>
    <t>114400</t>
  </si>
  <si>
    <t>134000</t>
  </si>
  <si>
    <t>19600</t>
  </si>
  <si>
    <t>HTBX3502</t>
  </si>
  <si>
    <t>Bánh xốp Papang vị Sữa 350g x 12</t>
  </si>
  <si>
    <t>HTBXG350</t>
  </si>
  <si>
    <t>Bánh xốp Papang vị Chocolate 350g x 12</t>
  </si>
  <si>
    <t>Kim Phụng Điện - HCL</t>
  </si>
  <si>
    <t>543600</t>
  </si>
  <si>
    <t>815400</t>
  </si>
  <si>
    <t>18</t>
  </si>
  <si>
    <t>84600</t>
  </si>
  <si>
    <t>HTBX288</t>
  </si>
  <si>
    <t>Bánh xốp Uni Chocolate 288g x 12</t>
  </si>
  <si>
    <t>125400</t>
  </si>
  <si>
    <t>21600</t>
  </si>
  <si>
    <t>HTBX2881</t>
  </si>
  <si>
    <t>Bánh xốp Uni Vanila 288g x 12</t>
  </si>
  <si>
    <t>Khải Vân - HCL</t>
  </si>
  <si>
    <t>Kim Thúy - HCL</t>
  </si>
  <si>
    <t xml:space="preserve">Thuận Tài - B.H.Trung </t>
  </si>
  <si>
    <t>57200</t>
  </si>
  <si>
    <t>9800</t>
  </si>
  <si>
    <t>HTKCF140</t>
  </si>
  <si>
    <t>Kẹo Cafe United 140g X 24 gói</t>
  </si>
  <si>
    <t>2548800</t>
  </si>
  <si>
    <t>2865600</t>
  </si>
  <si>
    <t>316800</t>
  </si>
  <si>
    <t>06-11-2023</t>
  </si>
  <si>
    <t>70</t>
  </si>
  <si>
    <t>2912000</t>
  </si>
  <si>
    <t>-448000</t>
  </si>
  <si>
    <t>HTBD122</t>
  </si>
  <si>
    <t>Bánh đũa Gap Sữa 12g x 12 hộp x 12</t>
  </si>
  <si>
    <t>28200</t>
  </si>
  <si>
    <t>HTKD802</t>
  </si>
  <si>
    <t>Kẹo dẻo YOYO Assorted Mix (Thập cẩm) 80g x 24 gói</t>
  </si>
  <si>
    <t>78320</t>
  </si>
  <si>
    <t>92500</t>
  </si>
  <si>
    <t>14180</t>
  </si>
  <si>
    <t>09-11-2023</t>
  </si>
  <si>
    <t>BWW18</t>
  </si>
  <si>
    <t>Bánh quy WINWIN - Hương vị BẮP (943) 8 gói x 180g x 24 hộp</t>
  </si>
  <si>
    <t>1500</t>
  </si>
  <si>
    <t>BWW181</t>
  </si>
  <si>
    <t>Bánh quy WINWIN - Hương vị HẢI SẢN (997) 8 gói x 18g x 24 hộp</t>
  </si>
  <si>
    <t>BWW202</t>
  </si>
  <si>
    <t>Bánh quy WINWIN - Khoai tây vị BBQ (908) 8 gói x 20g x 24 hộp</t>
  </si>
  <si>
    <t>BWW203</t>
  </si>
  <si>
    <t>Bánh quy WINWIN - Khoai tây vị RAU CẢI (910) 8 gói x 20g x 24 hộp</t>
  </si>
  <si>
    <t>650000</t>
  </si>
  <si>
    <t>BC32C189</t>
  </si>
  <si>
    <t>BC ThaiLan ống 30 cây x 15 hũ</t>
  </si>
  <si>
    <t>KMQ</t>
  </si>
  <si>
    <t>Quạt chân cao</t>
  </si>
  <si>
    <t>46562</t>
  </si>
  <si>
    <t>16438</t>
  </si>
  <si>
    <t>KR1500</t>
  </si>
  <si>
    <t>Khăn rút TiOne treo tường 1500 tờ x 15 gói</t>
  </si>
  <si>
    <t>10-11-2023</t>
  </si>
  <si>
    <t>Nhung Nhựt - N.V.Tiếp</t>
  </si>
  <si>
    <t>Phượng Loan - N.V.Tiếp</t>
  </si>
  <si>
    <t>-24000</t>
  </si>
  <si>
    <t>Bảo Trân (Chị Trâm) - P.Thịnh</t>
  </si>
  <si>
    <t>KDL03</t>
  </si>
  <si>
    <t>Khăn giấy bỏ túi Jembo 10 gói x 30 cây</t>
  </si>
  <si>
    <t>KU20</t>
  </si>
  <si>
    <t>Khăn ướt Anpa 20g x 120 gói</t>
  </si>
  <si>
    <t>104400</t>
  </si>
  <si>
    <t>39600</t>
  </si>
  <si>
    <t>Ngọc Hạnh - P.Thịnh</t>
  </si>
  <si>
    <t>GC616</t>
  </si>
  <si>
    <t>GVS Panda 6 cuộn cao x 12 cuộn x 12kg</t>
  </si>
  <si>
    <t>Thanh Thúy - P.Trà</t>
  </si>
  <si>
    <t>172000</t>
  </si>
  <si>
    <t>11-11-2023</t>
  </si>
  <si>
    <t>Thái Nguyên - T.Linh</t>
  </si>
  <si>
    <t>13-11-2023</t>
  </si>
  <si>
    <t>18664</t>
  </si>
  <si>
    <t>-29336</t>
  </si>
  <si>
    <t>66665</t>
  </si>
  <si>
    <t>-12665</t>
  </si>
  <si>
    <t>13335</t>
  </si>
  <si>
    <t>535500</t>
  </si>
  <si>
    <t>525000</t>
  </si>
  <si>
    <t>-10500</t>
  </si>
  <si>
    <t>KU600</t>
  </si>
  <si>
    <t>Khăn ướt Anpa Nano bạc 600gr x 30 gói</t>
  </si>
  <si>
    <t>167000</t>
  </si>
  <si>
    <t>-8000</t>
  </si>
  <si>
    <t>Chị Sương (Thu Sương) - A.Bình</t>
  </si>
  <si>
    <t>Chị Đẹp - T.H.Trung</t>
  </si>
  <si>
    <t>195750</t>
  </si>
  <si>
    <t>29</t>
  </si>
  <si>
    <t>217500</t>
  </si>
  <si>
    <t>21750</t>
  </si>
  <si>
    <t>KH1802</t>
  </si>
  <si>
    <t>Khăn hộp Hà Nội 180 tờ x 2 lớp x 36 hộp</t>
  </si>
  <si>
    <t>692064</t>
  </si>
  <si>
    <t>-44064</t>
  </si>
  <si>
    <t>981000</t>
  </si>
  <si>
    <t>381000</t>
  </si>
  <si>
    <t>Út Bông - T.H.Trung</t>
  </si>
  <si>
    <t>3924000</t>
  </si>
  <si>
    <t>2124000</t>
  </si>
  <si>
    <t>Kim Hiếu - HCL (X.Quýt)</t>
  </si>
  <si>
    <t>-1962000</t>
  </si>
  <si>
    <t>12200</t>
  </si>
  <si>
    <t>1800</t>
  </si>
  <si>
    <t>174000</t>
  </si>
  <si>
    <t>-6000</t>
  </si>
  <si>
    <t>-31200</t>
  </si>
  <si>
    <t>Chị Phượng - HCL (Thanh Mỹ)</t>
  </si>
  <si>
    <t>Anh Dũng - HCL (Thanh Mỹ)</t>
  </si>
  <si>
    <t>-281000</t>
  </si>
  <si>
    <t>1575000</t>
  </si>
  <si>
    <t>Chị Nguyệt - T.H.Trung</t>
  </si>
  <si>
    <t>Diễm Lộc - HCL ( Thanh Mỹ)</t>
  </si>
  <si>
    <t>Nhà Sách Hùng Quyến - HCL ( Thanh Mỹ)</t>
  </si>
  <si>
    <t>14-11-2023</t>
  </si>
  <si>
    <t>1017600</t>
  </si>
  <si>
    <t>326400</t>
  </si>
  <si>
    <t>Mai Trinh (chị Trinh) - HCL</t>
  </si>
  <si>
    <t>Ngọc Lợi - N.Mỹ ( Cầu Cần Lố 3)</t>
  </si>
  <si>
    <t>KV60</t>
  </si>
  <si>
    <t>Khăn Napkin Ruby hồng 64 gói</t>
  </si>
  <si>
    <t>15-11-2023</t>
  </si>
  <si>
    <t>BCAKIRA</t>
  </si>
  <si>
    <t>BÀN CHẢI ĐÁNH RĂNG ION - AKIRA Hộp</t>
  </si>
  <si>
    <t>672000</t>
  </si>
  <si>
    <t>441600</t>
  </si>
  <si>
    <t>-230400</t>
  </si>
  <si>
    <t>16-11-2023</t>
  </si>
  <si>
    <t>BCHARU</t>
  </si>
  <si>
    <t>BÀN CHẢI ĐÁNH RĂNG ION - HARU</t>
  </si>
  <si>
    <t>-113000</t>
  </si>
  <si>
    <t>17-11-2023</t>
  </si>
  <si>
    <t>KU700</t>
  </si>
  <si>
    <t>Khăn ướt Anpa Nano 700gr x 24 gói</t>
  </si>
  <si>
    <t>-23000</t>
  </si>
  <si>
    <t>18-11-2023</t>
  </si>
  <si>
    <t>13000</t>
  </si>
  <si>
    <t>HTBG145</t>
  </si>
  <si>
    <t>Bánh gạo Bin Bin Tuyết Cay 145g x 20 gói</t>
  </si>
  <si>
    <t>31328</t>
  </si>
  <si>
    <t>37000</t>
  </si>
  <si>
    <t>5672</t>
  </si>
  <si>
    <t>HTBG1502</t>
  </si>
  <si>
    <t>Bánh gạo Bin Bin Rong Biển 150g x 20 gói</t>
  </si>
  <si>
    <t>HTKSB90</t>
  </si>
  <si>
    <t>Kẹo Sữa bò Sakara 90g x 24 gói</t>
  </si>
  <si>
    <t>75328</t>
  </si>
  <si>
    <t>14672</t>
  </si>
  <si>
    <t>-26890</t>
  </si>
  <si>
    <t>299250</t>
  </si>
  <si>
    <t>370300</t>
  </si>
  <si>
    <t>71050</t>
  </si>
  <si>
    <t>185200</t>
  </si>
  <si>
    <t>6700</t>
  </si>
  <si>
    <t>346500</t>
  </si>
  <si>
    <t>23800</t>
  </si>
  <si>
    <t>HMK1</t>
  </si>
  <si>
    <t>Yến sào Finenest kids xanh 1 lọ x 60 hộp</t>
  </si>
  <si>
    <t>246000</t>
  </si>
  <si>
    <t>-25200</t>
  </si>
  <si>
    <t>1125000</t>
  </si>
  <si>
    <t>150</t>
  </si>
  <si>
    <t>1350000</t>
  </si>
  <si>
    <t>KT50-4</t>
  </si>
  <si>
    <t>Khẩu trang y tế 4 lớp MEDICAL MASK 50 x 50 hộp</t>
  </si>
  <si>
    <t>BCN198</t>
  </si>
  <si>
    <t>BC KAKA NANO N198 x 20 x 15 hộp</t>
  </si>
  <si>
    <t>Thế Giới Con Cưng - B.H.Tây</t>
  </si>
  <si>
    <t>114000</t>
  </si>
  <si>
    <t>26000</t>
  </si>
  <si>
    <t>156640</t>
  </si>
  <si>
    <t>18360</t>
  </si>
  <si>
    <t>138600</t>
  </si>
  <si>
    <t>21400</t>
  </si>
  <si>
    <t>954000</t>
  </si>
  <si>
    <t xml:space="preserve">Quán bê thui Cảnh Nhớ - HCL </t>
  </si>
  <si>
    <t>-940000</t>
  </si>
  <si>
    <t>20-11-2023</t>
  </si>
  <si>
    <t>-1308000</t>
  </si>
  <si>
    <t>TT Huệ Long - T.H.Trung</t>
  </si>
  <si>
    <t>2616000</t>
  </si>
  <si>
    <t>1416000</t>
  </si>
  <si>
    <t>Shop Thảo Tâm - A.Bình</t>
  </si>
  <si>
    <t>332640</t>
  </si>
  <si>
    <t>51360</t>
  </si>
  <si>
    <t>Phúc Nguyên - B.Sao</t>
  </si>
  <si>
    <t>1635000</t>
  </si>
  <si>
    <t>Tú Anh - T.Nghĩa</t>
  </si>
  <si>
    <t>4560</t>
  </si>
  <si>
    <t>Kim Thủy - Chợ 307</t>
  </si>
  <si>
    <t>HTBSN901</t>
  </si>
  <si>
    <t>Snack bắp Otori vị Mực nướng 90g x 12</t>
  </si>
  <si>
    <t>HM8</t>
  </si>
  <si>
    <t>Khánh Hòa SmileNest Vàng ( CĐ) 6 lọ x 8 hộp</t>
  </si>
  <si>
    <t>392000</t>
  </si>
  <si>
    <t>568000</t>
  </si>
  <si>
    <t>22-11-2023</t>
  </si>
  <si>
    <t>HM801</t>
  </si>
  <si>
    <t>Khánh Hòa SmileNest Đỏ ( Canxi) 6 lọ x 8 hộp</t>
  </si>
  <si>
    <t>31000</t>
  </si>
  <si>
    <t>HMK102</t>
  </si>
  <si>
    <t>Yến sào Nicenest Kids đỏ 1 lọ x 60 hộp</t>
  </si>
  <si>
    <t>Ngọc Thu - P.Thịnh</t>
  </si>
  <si>
    <t>1155000</t>
  </si>
  <si>
    <t>23-11-2023</t>
  </si>
  <si>
    <t>1411920</t>
  </si>
  <si>
    <t>1908000</t>
  </si>
  <si>
    <t>496080</t>
  </si>
  <si>
    <t>24-11-2023</t>
  </si>
  <si>
    <t>-318000</t>
  </si>
  <si>
    <t>-908000</t>
  </si>
  <si>
    <t>846000</t>
  </si>
  <si>
    <t>198000</t>
  </si>
  <si>
    <t>25-11-2023</t>
  </si>
  <si>
    <t>-468000</t>
  </si>
  <si>
    <t>370000</t>
  </si>
  <si>
    <t>675000</t>
  </si>
  <si>
    <t>740000</t>
  </si>
  <si>
    <t>610000</t>
  </si>
  <si>
    <t>BBL13</t>
  </si>
  <si>
    <t>Bánh bông lan SHINO vị dâu 13 cái x 18 hộp</t>
  </si>
  <si>
    <t>BBL131</t>
  </si>
  <si>
    <t>Bánh bông lan SHINO vị cốm 13 cái x 18 hộp</t>
  </si>
  <si>
    <t>BBL132</t>
  </si>
  <si>
    <t>Bánh bông lan SHINO vị sữa chua 13 cái x 18 hộp</t>
  </si>
  <si>
    <t>8936017991012</t>
  </si>
  <si>
    <t>V/S Fairy cao cấp 10 cuộn 4 lớp</t>
  </si>
  <si>
    <t>824040</t>
  </si>
  <si>
    <t>-254040</t>
  </si>
  <si>
    <t>HMH8</t>
  </si>
  <si>
    <t>HIMA Huyết Yến 6 lọ x 8 hộp</t>
  </si>
  <si>
    <t>253800</t>
  </si>
  <si>
    <t>243000</t>
  </si>
  <si>
    <t>-10800</t>
  </si>
  <si>
    <t>350000</t>
  </si>
  <si>
    <t>Anh Tân (chị Phớt) - M.Xương</t>
  </si>
  <si>
    <t>1536000</t>
  </si>
  <si>
    <t>KMBN</t>
  </si>
  <si>
    <t>Bộ nồi 3 cái</t>
  </si>
  <si>
    <t>KU1508</t>
  </si>
  <si>
    <t>Khăn ướt Ruby &amp; Gold 150g x 30 gói</t>
  </si>
  <si>
    <t xml:space="preserve">Cô Trúc - M.Hội </t>
  </si>
  <si>
    <t>NLC2N</t>
  </si>
  <si>
    <t>C2 nhỏ</t>
  </si>
  <si>
    <t>Quán Cafe Sakê - HCL ( Thanh Mỹ)</t>
  </si>
  <si>
    <t>326970</t>
  </si>
  <si>
    <t>51030</t>
  </si>
  <si>
    <t>ĐL Bia Anh Vũ - Láng Biển</t>
  </si>
  <si>
    <t>28-11-2023</t>
  </si>
  <si>
    <t>BV500</t>
  </si>
  <si>
    <t>BÒ VIÊN II 60 viên x 500gr</t>
  </si>
  <si>
    <t>109250</t>
  </si>
  <si>
    <t>40750</t>
  </si>
  <si>
    <t>30-11-2023</t>
  </si>
  <si>
    <t>CV500</t>
  </si>
  <si>
    <t>CÁ VIÊN II 60 viên x 500gr</t>
  </si>
  <si>
    <t>106750</t>
  </si>
  <si>
    <t>43250</t>
  </si>
  <si>
    <t>XX500</t>
  </si>
  <si>
    <t>XÚC XÍCH TƯƠI XÔNG KHÓI 10 cây x 500g</t>
  </si>
  <si>
    <t>164000</t>
  </si>
  <si>
    <t>Chị Thủy - P.Thịnh</t>
  </si>
  <si>
    <t>30750</t>
  </si>
  <si>
    <t>8 Kịp - P.Thịnh</t>
  </si>
  <si>
    <t>33250</t>
  </si>
  <si>
    <t>Chị Thắm - P.Thịnh</t>
  </si>
  <si>
    <t>43700</t>
  </si>
  <si>
    <t>12300</t>
  </si>
  <si>
    <t>TT Chị Điệp - P.Thịnh</t>
  </si>
  <si>
    <t>42700</t>
  </si>
  <si>
    <t>52000</t>
  </si>
  <si>
    <t>9300</t>
  </si>
  <si>
    <t>12000</t>
  </si>
  <si>
    <t>5 Bún - P.Thịnh</t>
  </si>
  <si>
    <t>16300</t>
  </si>
  <si>
    <t>Tú Kiều - T.Nghĩa</t>
  </si>
  <si>
    <t>245000</t>
  </si>
  <si>
    <t>-15000</t>
  </si>
  <si>
    <t>Month</t>
  </si>
  <si>
    <t>Year</t>
  </si>
  <si>
    <t>Data</t>
  </si>
  <si>
    <t>Grand Total</t>
  </si>
  <si>
    <t>Tổng Doanh Thu</t>
  </si>
  <si>
    <t>Lợi Nhuận Gộp</t>
  </si>
  <si>
    <t>Tỷ Lệ Lợi Nhuận Gộp</t>
  </si>
  <si>
    <t>Giá Bán Trung Bình</t>
  </si>
  <si>
    <t>SL Xuất Thực</t>
  </si>
  <si>
    <t>Tổng Lợi Nhuận Gộp</t>
  </si>
  <si>
    <t>TB Tỷ Lệ Lợi Nhuận Gộp</t>
  </si>
  <si>
    <t>Tổng SL Xuất Thực</t>
  </si>
  <si>
    <t>F</t>
  </si>
  <si>
    <t>R</t>
  </si>
  <si>
    <t>M</t>
  </si>
  <si>
    <t>Số Ngày</t>
  </si>
  <si>
    <t>R_Score</t>
  </si>
  <si>
    <t>F_Score</t>
  </si>
  <si>
    <t>M_Score</t>
  </si>
  <si>
    <t>RFM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</si>
</sst>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29">
    <xf numFmtId="0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0" fillId="5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1" xfId="0" pivotButton="1" applyNumberFormat="1" applyFont="1" applyFill="1" applyBorder="1" applyAlignment="1"/>
    <xf numFmtId="0" fontId="0" fillId="0" borderId="4" xfId="0" applyNumberFormat="1" applyFont="1" applyFill="1" applyBorder="1" applyAlignment="1"/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9" fontId="0" fillId="0" borderId="0" xfId="0" applyNumberFormat="1" applyFont="1" applyFill="1" applyBorder="1" applyAlignment="1"/>
    <xf numFmtId="9" fontId="0" fillId="0" borderId="9" xfId="0" applyNumberFormat="1" applyFont="1" applyFill="1" applyBorder="1" applyAlignment="1"/>
    <xf numFmtId="9" fontId="0" fillId="0" borderId="10" xfId="0" applyNumberFormat="1" applyFont="1" applyFill="1" applyBorder="1" applyAlignment="1"/>
    <xf numFmtId="3" fontId="0" fillId="0" borderId="5" xfId="0" applyNumberFormat="1" applyFont="1" applyFill="1" applyBorder="1" applyAlignment="1"/>
    <xf numFmtId="3" fontId="0" fillId="0" borderId="8" xfId="0" applyNumberFormat="1" applyFont="1" applyFill="1" applyBorder="1" applyAlignment="1"/>
    <xf numFmtId="3" fontId="0" fillId="0" borderId="6" xfId="0" applyNumberFormat="1" applyFont="1" applyFill="1" applyBorder="1" applyAlignment="1"/>
    <xf numFmtId="14" fontId="0" fillId="0" borderId="1" xfId="0" applyNumberFormat="1" applyFont="1" applyFill="1" applyBorder="1" applyAlignment="1"/>
    <xf numFmtId="14" fontId="0" fillId="0" borderId="7" xfId="0" applyNumberFormat="1" applyFont="1" applyFill="1" applyBorder="1" applyAlignment="1"/>
    <xf numFmtId="14" fontId="0" fillId="0" borderId="4" xfId="0" applyNumberFormat="1" applyFont="1" applyFill="1" applyBorder="1" applyAlignment="1"/>
    <xf numFmtId="0" fontId="2" fillId="0" borderId="1" xfId="0" applyNumberFormat="1" applyFont="1" applyFill="1" applyBorder="1" applyAlignment="1"/>
  </cellXfs>
  <cellStyles count="1">
    <cellStyle name="Normal" xfId="0" builtinId="0"/>
  </cellStyles>
  <dxfs count="7"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506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129540</xdr:colOff>
      <xdr:row>0</xdr:row>
      <xdr:rowOff>0</xdr:rowOff>
    </xdr:from>
    <xdr:to>
      <xdr:col>23</xdr:col>
      <xdr:colOff>0</xdr:colOff>
      <xdr:row>2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A4FE3C-5C86-49A5-5B43-09243603F8E6}"/>
            </a:ext>
          </a:extLst>
        </xdr:cNvPr>
        <xdr:cNvSpPr/>
      </xdr:nvSpPr>
      <xdr:spPr>
        <a:xfrm>
          <a:off x="129540" y="0"/>
          <a:ext cx="14150340" cy="487680"/>
        </a:xfrm>
        <a:prstGeom prst="rect">
          <a:avLst/>
        </a:prstGeom>
        <a:solidFill>
          <a:srgbClr val="05060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243840</xdr:colOff>
      <xdr:row>0</xdr:row>
      <xdr:rowOff>30480</xdr:rowOff>
    </xdr:from>
    <xdr:to>
      <xdr:col>7</xdr:col>
      <xdr:colOff>601980</xdr:colOff>
      <xdr:row>2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D3914-F8EC-22AC-3858-FC316BCEF913}"/>
            </a:ext>
          </a:extLst>
        </xdr:cNvPr>
        <xdr:cNvSpPr txBox="1"/>
      </xdr:nvSpPr>
      <xdr:spPr>
        <a:xfrm>
          <a:off x="990600" y="30480"/>
          <a:ext cx="34061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QUẢN</a:t>
          </a:r>
          <a:r>
            <a:rPr lang="en-US" sz="2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LÝ BÁN HÀNG</a:t>
          </a:r>
          <a:endParaRPr lang="en-US" sz="20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137160</xdr:colOff>
      <xdr:row>0</xdr:row>
      <xdr:rowOff>22860</xdr:rowOff>
    </xdr:from>
    <xdr:to>
      <xdr:col>22</xdr:col>
      <xdr:colOff>975360</xdr:colOff>
      <xdr:row>2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1C8563-F0AB-4847-9C45-1B5ECA2FADDB}"/>
            </a:ext>
          </a:extLst>
        </xdr:cNvPr>
        <xdr:cNvSpPr txBox="1"/>
      </xdr:nvSpPr>
      <xdr:spPr>
        <a:xfrm>
          <a:off x="11247120" y="22860"/>
          <a:ext cx="266700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  <xdr:twoCellAnchor>
    <xdr:from>
      <xdr:col>10</xdr:col>
      <xdr:colOff>289560</xdr:colOff>
      <xdr:row>0</xdr:row>
      <xdr:rowOff>45720</xdr:rowOff>
    </xdr:from>
    <xdr:to>
      <xdr:col>14</xdr:col>
      <xdr:colOff>518160</xdr:colOff>
      <xdr:row>2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E8FED5-6DCA-4660-83E1-E326343F64B6}"/>
            </a:ext>
          </a:extLst>
        </xdr:cNvPr>
        <xdr:cNvSpPr txBox="1"/>
      </xdr:nvSpPr>
      <xdr:spPr>
        <a:xfrm>
          <a:off x="5913120" y="45720"/>
          <a:ext cx="266700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9-11</a:t>
          </a:r>
        </a:p>
      </xdr:txBody>
    </xdr:sp>
    <xdr:clientData/>
  </xdr:twoCellAnchor>
  <xdr:twoCellAnchor>
    <xdr:from>
      <xdr:col>16</xdr:col>
      <xdr:colOff>441960</xdr:colOff>
      <xdr:row>2</xdr:row>
      <xdr:rowOff>144780</xdr:rowOff>
    </xdr:from>
    <xdr:to>
      <xdr:col>18</xdr:col>
      <xdr:colOff>266700</xdr:colOff>
      <xdr:row>5</xdr:row>
      <xdr:rowOff>137160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EC6D51-4942-47C1-A41A-FF9B77BF82D1}"/>
            </a:ext>
          </a:extLst>
        </xdr:cNvPr>
        <xdr:cNvSpPr txBox="1"/>
      </xdr:nvSpPr>
      <xdr:spPr>
        <a:xfrm>
          <a:off x="9723120" y="480060"/>
          <a:ext cx="10439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Doanh Thu</a:t>
          </a:r>
        </a:p>
      </xdr:txBody>
    </xdr:sp>
    <xdr:clientData/>
  </xdr:twoCellAnchor>
  <xdr:twoCellAnchor>
    <xdr:from>
      <xdr:col>1</xdr:col>
      <xdr:colOff>381000</xdr:colOff>
      <xdr:row>2</xdr:row>
      <xdr:rowOff>160020</xdr:rowOff>
    </xdr:from>
    <xdr:to>
      <xdr:col>3</xdr:col>
      <xdr:colOff>434340</xdr:colOff>
      <xdr:row>5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64CC03-19B8-4FC8-833C-78EB073DA23F}"/>
            </a:ext>
          </a:extLst>
        </xdr:cNvPr>
        <xdr:cNvSpPr txBox="1"/>
      </xdr:nvSpPr>
      <xdr:spPr>
        <a:xfrm>
          <a:off x="518160" y="49530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Tổng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Hàng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381000</xdr:colOff>
      <xdr:row>2</xdr:row>
      <xdr:rowOff>152400</xdr:rowOff>
    </xdr:from>
    <xdr:to>
      <xdr:col>8</xdr:col>
      <xdr:colOff>434340</xdr:colOff>
      <xdr:row>5</xdr:row>
      <xdr:rowOff>144780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E1311C-ED2F-4697-AEEC-59011A52B5D4}"/>
            </a:ext>
          </a:extLst>
        </xdr:cNvPr>
        <xdr:cNvSpPr txBox="1"/>
      </xdr:nvSpPr>
      <xdr:spPr>
        <a:xfrm>
          <a:off x="3566160" y="48768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Tiền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Nhập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365760</xdr:colOff>
      <xdr:row>2</xdr:row>
      <xdr:rowOff>144780</xdr:rowOff>
    </xdr:from>
    <xdr:to>
      <xdr:col>13</xdr:col>
      <xdr:colOff>419100</xdr:colOff>
      <xdr:row>5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A52F0A-A0FE-4B84-9C6B-43258240D40D}"/>
            </a:ext>
          </a:extLst>
        </xdr:cNvPr>
        <xdr:cNvSpPr txBox="1"/>
      </xdr:nvSpPr>
      <xdr:spPr>
        <a:xfrm>
          <a:off x="6598920" y="48006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Tiền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Xuất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548640</xdr:colOff>
      <xdr:row>2</xdr:row>
      <xdr:rowOff>160020</xdr:rowOff>
    </xdr:from>
    <xdr:to>
      <xdr:col>22</xdr:col>
      <xdr:colOff>601980</xdr:colOff>
      <xdr:row>5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0D7FA1-72A0-4335-A271-B48607D5C5FB}"/>
            </a:ext>
          </a:extLst>
        </xdr:cNvPr>
        <xdr:cNvSpPr txBox="1"/>
      </xdr:nvSpPr>
      <xdr:spPr>
        <a:xfrm>
          <a:off x="12268200" y="49530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Khách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Hàng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457200</xdr:colOff>
      <xdr:row>4</xdr:row>
      <xdr:rowOff>160020</xdr:rowOff>
    </xdr:from>
    <xdr:to>
      <xdr:col>18</xdr:col>
      <xdr:colOff>281940</xdr:colOff>
      <xdr:row>7</xdr:row>
      <xdr:rowOff>83820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E14F226-3B07-A557-A3E6-9FC06B23F5C6}"/>
            </a:ext>
          </a:extLst>
        </xdr:cNvPr>
        <xdr:cNvSpPr txBox="1"/>
      </xdr:nvSpPr>
      <xdr:spPr>
        <a:xfrm>
          <a:off x="9738360" y="762000"/>
          <a:ext cx="10439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Doanh Thu</a:t>
          </a:r>
        </a:p>
      </xdr:txBody>
    </xdr:sp>
    <xdr:clientData/>
  </xdr:twoCellAnchor>
  <xdr:twoCellAnchor>
    <xdr:from>
      <xdr:col>1</xdr:col>
      <xdr:colOff>396240</xdr:colOff>
      <xdr:row>5</xdr:row>
      <xdr:rowOff>7620</xdr:rowOff>
    </xdr:from>
    <xdr:to>
      <xdr:col>3</xdr:col>
      <xdr:colOff>449580</xdr:colOff>
      <xdr:row>7</xdr:row>
      <xdr:rowOff>99060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5C4AA5-6D80-003E-C7A1-C57F70500932}"/>
            </a:ext>
          </a:extLst>
        </xdr:cNvPr>
        <xdr:cNvSpPr txBox="1"/>
      </xdr:nvSpPr>
      <xdr:spPr>
        <a:xfrm>
          <a:off x="533400" y="77724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Tổng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Hàng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396240</xdr:colOff>
      <xdr:row>5</xdr:row>
      <xdr:rowOff>0</xdr:rowOff>
    </xdr:from>
    <xdr:to>
      <xdr:col>8</xdr:col>
      <xdr:colOff>449580</xdr:colOff>
      <xdr:row>7</xdr:row>
      <xdr:rowOff>91440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CF1F37-42FF-9B2F-92BC-3BE60638D973}"/>
            </a:ext>
          </a:extLst>
        </xdr:cNvPr>
        <xdr:cNvSpPr txBox="1"/>
      </xdr:nvSpPr>
      <xdr:spPr>
        <a:xfrm>
          <a:off x="3581400" y="76962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Tiền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Nhập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381000</xdr:colOff>
      <xdr:row>4</xdr:row>
      <xdr:rowOff>160020</xdr:rowOff>
    </xdr:from>
    <xdr:to>
      <xdr:col>13</xdr:col>
      <xdr:colOff>434340</xdr:colOff>
      <xdr:row>7</xdr:row>
      <xdr:rowOff>83820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9210015-9D0C-1CE2-C94A-AA1B5783886C}"/>
            </a:ext>
          </a:extLst>
        </xdr:cNvPr>
        <xdr:cNvSpPr txBox="1"/>
      </xdr:nvSpPr>
      <xdr:spPr>
        <a:xfrm>
          <a:off x="6614160" y="76200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Tiền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Xuất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563880</xdr:colOff>
      <xdr:row>5</xdr:row>
      <xdr:rowOff>7620</xdr:rowOff>
    </xdr:from>
    <xdr:to>
      <xdr:col>22</xdr:col>
      <xdr:colOff>617220</xdr:colOff>
      <xdr:row>7</xdr:row>
      <xdr:rowOff>99060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A2B3E30-5A15-5E05-C697-B12097DD34FA}"/>
            </a:ext>
          </a:extLst>
        </xdr:cNvPr>
        <xdr:cNvSpPr txBox="1"/>
      </xdr:nvSpPr>
      <xdr:spPr>
        <a:xfrm>
          <a:off x="12283440" y="777240"/>
          <a:ext cx="12725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Khách</a:t>
          </a:r>
          <a:r>
            <a:rPr lang="en-US" sz="12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Hàng</a:t>
          </a:r>
          <a:endParaRPr lang="en-US" sz="1200" b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0.721108217593" createdVersion="1" refreshedVersion="8" recordCount="842" upgradeOnRefresh="1" xr:uid="{E85F139D-0D67-4C1E-9BA7-E3365A1F4F15}">
  <cacheSource type="worksheet">
    <worksheetSource ref="A1:Q65536" sheet="Refined Data"/>
  </cacheSource>
  <cacheFields count="17">
    <cacheField name="STT" numFmtId="0">
      <sharedItems containsString="0" containsBlank="1" containsNumber="1" containsInteger="1" minValue="1" maxValue="841"/>
    </cacheField>
    <cacheField name="Mã" numFmtId="0">
      <sharedItems containsBlank="1"/>
    </cacheField>
    <cacheField name="Hàng" numFmtId="0">
      <sharedItems containsBlank="1"/>
    </cacheField>
    <cacheField name="ĐVT" numFmtId="0">
      <sharedItems containsBlank="1"/>
    </cacheField>
    <cacheField name="Tiền Nhập" numFmtId="0">
      <sharedItems containsString="0" containsBlank="1" containsNumber="1" containsInteger="1" minValue="0" maxValue="3360000"/>
    </cacheField>
    <cacheField name="SL Xuất KM" numFmtId="0">
      <sharedItems containsString="0" containsBlank="1" containsNumber="1" containsInteger="1" minValue="0" maxValue="48"/>
    </cacheField>
    <cacheField name="SL Xuất" numFmtId="0">
      <sharedItems containsString="0" containsBlank="1" containsNumber="1" containsInteger="1" minValue="0" maxValue="240"/>
    </cacheField>
    <cacheField name="Tiền Xuất" numFmtId="0">
      <sharedItems containsString="0" containsBlank="1" containsNumber="1" containsInteger="1" minValue="-7878000" maxValue="3924000"/>
    </cacheField>
    <cacheField name="Doanh Thu" numFmtId="0">
      <sharedItems containsString="0" containsBlank="1" containsNumber="1" containsInteger="1" minValue="-7878000" maxValue="2124000"/>
    </cacheField>
    <cacheField name="Ngày Xuất" numFmtId="0">
      <sharedItems containsNonDate="0" containsDate="1" containsString="0" containsBlank="1" minDate="2023-09-01T00:00:00" maxDate="2023-12-01T00:00:00"/>
    </cacheField>
    <cacheField name="Khách hàng" numFmtId="0">
      <sharedItems containsBlank="1"/>
    </cacheField>
    <cacheField name="Month" numFmtId="0">
      <sharedItems containsString="0" containsBlank="1" containsNumber="1" containsInteger="1" minValue="9" maxValue="11" count="4">
        <n v="9"/>
        <n v="10"/>
        <n v="11"/>
        <m/>
      </sharedItems>
    </cacheField>
    <cacheField name="Year" numFmtId="0">
      <sharedItems containsString="0" containsBlank="1" containsNumber="1" containsInteger="1" minValue="2023" maxValue="2023"/>
    </cacheField>
    <cacheField name="Lợi Nhuận Gộp" numFmtId="0">
      <sharedItems containsString="0" containsBlank="1" containsNumber="1" containsInteger="1" minValue="-7878000" maxValue="324000"/>
    </cacheField>
    <cacheField name="Tỷ Lệ Lợi Nhuận Gộp" numFmtId="9">
      <sharedItems containsString="0" containsBlank="1" containsNumber="1" minValue="-2.1839587932303166" maxValue="1.5"/>
    </cacheField>
    <cacheField name="Giá Bán Trung Bình" numFmtId="0">
      <sharedItems containsString="0" containsBlank="1" containsNumber="1" minValue="-8333.3333333333339" maxValue="280000"/>
    </cacheField>
    <cacheField name="SL Xuất Thực" numFmtId="0">
      <sharedItems containsString="0" containsBlank="1" containsNumber="1" containsInteger="1" minValue="-36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0.754659259263" createdVersion="1" refreshedVersion="8" recordCount="842" upgradeOnRefresh="1" xr:uid="{41D2FD75-3497-4B72-8804-FEEAD05921BD}">
  <cacheSource type="worksheet">
    <worksheetSource name="PVData"/>
  </cacheSource>
  <cacheFields count="13">
    <cacheField name="STT" numFmtId="0">
      <sharedItems containsString="0" containsBlank="1" containsNumber="1" containsInteger="1" minValue="1" maxValue="841"/>
    </cacheField>
    <cacheField name="Mã" numFmtId="0">
      <sharedItems containsBlank="1"/>
    </cacheField>
    <cacheField name="Hàng" numFmtId="0">
      <sharedItems containsBlank="1"/>
    </cacheField>
    <cacheField name="ĐVT" numFmtId="0">
      <sharedItems containsBlank="1"/>
    </cacheField>
    <cacheField name="Tiền Nhập" numFmtId="0">
      <sharedItems containsString="0" containsBlank="1" containsNumber="1" containsInteger="1" minValue="0" maxValue="3360000"/>
    </cacheField>
    <cacheField name="SL Xuất KM" numFmtId="0">
      <sharedItems containsString="0" containsBlank="1" containsNumber="1" containsInteger="1" minValue="0" maxValue="48"/>
    </cacheField>
    <cacheField name="SL Xuất" numFmtId="0">
      <sharedItems containsString="0" containsBlank="1" containsNumber="1" containsInteger="1" minValue="0" maxValue="240"/>
    </cacheField>
    <cacheField name="Tiền Xuất" numFmtId="0">
      <sharedItems containsString="0" containsBlank="1" containsNumber="1" containsInteger="1" minValue="-7878000" maxValue="3924000"/>
    </cacheField>
    <cacheField name="Doanh Thu" numFmtId="0">
      <sharedItems containsString="0" containsBlank="1" containsNumber="1" containsInteger="1" minValue="-7878000" maxValue="2124000"/>
    </cacheField>
    <cacheField name="Ngày Xuất" numFmtId="0">
      <sharedItems containsNonDate="0" containsDate="1" containsString="0" containsBlank="1" minDate="2023-09-01T00:00:00" maxDate="2023-12-01T00:00:00"/>
    </cacheField>
    <cacheField name="Khách hàng" numFmtId="0">
      <sharedItems containsBlank="1" count="165">
        <s v="Xuân Bình - M.Hiệp"/>
        <s v="Bé Bắp - N.Mỹ"/>
        <s v="Căn tin BV Phổi( Chị Duyên) - BV phổi"/>
        <s v="MP Nhanh - M.Hiệp"/>
        <s v="Chị Nga - HCL"/>
        <s v="Mỹ Nhân - N.Mỹ"/>
        <s v="Điện thoại Tuấn - N.Mỹ"/>
        <s v="4 Điều - M.Trắng"/>
        <s v="TT Hải Hà - HCL"/>
        <s v="TH Trương Vy - A.Bình 2"/>
        <s v="Thế Giới Con Cưng - HCL"/>
        <s v="Hải Vân - HCL (Thanh Mỹ)"/>
        <s v="Chị Tuyết - HCL (N.Mỹ)"/>
        <s v="Thanh Nhàn - N.Mỹ"/>
        <s v="Hồng Hạnh - P.Mỹ (cầu Trâu Trắng)"/>
        <s v="TT Hoàng Yến - M.Long"/>
        <s v="Minh Hiền (chị Ớ) - B.H.Trung"/>
        <s v="Chị Xuyên - M.Long"/>
        <s v="Chị Linh (bán bọc) - HCL"/>
        <s v="TT Ngọc Hạnh - Đ.Mối"/>
        <s v="TH Trinh (Mỹ Trinh) - HCL (cuối chợ)"/>
        <s v="TT Nguyễn Thị Định - M.Xương"/>
        <s v="TT Trung Tuấn - B.H.Tây"/>
        <s v="Vương Quốc Sữa - B.H.Trung"/>
        <s v="Chị Oanh - M.Long"/>
        <s v="Thiên Phú - M.Long"/>
        <s v="Trung Phụng - T.H.Trung"/>
        <s v="Sữa tả Hoàng Trúc - HCL (T.Mỹ)"/>
        <s v="Su Trường - T.H.Trung"/>
        <s v="TT Đông Nghi - P.Mỹ"/>
        <s v="Anh Nghiệp (Cậu 2 Nhựt) - Ngã 4"/>
        <s v="Thanh Tâm - Ngã 4"/>
        <s v="TH An ( Lê Đà) - Ngã 4"/>
        <s v="Thế giới sữa Tony - T.Nghĩa"/>
        <s v="5 Phụng - T.Nghĩa"/>
        <s v="Tường Sang - T.Nghĩa"/>
        <s v="An Nhiên - T.Nghĩa"/>
        <s v="Cô Dọ - T.Linh"/>
        <s v="Đạt Hường - P.Thịnh"/>
        <s v="Mỹ Hạnh - HCL"/>
        <s v="TT Hải Châu - T.H.Trung"/>
        <s v="TT Ngọc Trinh - B.H.Trung"/>
        <s v="Chị Thắm (Hồng Thắm) - B.H.Tây"/>
        <s v="TT Hữu Nghị - M.Trắng"/>
        <s v="Chị Đào - T.H.Trung"/>
        <s v="TH Ngân (chị Ngân) - T.H.Trung"/>
        <s v="Chị Hạnh - M.Trắng"/>
        <s v="Kim Quyên - M.Trắng"/>
        <s v="Như Ý - M.Trắng"/>
        <s v="Uốn tóc Kim Phụng - M.Trắng"/>
        <s v="Chú 7 Vân - B.H.Tây"/>
        <s v="6 Trạng - M.Trắng"/>
        <s v="Chị Thủy (đồ nhựa) - T.H.Trung"/>
        <s v="TT Kim Dung - M.Hiệp"/>
        <s v="Trinh Nữ - M.Trắng"/>
        <s v="TT Bảo Hạnh - M.Trắng"/>
        <s v="Ngọc Khánh ( Mỹ Khánh ) - M.Trắng"/>
        <s v="Thảo Vy - HCL"/>
        <s v="Tuấn Kiệt - M.Long"/>
        <s v="Thông Thảo - P.Mỹ (QL30)"/>
        <s v="TT Minh Huệ - B.H.Trung"/>
        <s v="Hoàng Huyên - M.Long"/>
        <s v="Kim Hường - B.H.Tây"/>
        <s v="TT Đông Nguyên - M.Long"/>
        <s v="Ngọc Như - M.Long"/>
        <s v="Tố Quyên - T.H.Trung"/>
        <s v="Tuyết Lài ( Chị Lài) - B.H.Trung"/>
        <s v="Dung Vũ (đồ nhựa) - T.H.Trung"/>
        <s v="Chị Lan - T.H.Trung"/>
        <s v="Gas Hồng Ngọc - M.Hội"/>
        <s v="Chị Nhung - T.Nghĩa"/>
        <s v="Ngọc Huyền - Gáo Giồng"/>
        <s v="Ngọc Thắm - T.Nghĩa"/>
        <s v="Lợi Thủy - Gáo Giồng"/>
        <s v="Thu Trang - T.Nghĩa"/>
        <s v="Chị Bích - T.Linh"/>
        <s v="Ánh Tuyết (Tuyết Thành) - T.Linh"/>
        <s v="Tuấn Quyên - P.Thịnh"/>
        <s v="Chị Thúy - Gáo Giồng"/>
        <s v="Tuyết Lan - B.H.Tây"/>
        <s v="TT Kim Thoa - M.Long"/>
        <s v="CH sữa tả Quý Ngọc - B.H.Trung"/>
        <s v="Mẹ &amp; Bé ( Mẹ Yêu Con) - M.Hiệp"/>
        <s v="Thu Thủy - P.Mỹ (cầu Trâu Trắng)"/>
        <s v="Trúc Ly - Ba Sao"/>
        <s v="TT Ngọc Cát Tường - N.V.Tiếp"/>
        <s v="Thanh Nhã - M.Long"/>
        <s v="Trường An - Đ.Mối"/>
        <s v="Chị Cúc (Bạch Cúc) - HCL "/>
        <s v="Cô 7 - X.Quýt"/>
        <s v="Chị Thùy - X.Quýt"/>
        <s v="Thanh Trang - HCL"/>
        <s v="TT Minh Phương - T.H.Trung"/>
        <s v="Hiệp Hòa (dì Hồng) - HCL"/>
        <s v="TH Bình Minh - M.Trắng"/>
        <s v="Mẹ &amp; Bé (Hồng Nhung) - M.Long"/>
        <s v="9 Tiến - M.Trắng"/>
        <s v="4 Xinh - M.Trắng"/>
        <s v="MP Út Tuyền - B.Sao"/>
        <s v="Cô Triết - T.H.Trung"/>
        <s v="Lê Đà - Ngã 4"/>
        <s v="Chị Lắm - T.Nghĩa"/>
        <s v="5 Hiếu - T.Linh"/>
        <s v="Hồng Loan - P.Trà"/>
        <s v="Chị Liên - T.Linh"/>
        <s v="Shop Hope - N.V.Tiếp ( Đập Đá)"/>
        <s v="Quán Cơm Trâm Anh - T.Linh"/>
        <s v="Chị My (căn tin) - BV HCL"/>
        <s v="TT Thu Diễm - T.H.Trung"/>
        <s v="TT Anh Hào - BV HCL"/>
        <s v="TT Mỹ Hạnh - T.H.Trung"/>
        <s v="TT Mỹ Tiên - A.Bình"/>
        <s v="Anh Như - Chợ 307"/>
        <s v="Chị Duyên - HCL (Thanh Mỹ)"/>
        <s v="Mỹ Phương - HCL (Thanh Mỹ)"/>
        <s v="MP Chị Út - HCL (Thanh Mỹ)"/>
        <s v="Thuận Kiều (nhà may) - Chợ 307"/>
        <s v="Cẩm Giang - M.Xương"/>
        <s v="Dì 2 - HCL ( Thanh Mỹ)"/>
        <s v="TH Nguyệt - T.H.Trung"/>
        <s v="Chị Nương - HCL ( Thanh Mỹ)"/>
        <s v="Cô Huệ - B.Sao"/>
        <s v="Kim Loan - B.H.Tây"/>
        <s v="Phước Hải - A.Bình"/>
        <s v="TH Hiếu (Ngọc Hiếu) - N.Mỹ"/>
        <s v="Kim Phụng Điện - HCL"/>
        <s v="Khải Vân - HCL"/>
        <s v="Kim Thúy - HCL"/>
        <s v="Thuận Tài - B.H.Trung "/>
        <s v="Nhung Nhựt - N.V.Tiếp"/>
        <s v="Phượng Loan - N.V.Tiếp"/>
        <s v="Bảo Trân (Chị Trâm) - P.Thịnh"/>
        <s v="Ngọc Hạnh - P.Thịnh"/>
        <s v="Thanh Thúy - P.Trà"/>
        <s v="Thái Nguyên - T.Linh"/>
        <s v="Chị Sương (Thu Sương) - A.Bình"/>
        <s v="Chị Đẹp - T.H.Trung"/>
        <s v="Út Bông - T.H.Trung"/>
        <s v="Kim Hiếu - HCL (X.Quýt)"/>
        <s v="Chị Phượng - HCL (Thanh Mỹ)"/>
        <s v="Anh Dũng - HCL (Thanh Mỹ)"/>
        <s v="Chị Nguyệt - T.H.Trung"/>
        <s v="Diễm Lộc - HCL ( Thanh Mỹ)"/>
        <s v="Nhà Sách Hùng Quyến - HCL ( Thanh Mỹ)"/>
        <s v="Mai Trinh (chị Trinh) - HCL"/>
        <s v="Ngọc Lợi - N.Mỹ ( Cầu Cần Lố 3)"/>
        <s v="Thế Giới Con Cưng - B.H.Tây"/>
        <s v="Quán bê thui Cảnh Nhớ - HCL "/>
        <s v="TT Huệ Long - T.H.Trung"/>
        <s v="Shop Thảo Tâm - A.Bình"/>
        <s v="Phúc Nguyên - B.Sao"/>
        <s v="Tú Anh - T.Nghĩa"/>
        <s v="Kim Thủy - Chợ 307"/>
        <s v="Ngọc Thu - P.Thịnh"/>
        <s v="Anh Tân (chị Phớt) - M.Xương"/>
        <s v="Cô Trúc - M.Hội "/>
        <s v="Quán Cafe Sakê - HCL ( Thanh Mỹ)"/>
        <s v="ĐL Bia Anh Vũ - Láng Biển"/>
        <s v="Chị Thủy - P.Thịnh"/>
        <s v="8 Kịp - P.Thịnh"/>
        <s v="Chị Thắm - P.Thịnh"/>
        <s v="TT Chị Điệp - P.Thịnh"/>
        <s v="5 Bún - P.Thịnh"/>
        <s v="Tú Kiều - T.Nghĩa"/>
        <m/>
      </sharedItems>
    </cacheField>
    <cacheField name="Month" numFmtId="0">
      <sharedItems containsString="0" containsBlank="1" containsNumber="1" containsInteger="1" minValue="9" maxValue="11"/>
    </cacheField>
    <cacheField name="Year" numFmtId="0">
      <sharedItems containsString="0" containsBlank="1" containsNumber="1" containsInteger="1" minValue="2023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2">
  <r>
    <n v="1"/>
    <s v="KV100"/>
    <s v="Khăn Napkin Toply 100 tờ x 48 gói"/>
    <s v="Gói"/>
    <n v="691200"/>
    <n v="0"/>
    <n v="96"/>
    <n v="1036800"/>
    <n v="345600"/>
    <d v="2023-09-01T00:00:00"/>
    <s v="Xuân Bình - M.Hiệp"/>
    <x v="0"/>
    <n v="2023"/>
    <n v="-345600"/>
    <n v="-0.5"/>
    <n v="10800"/>
    <n v="96"/>
  </r>
  <r>
    <n v="2"/>
    <s v="TLM"/>
    <s v="Tẩy toilet Liên Minh (nguyên liệu nhập khẩu) x 12 chai"/>
    <s v="Chai"/>
    <n v="800040"/>
    <n v="0"/>
    <n v="60"/>
    <n v="1100040"/>
    <n v="300000"/>
    <d v="2023-09-01T00:00:00"/>
    <s v="Xuân Bình - M.Hiệp"/>
    <x v="0"/>
    <n v="2023"/>
    <n v="-500040"/>
    <n v="-0.62501874906254684"/>
    <n v="18334"/>
    <n v="60"/>
  </r>
  <r>
    <n v="3"/>
    <s v="NG3600"/>
    <s v="Nước giặt Kimono 6 in 1 (tím) x 3,6kg x 4 bình"/>
    <s v="Bình"/>
    <n v="365000"/>
    <n v="0"/>
    <n v="4"/>
    <n v="480000"/>
    <n v="115000"/>
    <d v="2023-09-01T00:00:00"/>
    <s v="Bé Bắp - N.Mỹ"/>
    <x v="0"/>
    <n v="2023"/>
    <n v="-250000"/>
    <n v="-0.68493150684931503"/>
    <n v="120000"/>
    <n v="4"/>
  </r>
  <r>
    <n v="4"/>
    <s v="KV1002"/>
    <s v="Khăn Napkin TiOne nâu 100 tờ x 30 gói"/>
    <s v="Gói"/>
    <n v="1296000"/>
    <n v="0"/>
    <n v="180"/>
    <n v="1692000"/>
    <n v="396000"/>
    <d v="2023-09-01T00:00:00"/>
    <s v="Căn tin BV Phổi( Chị Duyên) - BV phổi"/>
    <x v="0"/>
    <n v="2023"/>
    <n v="-900000"/>
    <n v="-0.69444444444444442"/>
    <n v="9400"/>
    <n v="180"/>
  </r>
  <r>
    <n v="5"/>
    <s v="BCTEM32"/>
    <s v="BCTE N32 (xe) x 12 x 30 hộp"/>
    <s v="Cây"/>
    <n v="46800"/>
    <n v="0"/>
    <n v="6"/>
    <n v="66000"/>
    <n v="19200"/>
    <d v="2023-09-01T00:00:00"/>
    <s v="MP Nhanh - M.Hiệp"/>
    <x v="0"/>
    <n v="2023"/>
    <n v="-27600"/>
    <n v="-0.58974358974358976"/>
    <n v="11000"/>
    <n v="6"/>
  </r>
  <r>
    <n v="6"/>
    <s v="BCTEM35"/>
    <s v="BCTE N35 (búp bê) x 12 x 30 hộp"/>
    <s v="Cây"/>
    <n v="46800"/>
    <n v="0"/>
    <n v="6"/>
    <n v="66000"/>
    <n v="19200"/>
    <d v="2023-09-01T00:00:00"/>
    <s v="MP Nhanh - M.Hiệp"/>
    <x v="0"/>
    <n v="2023"/>
    <n v="-27600"/>
    <n v="-0.58974358974358976"/>
    <n v="11000"/>
    <n v="6"/>
  </r>
  <r>
    <n v="7"/>
    <s v="BCTEN36"/>
    <s v="BCTE N36 (đồng hồ) x 18 x 20 hộp"/>
    <s v="Cây"/>
    <n v="46800"/>
    <n v="0"/>
    <n v="6"/>
    <n v="66000"/>
    <n v="19200"/>
    <d v="2023-09-01T00:00:00"/>
    <s v="MP Nhanh - M.Hiệp"/>
    <x v="0"/>
    <n v="2023"/>
    <n v="-27600"/>
    <n v="-0.58974358974358976"/>
    <n v="11000"/>
    <n v="6"/>
  </r>
  <r>
    <n v="8"/>
    <s v="KU100"/>
    <s v="Khăn ướt Begin 100 tờ x 20 gói"/>
    <s v="Gói"/>
    <n v="340000"/>
    <n v="5"/>
    <n v="20"/>
    <n v="480000"/>
    <n v="140000"/>
    <d v="2023-09-01T00:00:00"/>
    <s v="MP Nhanh - M.Hiệp"/>
    <x v="0"/>
    <n v="2023"/>
    <n v="-200000"/>
    <n v="-0.58823529411764708"/>
    <n v="24000"/>
    <n v="15"/>
  </r>
  <r>
    <n v="9"/>
    <s v="KV1003"/>
    <s v="Khăn vuông TiOne xanh 100 tờ X 30 gói"/>
    <s v="Gói"/>
    <n v="0"/>
    <n v="10"/>
    <n v="0"/>
    <n v="-90000"/>
    <n v="-90000"/>
    <d v="2023-09-04T00:00:00"/>
    <s v="Chị Nga - HCL"/>
    <x v="0"/>
    <n v="2023"/>
    <n v="-90000"/>
    <n v="0"/>
    <n v="0"/>
    <n v="-10"/>
  </r>
  <r>
    <n v="10"/>
    <s v="KV320"/>
    <s v="Khăn Napkin Fairy 320 x 100 tờ x 48 gói"/>
    <s v="Gói"/>
    <n v="528000"/>
    <n v="0"/>
    <n v="48"/>
    <n v="576000"/>
    <n v="48000"/>
    <d v="2023-09-04T00:00:00"/>
    <s v="Chị Nga - HCL"/>
    <x v="0"/>
    <n v="2023"/>
    <n v="-480000"/>
    <n v="-0.90909090909090906"/>
    <n v="12000"/>
    <n v="48"/>
  </r>
  <r>
    <n v="11"/>
    <s v="KV320"/>
    <s v="Khăn Napkin Fairy 320 x 100 tờ x 48 gói"/>
    <s v="Gói"/>
    <n v="1056000"/>
    <n v="0"/>
    <n v="96"/>
    <n v="960000"/>
    <n v="-96000"/>
    <d v="2023-09-04T00:00:00"/>
    <s v="Mỹ Nhân - N.Mỹ"/>
    <x v="0"/>
    <n v="2023"/>
    <n v="-1152000"/>
    <n v="-1.0909090909090908"/>
    <n v="10000"/>
    <n v="96"/>
  </r>
  <r>
    <n v="12"/>
    <s v="KV100"/>
    <s v="Khăn Napkin Toply 100 tờ x 48 gói"/>
    <s v="Gói"/>
    <n v="345600"/>
    <n v="0"/>
    <n v="48"/>
    <n v="576000"/>
    <n v="230400"/>
    <d v="2023-09-04T00:00:00"/>
    <s v="Điện thoại Tuấn - N.Mỹ"/>
    <x v="0"/>
    <n v="2023"/>
    <n v="-115200"/>
    <n v="-0.33333333333333331"/>
    <n v="12000"/>
    <n v="48"/>
  </r>
  <r>
    <n v="13"/>
    <s v="KV320"/>
    <s v="Khăn Napkin Fairy 320 x 100 tờ x 48 gói"/>
    <s v="Gói"/>
    <n v="0"/>
    <n v="6"/>
    <n v="0"/>
    <n v="-60000"/>
    <n v="-60000"/>
    <d v="2023-09-04T00:00:00"/>
    <s v="Điện thoại Tuấn - N.Mỹ"/>
    <x v="0"/>
    <n v="2023"/>
    <n v="-60000"/>
    <n v="0"/>
    <n v="0"/>
    <n v="-6"/>
  </r>
  <r>
    <n v="14"/>
    <s v="BG1000"/>
    <s v="Bột giặt 107 Thái 100% - 1kg x 12 gói/thùng"/>
    <s v="Gói"/>
    <n v="0"/>
    <n v="0"/>
    <n v="0"/>
    <n v="0"/>
    <n v="0"/>
    <d v="2023-09-04T00:00:00"/>
    <s v="4 Điều - M.Trắng"/>
    <x v="0"/>
    <n v="2023"/>
    <n v="0"/>
    <n v="0"/>
    <n v="0"/>
    <n v="0"/>
  </r>
  <r>
    <n v="15"/>
    <s v="XV20"/>
    <s v="Nước xả vải Hygiene 20ml x 30 dây"/>
    <s v="Dây"/>
    <n v="0"/>
    <n v="0"/>
    <n v="0"/>
    <n v="0"/>
    <n v="0"/>
    <d v="2023-09-04T00:00:00"/>
    <s v="Bé Bắp - N.Mỹ"/>
    <x v="0"/>
    <n v="2023"/>
    <n v="0"/>
    <n v="0"/>
    <n v="0"/>
    <n v="0"/>
  </r>
  <r>
    <n v="16"/>
    <s v="A1K15"/>
    <s v="Kẹo bạc hà (chanh muối) Himalaya 15g x 12 gói x 12 hộp"/>
    <s v="Hộp"/>
    <n v="120756"/>
    <n v="0"/>
    <n v="2"/>
    <n v="112000"/>
    <n v="-8756"/>
    <d v="2023-09-04T00:00:00"/>
    <s v="TT Hải Hà - HCL"/>
    <x v="0"/>
    <n v="2023"/>
    <n v="-129512"/>
    <n v="-1.0725098545827951"/>
    <n v="56000"/>
    <n v="2"/>
  </r>
  <r>
    <n v="17"/>
    <s v="KDL01"/>
    <s v="Khăn giấy bỏ túi Paseo 9 tờ x 6 gói/cây x 40 cây"/>
    <s v="Cây"/>
    <n v="39312"/>
    <n v="0"/>
    <n v="4"/>
    <n v="46000"/>
    <n v="6688"/>
    <d v="2023-09-04T00:00:00"/>
    <s v="TT Hải Hà - HCL"/>
    <x v="0"/>
    <n v="2023"/>
    <n v="-32624"/>
    <n v="-0.82987382987382985"/>
    <n v="11500"/>
    <n v="4"/>
  </r>
  <r>
    <n v="18"/>
    <s v="TBTE20003"/>
    <s v="Tăm bông thân giấy TE hộp chữ nhật 200 cây x 12 hộp"/>
    <s v="Hộp"/>
    <n v="231000"/>
    <n v="0"/>
    <n v="12"/>
    <n v="240000"/>
    <n v="9000"/>
    <d v="2023-09-04T00:00:00"/>
    <s v="TT Hải Hà - HCL"/>
    <x v="0"/>
    <n v="2023"/>
    <n v="-222000"/>
    <n v="-0.96103896103896103"/>
    <n v="20000"/>
    <n v="12"/>
  </r>
  <r>
    <n v="19"/>
    <s v="DCTD708"/>
    <s v="Dao cạo Dorco vàng TD 708 (12 cây x 40 vỉ)"/>
    <s v="Vỉ"/>
    <n v="52800"/>
    <n v="0"/>
    <n v="2"/>
    <n v="72000"/>
    <n v="19200"/>
    <d v="2023-09-04T00:00:00"/>
    <s v="TH Trương Vy - A.Bình 2"/>
    <x v="0"/>
    <n v="2023"/>
    <n v="-33600"/>
    <n v="-0.63636363636363635"/>
    <n v="36000"/>
    <n v="2"/>
  </r>
  <r>
    <n v="20"/>
    <s v="KU250"/>
    <s v="Khăn ướt TE Villa 250g x 30 gói"/>
    <s v="Gói"/>
    <n v="77000"/>
    <n v="0"/>
    <n v="10"/>
    <n v="100000"/>
    <n v="23000"/>
    <d v="2023-09-04T00:00:00"/>
    <s v="TH Trương Vy - A.Bình 2"/>
    <x v="0"/>
    <n v="2023"/>
    <n v="-54000"/>
    <n v="-0.70129870129870131"/>
    <n v="10000"/>
    <n v="10"/>
  </r>
  <r>
    <n v="21"/>
    <s v="KKDN300"/>
    <s v="Khăn khô đa năng 300gr x 30 gói"/>
    <s v="Gói"/>
    <n v="792000"/>
    <n v="0"/>
    <n v="20"/>
    <n v="792000"/>
    <n v="0"/>
    <d v="2023-09-04T00:00:00"/>
    <s v="Thế Giới Con Cưng - HCL"/>
    <x v="0"/>
    <n v="2023"/>
    <n v="-792000"/>
    <n v="-1"/>
    <n v="39600"/>
    <n v="20"/>
  </r>
  <r>
    <n v="22"/>
    <s v="GC615"/>
    <s v="GVS Phú An 6 cuộn x 12 cây"/>
    <s v="Cây"/>
    <n v="0"/>
    <n v="0"/>
    <n v="0"/>
    <n v="0"/>
    <n v="0"/>
    <d v="2023-09-04T00:00:00"/>
    <s v="Hải Vân - HCL (Thanh Mỹ)"/>
    <x v="0"/>
    <n v="2023"/>
    <n v="0"/>
    <n v="0"/>
    <n v="0"/>
    <n v="0"/>
  </r>
  <r>
    <n v="23"/>
    <s v="KMQCT"/>
    <s v="Quạt SENKO 1216 chân thấp"/>
    <s v="Cây"/>
    <n v="0"/>
    <n v="1"/>
    <n v="0"/>
    <n v="-233000"/>
    <n v="-233000"/>
    <d v="2023-09-04T00:00:00"/>
    <s v="Chị Tuyết - HCL (N.Mỹ)"/>
    <x v="0"/>
    <n v="2023"/>
    <n v="-233000"/>
    <n v="0"/>
    <n v="0"/>
    <n v="-1"/>
  </r>
  <r>
    <n v="24"/>
    <s v="KU1506"/>
    <s v="Khăn ướt Lovely (khổ lớn) 150g x 30 gói"/>
    <s v="Gói"/>
    <n v="570000"/>
    <n v="0"/>
    <n v="60"/>
    <n v="1080000"/>
    <n v="510000"/>
    <d v="2023-09-04T00:00:00"/>
    <s v="Chị Tuyết - HCL (N.Mỹ)"/>
    <x v="0"/>
    <n v="2023"/>
    <n v="-60000"/>
    <n v="-0.10526315789473684"/>
    <n v="18000"/>
    <n v="60"/>
  </r>
  <r>
    <n v="25"/>
    <s v="KV1011"/>
    <s v="Khăn Napkin EMos x 30 gói"/>
    <s v="Gói"/>
    <n v="200010"/>
    <n v="0"/>
    <n v="30"/>
    <n v="240000"/>
    <n v="39990"/>
    <d v="2023-09-04T00:00:00"/>
    <s v="Chị Tuyết - HCL (N.Mỹ)"/>
    <x v="0"/>
    <n v="2023"/>
    <n v="-160020"/>
    <n v="-0.80005999700014996"/>
    <n v="8000"/>
    <n v="30"/>
  </r>
  <r>
    <n v="26"/>
    <s v="XV20"/>
    <s v="Nước xả vải Hygiene 20ml x 30 dây"/>
    <s v="Dây"/>
    <n v="0"/>
    <n v="0"/>
    <n v="0"/>
    <n v="0"/>
    <n v="0"/>
    <d v="2023-09-04T00:00:00"/>
    <s v="Chị Tuyết - HCL (N.Mỹ)"/>
    <x v="0"/>
    <n v="2023"/>
    <n v="0"/>
    <n v="0"/>
    <n v="0"/>
    <n v="0"/>
  </r>
  <r>
    <n v="27"/>
    <s v="HTF3000"/>
    <s v="Nước giặt Fineline tím 3L x 4 bình"/>
    <s v="Bình"/>
    <n v="340000"/>
    <n v="0"/>
    <n v="4"/>
    <n v="520000"/>
    <n v="180000"/>
    <d v="2023-09-05T00:00:00"/>
    <s v="TH Trương Vy - A.Bình 2"/>
    <x v="0"/>
    <n v="2023"/>
    <n v="-160000"/>
    <n v="-0.47058823529411764"/>
    <n v="130000"/>
    <n v="4"/>
  </r>
  <r>
    <n v="28"/>
    <s v="KV1011"/>
    <s v="Khăn Napkin EMos x 30 gói"/>
    <s v="Gói"/>
    <n v="200010"/>
    <n v="0"/>
    <n v="30"/>
    <n v="220500"/>
    <n v="20490"/>
    <d v="2023-09-06T00:00:00"/>
    <s v="Thanh Nhàn - N.Mỹ"/>
    <x v="0"/>
    <n v="2023"/>
    <n v="-179520"/>
    <n v="-0.89755512224388778"/>
    <n v="7350"/>
    <n v="30"/>
  </r>
  <r>
    <n v="29"/>
    <s v="CG50"/>
    <s v="Chân gà cay ăn liền ZL FOOD loại 50g x 30 x 7 túi"/>
    <s v="Cái"/>
    <n v="165000"/>
    <n v="0"/>
    <n v="30"/>
    <n v="195000"/>
    <n v="30000"/>
    <d v="2023-09-07T00:00:00"/>
    <s v="Hồng Hạnh - P.Mỹ (cầu Trâu Trắng)"/>
    <x v="0"/>
    <n v="2023"/>
    <n v="-135000"/>
    <n v="-0.81818181818181823"/>
    <n v="6500"/>
    <n v="30"/>
  </r>
  <r>
    <n v="30"/>
    <s v="CG501"/>
    <s v="Chân gà cay ăn liền ZL FOOD Acao 50g x 30 x 7 túi"/>
    <s v="Cái"/>
    <n v="165000"/>
    <n v="0"/>
    <n v="30"/>
    <n v="195000"/>
    <n v="30000"/>
    <d v="2023-09-07T00:00:00"/>
    <s v="Hồng Hạnh - P.Mỹ (cầu Trâu Trắng)"/>
    <x v="0"/>
    <n v="2023"/>
    <n v="-135000"/>
    <n v="-0.81818181818181823"/>
    <n v="6500"/>
    <n v="30"/>
  </r>
  <r>
    <n v="31"/>
    <s v="NV004"/>
    <s v="Núm vú cổ hẹp size XL"/>
    <s v="Hộp"/>
    <n v="240000"/>
    <n v="0"/>
    <n v="1"/>
    <n v="250000"/>
    <n v="10000"/>
    <d v="2023-09-07T00:00:00"/>
    <s v="Hồng Hạnh - P.Mỹ (cầu Trâu Trắng)"/>
    <x v="0"/>
    <n v="2023"/>
    <n v="-230000"/>
    <n v="-0.95833333333333337"/>
    <n v="250000"/>
    <n v="1"/>
  </r>
  <r>
    <n v="32"/>
    <s v="NV101"/>
    <s v="Núm vú cổ rộng size S"/>
    <s v="Hộp"/>
    <n v="240000"/>
    <n v="0"/>
    <n v="1"/>
    <n v="250000"/>
    <n v="10000"/>
    <d v="2023-09-07T00:00:00"/>
    <s v="Hồng Hạnh - P.Mỹ (cầu Trâu Trắng)"/>
    <x v="0"/>
    <n v="2023"/>
    <n v="-230000"/>
    <n v="-0.95833333333333337"/>
    <n v="250000"/>
    <n v="1"/>
  </r>
  <r>
    <n v="33"/>
    <s v="GC606"/>
    <s v="GVS TiOne Gấu 6 cuộn x 12 cây"/>
    <s v="Cây"/>
    <n v="0"/>
    <n v="0"/>
    <n v="0"/>
    <n v="0"/>
    <n v="0"/>
    <d v="2023-09-11T00:00:00"/>
    <s v="TT Hoàng Yến - M.Long"/>
    <x v="0"/>
    <n v="2023"/>
    <n v="0"/>
    <n v="0"/>
    <n v="0"/>
    <n v="0"/>
  </r>
  <r>
    <n v="34"/>
    <s v="GC609"/>
    <s v="GVS Panda 6 cuộn x 12 cây x 10kg"/>
    <s v="Cây"/>
    <n v="0"/>
    <n v="0"/>
    <n v="0"/>
    <n v="0"/>
    <n v="0"/>
    <d v="2023-09-11T00:00:00"/>
    <s v="TT Hoàng Yến - M.Long"/>
    <x v="0"/>
    <n v="2023"/>
    <n v="0"/>
    <n v="0"/>
    <n v="0"/>
    <n v="0"/>
  </r>
  <r>
    <n v="35"/>
    <s v="HM601"/>
    <s v="HIMA DAILY (new) 6 lọ x 6 hộp"/>
    <s v="Hộp"/>
    <n v="768000"/>
    <n v="1"/>
    <n v="4"/>
    <n v="960000"/>
    <n v="192000"/>
    <d v="2023-09-11T00:00:00"/>
    <s v="TT Hoàng Yến - M.Long"/>
    <x v="0"/>
    <n v="2023"/>
    <n v="-576000"/>
    <n v="-0.75"/>
    <n v="240000"/>
    <n v="3"/>
  </r>
  <r>
    <n v="36"/>
    <s v="KV100"/>
    <s v="Khăn Napkin Toply 100 tờ x 48 gói"/>
    <s v="Gói"/>
    <n v="345600"/>
    <n v="4"/>
    <n v="48"/>
    <n v="576000"/>
    <n v="230400"/>
    <d v="2023-09-11T00:00:00"/>
    <s v="TT Hoàng Yến - M.Long"/>
    <x v="0"/>
    <n v="2023"/>
    <n v="-115200"/>
    <n v="-0.33333333333333331"/>
    <n v="12000"/>
    <n v="44"/>
  </r>
  <r>
    <n v="37"/>
    <s v="NG5000"/>
    <s v="Nước giặt Kimono 6 in 1 vuông (tím) 5Kg x 4 bình"/>
    <s v="Bình"/>
    <n v="0"/>
    <n v="4"/>
    <n v="0"/>
    <n v="-600000"/>
    <n v="-600000"/>
    <d v="2023-09-11T00:00:00"/>
    <s v="Minh Hiền (chị Ớ) - B.H.Trung"/>
    <x v="0"/>
    <n v="2023"/>
    <n v="-600000"/>
    <n v="0"/>
    <n v="0"/>
    <n v="-4"/>
  </r>
  <r>
    <n v="38"/>
    <s v="NG50002"/>
    <s v="Nước giặt Kimono 6 in 1 vuông (đen) 5kg x 4 bình"/>
    <s v="Bình"/>
    <n v="920000"/>
    <n v="0"/>
    <n v="8"/>
    <n v="1800000"/>
    <n v="880000"/>
    <d v="2023-09-11T00:00:00"/>
    <s v="Minh Hiền (chị Ớ) - B.H.Trung"/>
    <x v="0"/>
    <n v="2023"/>
    <n v="-40000"/>
    <n v="-4.3478260869565216E-2"/>
    <n v="225000"/>
    <n v="8"/>
  </r>
  <r>
    <n v="39"/>
    <s v="TNS1"/>
    <s v="Tẩy toilet Nam Sơn NK 100% 1L x 12 chai"/>
    <s v="Chai"/>
    <n v="190008"/>
    <n v="0"/>
    <n v="12"/>
    <n v="276000"/>
    <n v="85992"/>
    <d v="2023-09-11T00:00:00"/>
    <s v="Chị Xuyên - M.Long"/>
    <x v="0"/>
    <n v="2023"/>
    <n v="-104016"/>
    <n v="-0.54742958191234048"/>
    <n v="23000"/>
    <n v="12"/>
  </r>
  <r>
    <n v="40"/>
    <s v="KV100"/>
    <s v="Khăn Napkin Toply 100 tờ x 48 gói"/>
    <s v="Gói"/>
    <n v="345600"/>
    <n v="4"/>
    <n v="48"/>
    <n v="532000"/>
    <n v="186400"/>
    <d v="2023-09-11T00:00:00"/>
    <s v="Chị Linh (bán bọc) - HCL"/>
    <x v="0"/>
    <n v="2023"/>
    <n v="-159200"/>
    <n v="-0.46064814814814814"/>
    <n v="11083.333333333334"/>
    <n v="44"/>
  </r>
  <r>
    <n v="41"/>
    <s v="TB10003"/>
    <s v="Tăm bông thân trúc túi 100 cây x 24 túi"/>
    <s v="Túi"/>
    <n v="735000"/>
    <n v="24"/>
    <n v="120"/>
    <n v="750000"/>
    <n v="15000"/>
    <d v="2023-09-11T00:00:00"/>
    <s v="TT Ngọc Hạnh - Đ.Mối"/>
    <x v="0"/>
    <n v="2023"/>
    <n v="-720000"/>
    <n v="-0.97959183673469385"/>
    <n v="6250"/>
    <n v="96"/>
  </r>
  <r>
    <n v="42"/>
    <s v="JA1KG"/>
    <s v="Javel 1L x 12 chai"/>
    <s v="Chai"/>
    <n v="90000"/>
    <n v="2"/>
    <n v="12"/>
    <n v="132000"/>
    <n v="42000"/>
    <d v="2023-09-11T00:00:00"/>
    <s v="TH Trinh (Mỹ Trinh) - HCL (cuối chợ)"/>
    <x v="0"/>
    <n v="2023"/>
    <n v="-48000"/>
    <n v="-0.53333333333333333"/>
    <n v="11000"/>
    <n v="10"/>
  </r>
  <r>
    <n v="43"/>
    <s v="JA2KG"/>
    <s v="Javel 2L x 6 chai"/>
    <s v="Chai"/>
    <n v="0"/>
    <n v="0"/>
    <n v="0"/>
    <n v="0"/>
    <n v="0"/>
    <d v="2023-09-11T00:00:00"/>
    <s v="TH Trinh (Mỹ Trinh) - HCL (cuối chợ)"/>
    <x v="0"/>
    <n v="2023"/>
    <n v="0"/>
    <n v="0"/>
    <n v="0"/>
    <n v="0"/>
  </r>
  <r>
    <n v="44"/>
    <s v="BT001"/>
    <s v="Bông tắm không mút cao cấp x 12 cái"/>
    <s v="Cái"/>
    <n v="84000"/>
    <n v="0"/>
    <n v="6"/>
    <n v="84000"/>
    <n v="0"/>
    <d v="2023-09-11T00:00:00"/>
    <s v="TT Nguyễn Thị Định - M.Xương"/>
    <x v="0"/>
    <n v="2023"/>
    <n v="-84000"/>
    <n v="-1"/>
    <n v="14000"/>
    <n v="6"/>
  </r>
  <r>
    <n v="45"/>
    <s v="GC605"/>
    <s v="GVS Ruby 6 cuộn Mèo (không lõi) x 10 cây"/>
    <s v="Cây"/>
    <n v="290000"/>
    <n v="1"/>
    <n v="10"/>
    <n v="355000"/>
    <n v="65000"/>
    <d v="2023-09-11T00:00:00"/>
    <s v="TT Nguyễn Thị Định - M.Xương"/>
    <x v="0"/>
    <n v="2023"/>
    <n v="-225000"/>
    <n v="-0.77586206896551724"/>
    <n v="35500"/>
    <n v="9"/>
  </r>
  <r>
    <n v="46"/>
    <s v="HTCTBC180"/>
    <s v="Cốc thả bồn cầu 180g x 24 hũ"/>
    <s v="Hủ"/>
    <n v="52500"/>
    <n v="0"/>
    <n v="2"/>
    <n v="60000"/>
    <n v="7500"/>
    <d v="2023-09-11T00:00:00"/>
    <s v="TT Nguyễn Thị Định - M.Xương"/>
    <x v="0"/>
    <n v="2023"/>
    <n v="-45000"/>
    <n v="-0.8571428571428571"/>
    <n v="30000"/>
    <n v="2"/>
  </r>
  <r>
    <n v="47"/>
    <s v="KU102"/>
    <s v="Khăn ướt không mùi cao cấp (AT-12) x 24 gói"/>
    <s v="Gói"/>
    <n v="120835"/>
    <n v="0"/>
    <n v="5"/>
    <n v="125000"/>
    <n v="4165"/>
    <d v="2023-09-11T00:00:00"/>
    <s v="TT Nguyễn Thị Định - M.Xương"/>
    <x v="0"/>
    <n v="2023"/>
    <n v="-116670"/>
    <n v="-0.96553150991020809"/>
    <n v="25000"/>
    <n v="5"/>
  </r>
  <r>
    <n v="48"/>
    <s v="KU250"/>
    <s v="Khăn ướt TE Villa 250g x 30 gói"/>
    <s v="Gói"/>
    <n v="77000"/>
    <n v="0"/>
    <n v="10"/>
    <n v="100000"/>
    <n v="23000"/>
    <d v="2023-09-11T00:00:00"/>
    <s v="TT Nguyễn Thị Định - M.Xương"/>
    <x v="0"/>
    <n v="2023"/>
    <n v="-54000"/>
    <n v="-0.70129870129870131"/>
    <n v="10000"/>
    <n v="10"/>
  </r>
  <r>
    <n v="49"/>
    <s v="TC1800"/>
    <s v="Thông cống 1,8L x 10 chai"/>
    <s v="Chai"/>
    <n v="59000"/>
    <n v="0"/>
    <n v="2"/>
    <n v="80000"/>
    <n v="21000"/>
    <d v="2023-09-11T00:00:00"/>
    <s v="TT Nguyễn Thị Định - M.Xương"/>
    <x v="0"/>
    <n v="2023"/>
    <n v="-38000"/>
    <n v="-0.64406779661016944"/>
    <n v="40000"/>
    <n v="2"/>
  </r>
  <r>
    <n v="50"/>
    <s v="TB20002"/>
    <s v="Tăm bông thân nhựa NL hộp tròn 200 cây x 12 hộp"/>
    <s v="Hộp"/>
    <n v="388512"/>
    <n v="6"/>
    <n v="24"/>
    <n v="384000"/>
    <n v="-4512"/>
    <d v="2023-09-11T00:00:00"/>
    <s v="TT Trung Tuấn - B.H.Tây"/>
    <x v="0"/>
    <n v="2023"/>
    <n v="-393024"/>
    <n v="-1.0116135408944897"/>
    <n v="16000"/>
    <n v="18"/>
  </r>
  <r>
    <n v="51"/>
    <s v="TBTE20002"/>
    <s v="Tăm bông thân nhựa TE hộp tròn 200 cây x 12 hộp"/>
    <s v="Hộp"/>
    <n v="178500"/>
    <n v="0"/>
    <n v="12"/>
    <n v="216000"/>
    <n v="37500"/>
    <d v="2023-09-11T00:00:00"/>
    <s v="TT Trung Tuấn - B.H.Tây"/>
    <x v="0"/>
    <n v="2023"/>
    <n v="-141000"/>
    <n v="-0.78991596638655459"/>
    <n v="18000"/>
    <n v="12"/>
  </r>
  <r>
    <n v="52"/>
    <s v="A1Y601"/>
    <s v="A1 Yến sào có nhân sâm 70ml x 6 lọ x 6 hộp"/>
    <s v="Hộp"/>
    <n v="0"/>
    <n v="1"/>
    <n v="0"/>
    <n v="0"/>
    <n v="0"/>
    <d v="2023-09-11T00:00:00"/>
    <s v="Vương Quốc Sữa - B.H.Trung"/>
    <x v="0"/>
    <n v="2023"/>
    <n v="0"/>
    <n v="0"/>
    <n v="0"/>
    <n v="-1"/>
  </r>
  <r>
    <n v="53"/>
    <s v="GC100"/>
    <s v="GVS cuộn trắng rẻ (xá) x 10 cây"/>
    <s v="Bao"/>
    <n v="0"/>
    <n v="0"/>
    <n v="0"/>
    <n v="0"/>
    <n v="0"/>
    <d v="2023-09-11T00:00:00"/>
    <s v="Vương Quốc Sữa - B.H.Trung"/>
    <x v="0"/>
    <n v="2023"/>
    <n v="0"/>
    <n v="0"/>
    <n v="0"/>
    <n v="0"/>
  </r>
  <r>
    <n v="54"/>
    <s v="HM10"/>
    <s v="Yến sào Finenest nhân sâm x 10 hộp"/>
    <s v="Hộp"/>
    <n v="95000"/>
    <n v="0"/>
    <n v="1"/>
    <n v="218000"/>
    <n v="123000"/>
    <d v="2023-09-11T00:00:00"/>
    <s v="Vương Quốc Sữa - B.H.Trung"/>
    <x v="0"/>
    <n v="2023"/>
    <n v="28000"/>
    <n v="0.29473684210526313"/>
    <n v="218000"/>
    <n v="1"/>
  </r>
  <r>
    <n v="55"/>
    <s v="HM603"/>
    <s v="HIMA Vinnest 6 lọ KĐ x 6 hộp"/>
    <s v="Hộp"/>
    <n v="100000"/>
    <n v="1"/>
    <n v="1"/>
    <n v="218000"/>
    <n v="118000"/>
    <d v="2023-09-11T00:00:00"/>
    <s v="Vương Quốc Sữa - B.H.Trung"/>
    <x v="0"/>
    <n v="2023"/>
    <n v="18000"/>
    <n v="0.18"/>
    <n v="218000"/>
    <n v="0"/>
  </r>
  <r>
    <n v="56"/>
    <s v="HM608"/>
    <s v="Yến sào Seunest CĐ vàng x 6 hộp"/>
    <s v="Hộp"/>
    <n v="100000"/>
    <n v="0"/>
    <n v="1"/>
    <n v="218000"/>
    <n v="118000"/>
    <d v="2023-09-11T00:00:00"/>
    <s v="Vương Quốc Sữa - B.H.Trung"/>
    <x v="0"/>
    <n v="2023"/>
    <n v="18000"/>
    <n v="0.18"/>
    <n v="218000"/>
    <n v="1"/>
  </r>
  <r>
    <n v="57"/>
    <s v="HM610"/>
    <s v="Yến sào Finenest CĐ đỏ x 6 hộp"/>
    <s v="Hộp"/>
    <n v="100000"/>
    <n v="0"/>
    <n v="1"/>
    <n v="218000"/>
    <n v="118000"/>
    <d v="2023-09-11T00:00:00"/>
    <s v="Vương Quốc Sữa - B.H.Trung"/>
    <x v="0"/>
    <n v="2023"/>
    <n v="18000"/>
    <n v="0.18"/>
    <n v="218000"/>
    <n v="1"/>
  </r>
  <r>
    <n v="58"/>
    <s v="KU100"/>
    <s v="Khăn ướt Begin 100 tờ x 20 gói"/>
    <s v="Gói"/>
    <n v="102000"/>
    <n v="0"/>
    <n v="6"/>
    <n v="144000"/>
    <n v="42000"/>
    <d v="2023-09-11T00:00:00"/>
    <s v="Vương Quốc Sữa - B.H.Trung"/>
    <x v="0"/>
    <n v="2023"/>
    <n v="-60000"/>
    <n v="-0.58823529411764708"/>
    <n v="24000"/>
    <n v="6"/>
  </r>
  <r>
    <n v="59"/>
    <s v="KU1506"/>
    <s v="Khăn ướt Lovely (khổ lớn) 150g x 30 gói"/>
    <s v="Gói"/>
    <n v="285000"/>
    <n v="0"/>
    <n v="30"/>
    <n v="420000"/>
    <n v="135000"/>
    <d v="2023-09-11T00:00:00"/>
    <s v="Chị Oanh - M.Long"/>
    <x v="0"/>
    <n v="2023"/>
    <n v="-150000"/>
    <n v="-0.52631578947368418"/>
    <n v="14000"/>
    <n v="30"/>
  </r>
  <r>
    <n v="60"/>
    <s v="KU801"/>
    <s v="Khăn ướt Baby (đỏ) 80g x 50 gói"/>
    <s v="Gói"/>
    <n v="80000"/>
    <n v="0"/>
    <n v="20"/>
    <n v="130000"/>
    <n v="50000"/>
    <d v="2023-09-11T00:00:00"/>
    <s v="Chị Oanh - M.Long"/>
    <x v="0"/>
    <n v="2023"/>
    <n v="-30000"/>
    <n v="-0.375"/>
    <n v="6500"/>
    <n v="20"/>
  </r>
  <r>
    <n v="61"/>
    <s v="KV1007"/>
    <s v="Khăn Napkin An An 100 tờ x 40 gói"/>
    <s v="Gói"/>
    <n v="270000"/>
    <n v="0"/>
    <n v="40"/>
    <n v="300000"/>
    <n v="30000"/>
    <d v="2023-09-11T00:00:00"/>
    <s v="Chị Oanh - M.Long"/>
    <x v="0"/>
    <n v="2023"/>
    <n v="-240000"/>
    <n v="-0.88888888888888884"/>
    <n v="7500"/>
    <n v="40"/>
  </r>
  <r>
    <n v="62"/>
    <s v="JA2KG"/>
    <s v="Javel 2L x 6 chai"/>
    <s v="Chai"/>
    <n v="90000"/>
    <n v="0"/>
    <n v="6"/>
    <n v="144000"/>
    <n v="54000"/>
    <d v="2023-09-11T00:00:00"/>
    <s v="Thiên Phú - M.Long"/>
    <x v="0"/>
    <n v="2023"/>
    <n v="-36000"/>
    <n v="-0.4"/>
    <n v="24000"/>
    <n v="6"/>
  </r>
  <r>
    <n v="63"/>
    <s v="CG50"/>
    <s v="Chân gà cay ăn liền ZL FOOD loại 50g x 30 x 7 túi"/>
    <s v="Cái"/>
    <n v="0"/>
    <n v="0"/>
    <n v="0"/>
    <n v="0"/>
    <n v="0"/>
    <d v="2023-09-12T00:00:00"/>
    <s v="Trung Phụng - T.H.Trung"/>
    <x v="0"/>
    <n v="2023"/>
    <n v="0"/>
    <n v="0"/>
    <n v="0"/>
    <n v="0"/>
  </r>
  <r>
    <n v="64"/>
    <s v="CG501"/>
    <s v="Chân gà cay ăn liền ZL FOOD Acao 50g x 30 x 7 túi"/>
    <s v="Cái"/>
    <n v="0"/>
    <n v="0"/>
    <n v="0"/>
    <n v="0"/>
    <n v="0"/>
    <d v="2023-09-12T00:00:00"/>
    <s v="Trung Phụng - T.H.Trung"/>
    <x v="0"/>
    <n v="2023"/>
    <n v="0"/>
    <n v="0"/>
    <n v="0"/>
    <n v="0"/>
  </r>
  <r>
    <n v="65"/>
    <s v="HTK151"/>
    <s v="Kẹo Tommy trái cây 15g x 12 gói x 12 dây"/>
    <s v="Dây"/>
    <n v="0"/>
    <n v="0"/>
    <n v="0"/>
    <n v="0"/>
    <n v="0"/>
    <d v="2023-09-12T00:00:00"/>
    <s v="Trung Phụng - T.H.Trung"/>
    <x v="0"/>
    <n v="2023"/>
    <n v="0"/>
    <n v="0"/>
    <n v="0"/>
    <n v="0"/>
  </r>
  <r>
    <n v="66"/>
    <s v="KU100"/>
    <s v="Khăn ướt Begin 100 tờ x 20 gói"/>
    <s v="Gói"/>
    <n v="340000"/>
    <n v="0"/>
    <n v="20"/>
    <n v="500000"/>
    <n v="160000"/>
    <d v="2023-09-12T00:00:00"/>
    <s v="Sữa tả Hoàng Trúc - HCL (T.Mỹ)"/>
    <x v="0"/>
    <n v="2023"/>
    <n v="-180000"/>
    <n v="-0.52941176470588236"/>
    <n v="25000"/>
    <n v="20"/>
  </r>
  <r>
    <n v="67"/>
    <s v="HTK151"/>
    <s v="Kẹo Tommy trái cây 15g x 12 gói x 12 dây"/>
    <s v="Dây"/>
    <n v="0"/>
    <n v="0"/>
    <n v="0"/>
    <n v="0"/>
    <n v="0"/>
    <d v="2023-09-12T00:00:00"/>
    <s v="Su Trường - T.H.Trung"/>
    <x v="0"/>
    <n v="2023"/>
    <n v="0"/>
    <n v="0"/>
    <n v="0"/>
    <n v="0"/>
  </r>
  <r>
    <n v="68"/>
    <s v="KTN3001"/>
    <s v="Kẹo Trang Nghiêm DÂU TÂY hộp 200g x 24 hộp/thùng"/>
    <s v="Hộp"/>
    <n v="43500"/>
    <n v="0"/>
    <n v="3"/>
    <n v="42000"/>
    <n v="-1500"/>
    <d v="2023-09-12T00:00:00"/>
    <s v="Su Trường - T.H.Trung"/>
    <x v="0"/>
    <n v="2023"/>
    <n v="-45000"/>
    <n v="-1.0344827586206897"/>
    <n v="14000"/>
    <n v="3"/>
  </r>
  <r>
    <n v="69"/>
    <s v="KTN3002"/>
    <s v="Kẹo Trang Nghiêm DÂU TẰM hộp 200g x 24 hộp/thùng"/>
    <s v="Hộp"/>
    <n v="58000"/>
    <n v="0"/>
    <n v="4"/>
    <n v="56000"/>
    <n v="-2000"/>
    <d v="2023-09-12T00:00:00"/>
    <s v="Su Trường - T.H.Trung"/>
    <x v="0"/>
    <n v="2023"/>
    <n v="-60000"/>
    <n v="-1.0344827586206897"/>
    <n v="14000"/>
    <n v="4"/>
  </r>
  <r>
    <n v="70"/>
    <s v="KTN3003"/>
    <s v="Kẹo Trang Nghiêm ME ỚT hộp 200g x 24 hộp/thùng"/>
    <s v="Hộp"/>
    <n v="43500"/>
    <n v="0"/>
    <n v="3"/>
    <n v="42000"/>
    <n v="-1500"/>
    <d v="2023-09-12T00:00:00"/>
    <s v="Su Trường - T.H.Trung"/>
    <x v="0"/>
    <n v="2023"/>
    <n v="-45000"/>
    <n v="-1.0344827586206897"/>
    <n v="14000"/>
    <n v="3"/>
  </r>
  <r>
    <n v="71"/>
    <s v="A1K15"/>
    <s v="Kẹo bạc hà (chanh muối) Himalaya 15g x 12 gói x 12 hộp"/>
    <s v="Hộp"/>
    <n v="362268"/>
    <n v="1"/>
    <n v="6"/>
    <n v="340000"/>
    <n v="-22268"/>
    <d v="2023-09-14T00:00:00"/>
    <s v="TT Đông Nghi - P.Mỹ"/>
    <x v="0"/>
    <n v="2023"/>
    <n v="-384536"/>
    <n v="-1.0614683052325902"/>
    <n v="56666.666666666664"/>
    <n v="5"/>
  </r>
  <r>
    <n v="72"/>
    <s v="BG1000"/>
    <s v="Bột giặt 107 Thái 100% - 1kg x 12 gói/thùng"/>
    <s v="Gói"/>
    <n v="0"/>
    <n v="0"/>
    <n v="0"/>
    <n v="0"/>
    <n v="0"/>
    <d v="2023-09-14T00:00:00"/>
    <s v="Anh Nghiệp (Cậu 2 Nhựt) - Ngã 4"/>
    <x v="0"/>
    <n v="2023"/>
    <n v="0"/>
    <n v="0"/>
    <n v="0"/>
    <n v="0"/>
  </r>
  <r>
    <n v="73"/>
    <s v="BG32001"/>
    <s v="Bột giặt 109 Thái 100% - 3,2kg x 4 gói/thùng"/>
    <s v="Gói"/>
    <n v="305000"/>
    <n v="0"/>
    <n v="4"/>
    <n v="424000"/>
    <n v="119000"/>
    <d v="2023-09-14T00:00:00"/>
    <s v="Anh Nghiệp (Cậu 2 Nhựt) - Ngã 4"/>
    <x v="0"/>
    <n v="2023"/>
    <n v="-186000"/>
    <n v="-0.60983606557377046"/>
    <n v="106000"/>
    <n v="4"/>
  </r>
  <r>
    <n v="74"/>
    <s v="LLDORCOTITAN"/>
    <s v="Lưỡi lam Dorco Titan 10 lưỡi x 10 lốc x 10 hộp"/>
    <s v="Hộp"/>
    <n v="294000"/>
    <n v="1"/>
    <n v="6"/>
    <n v="310000"/>
    <n v="16000"/>
    <d v="2023-09-14T00:00:00"/>
    <s v="Anh Nghiệp (Cậu 2 Nhựt) - Ngã 4"/>
    <x v="0"/>
    <n v="2023"/>
    <n v="-278000"/>
    <n v="-0.94557823129251706"/>
    <n v="51666.666666666664"/>
    <n v="5"/>
  </r>
  <r>
    <n v="75"/>
    <s v="KV1009"/>
    <s v="Khăn Napkin TiOne Gấu 100 tờ x 48 gói"/>
    <s v="Gói"/>
    <n v="144000"/>
    <n v="0"/>
    <n v="24"/>
    <n v="192000"/>
    <n v="48000"/>
    <d v="2023-09-14T00:00:00"/>
    <s v="Thanh Tâm - Ngã 4"/>
    <x v="0"/>
    <n v="2023"/>
    <n v="-96000"/>
    <n v="-0.66666666666666663"/>
    <n v="8000"/>
    <n v="24"/>
  </r>
  <r>
    <n v="76"/>
    <s v="A1BTE50CR"/>
    <s v="A1 Bánh trẻ em vị cà rốt 50g x 24 hộp"/>
    <s v="Hộp"/>
    <n v="0"/>
    <n v="0"/>
    <n v="0"/>
    <n v="0"/>
    <n v="0"/>
    <d v="2023-09-14T00:00:00"/>
    <s v="TH An ( Lê Đà) - Ngã 4"/>
    <x v="0"/>
    <n v="2023"/>
    <n v="0"/>
    <n v="0"/>
    <n v="0"/>
    <n v="0"/>
  </r>
  <r>
    <n v="77"/>
    <s v="A1BTE50RC"/>
    <s v="A1 Bánh trẻ em vị gà và rau củ 50g x 24 hộp"/>
    <s v="Hộp"/>
    <n v="0"/>
    <n v="0"/>
    <n v="0"/>
    <n v="0"/>
    <n v="0"/>
    <d v="2023-09-14T00:00:00"/>
    <s v="TH An ( Lê Đà) - Ngã 4"/>
    <x v="0"/>
    <n v="2023"/>
    <n v="0"/>
    <n v="0"/>
    <n v="0"/>
    <n v="0"/>
  </r>
  <r>
    <n v="78"/>
    <s v="A1BTE50TT"/>
    <s v="A1 Bánh trẻ em vị truyền thống 50g x 24 hộp"/>
    <s v="Hộp"/>
    <n v="0"/>
    <n v="0"/>
    <n v="0"/>
    <n v="0"/>
    <n v="0"/>
    <d v="2023-09-14T00:00:00"/>
    <s v="TH An ( Lê Đà) - Ngã 4"/>
    <x v="0"/>
    <n v="2023"/>
    <n v="0"/>
    <n v="0"/>
    <n v="0"/>
    <n v="0"/>
  </r>
  <r>
    <n v="79"/>
    <s v="BSOGI121"/>
    <s v="Bánh SOGI CHOCOLATE WITH STRAWBERRY CREAM 12g x 24 cây x 6 hủ"/>
    <s v="Hủ"/>
    <n v="63000"/>
    <n v="0"/>
    <n v="1"/>
    <n v="69000"/>
    <n v="6000"/>
    <d v="2023-09-14T00:00:00"/>
    <s v="Thế giới sữa Tony - T.Nghĩa"/>
    <x v="0"/>
    <n v="2023"/>
    <n v="-57000"/>
    <n v="-0.90476190476190477"/>
    <n v="69000"/>
    <n v="1"/>
  </r>
  <r>
    <n v="80"/>
    <s v="CG26"/>
    <s v="Chân gà rút xương cay ăn liền ZL FOOD 26g x 20 x 10 túi"/>
    <s v="Cái"/>
    <n v="110000"/>
    <n v="0"/>
    <n v="20"/>
    <n v="130000"/>
    <n v="20000"/>
    <d v="2023-09-14T00:00:00"/>
    <s v="Thế giới sữa Tony - T.Nghĩa"/>
    <x v="0"/>
    <n v="2023"/>
    <n v="-90000"/>
    <n v="-0.81818181818181823"/>
    <n v="6500"/>
    <n v="20"/>
  </r>
  <r>
    <n v="81"/>
    <s v="CG50"/>
    <s v="Chân gà cay ăn liền ZL FOOD loại 50g x 30 x 7 túi"/>
    <s v="Cái"/>
    <n v="165000"/>
    <n v="0"/>
    <n v="30"/>
    <n v="195000"/>
    <n v="30000"/>
    <d v="2023-09-14T00:00:00"/>
    <s v="Thế giới sữa Tony - T.Nghĩa"/>
    <x v="0"/>
    <n v="2023"/>
    <n v="-135000"/>
    <n v="-0.81818181818181823"/>
    <n v="6500"/>
    <n v="30"/>
  </r>
  <r>
    <n v="82"/>
    <s v="CG501"/>
    <s v="Chân gà cay ăn liền ZL FOOD Acao 50g x 30 x 7 túi"/>
    <s v="Cái"/>
    <n v="165000"/>
    <n v="0"/>
    <n v="30"/>
    <n v="195000"/>
    <n v="30000"/>
    <d v="2023-09-14T00:00:00"/>
    <s v="Thế giới sữa Tony - T.Nghĩa"/>
    <x v="0"/>
    <n v="2023"/>
    <n v="-135000"/>
    <n v="-0.81818181818181823"/>
    <n v="6500"/>
    <n v="30"/>
  </r>
  <r>
    <n v="83"/>
    <s v="NLREDBULL2"/>
    <s v="RedBull ThaiLan nắp hình"/>
    <s v="Block"/>
    <n v="0"/>
    <n v="0"/>
    <n v="0"/>
    <n v="0"/>
    <n v="0"/>
    <d v="2023-09-14T00:00:00"/>
    <s v="Thế giới sữa Tony - T.Nghĩa"/>
    <x v="0"/>
    <n v="2023"/>
    <n v="0"/>
    <n v="0"/>
    <n v="0"/>
    <n v="0"/>
  </r>
  <r>
    <n v="84"/>
    <s v="SD1000"/>
    <s v="Sữa đặc Creamer có đường 1kg x 24 lon"/>
    <s v="Lon"/>
    <n v="820800"/>
    <n v="0"/>
    <n v="24"/>
    <n v="840000"/>
    <n v="19200"/>
    <d v="2023-09-14T00:00:00"/>
    <s v="Thế giới sữa Tony - T.Nghĩa"/>
    <x v="0"/>
    <n v="2023"/>
    <n v="-801600"/>
    <n v="-0.97660818713450293"/>
    <n v="35000"/>
    <n v="24"/>
  </r>
  <r>
    <n v="85"/>
    <s v="CC16"/>
    <s v="Cacao Passion 3 in 1 (16g x 10s x 80 dây)"/>
    <s v="Dây"/>
    <n v="138000"/>
    <n v="0"/>
    <n v="6"/>
    <n v="162000"/>
    <n v="24000"/>
    <d v="2023-09-14T00:00:00"/>
    <s v="5 Phụng - T.Nghĩa"/>
    <x v="0"/>
    <n v="2023"/>
    <n v="-114000"/>
    <n v="-0.82608695652173914"/>
    <n v="27000"/>
    <n v="6"/>
  </r>
  <r>
    <n v="86"/>
    <s v="KTN3001"/>
    <s v="Kẹo Trang Nghiêm DÂU TÂY hộp 200g x 24 hộp/thùng"/>
    <s v="Hộp"/>
    <n v="72500"/>
    <n v="0"/>
    <n v="5"/>
    <n v="70000"/>
    <n v="-2500"/>
    <d v="2023-09-14T00:00:00"/>
    <s v="5 Phụng - T.Nghĩa"/>
    <x v="0"/>
    <n v="2023"/>
    <n v="-75000"/>
    <n v="-1.0344827586206897"/>
    <n v="14000"/>
    <n v="5"/>
  </r>
  <r>
    <n v="87"/>
    <s v="KTN3002"/>
    <s v="Kẹo Trang Nghiêm DÂU TẰM hộp 200g x 24 hộp/thùng"/>
    <s v="Hộp"/>
    <n v="72500"/>
    <n v="0"/>
    <n v="5"/>
    <n v="70000"/>
    <n v="-2500"/>
    <d v="2023-09-14T00:00:00"/>
    <s v="5 Phụng - T.Nghĩa"/>
    <x v="0"/>
    <n v="2023"/>
    <n v="-75000"/>
    <n v="-1.0344827586206897"/>
    <n v="14000"/>
    <n v="5"/>
  </r>
  <r>
    <n v="88"/>
    <s v="KTN3003"/>
    <s v="Kẹo Trang Nghiêm ME ỚT hộp 200g x 24 hộp/thùng"/>
    <s v="Hộp"/>
    <n v="72500"/>
    <n v="0"/>
    <n v="5"/>
    <n v="70000"/>
    <n v="-2500"/>
    <d v="2023-09-14T00:00:00"/>
    <s v="5 Phụng - T.Nghĩa"/>
    <x v="0"/>
    <n v="2023"/>
    <n v="-75000"/>
    <n v="-1.0344827586206897"/>
    <n v="14000"/>
    <n v="5"/>
  </r>
  <r>
    <n v="89"/>
    <s v="SD1000"/>
    <s v="Sữa đặc Creamer có đường 1kg x 24 lon"/>
    <s v="Lon"/>
    <n v="171000"/>
    <n v="0"/>
    <n v="5"/>
    <n v="175000"/>
    <n v="4000"/>
    <d v="2023-09-14T00:00:00"/>
    <s v="5 Phụng - T.Nghĩa"/>
    <x v="0"/>
    <n v="2023"/>
    <n v="-167000"/>
    <n v="-0.97660818713450293"/>
    <n v="35000"/>
    <n v="5"/>
  </r>
  <r>
    <n v="90"/>
    <s v="KDL1301"/>
    <s v="Khăn du lịch GIA PHÁT 3 lớp x 130 tờ x 100 gói"/>
    <s v="Gói"/>
    <n v="42000"/>
    <n v="1"/>
    <n v="12"/>
    <n v="72000"/>
    <n v="30000"/>
    <d v="2023-09-14T00:00:00"/>
    <s v="Tường Sang - T.Nghĩa"/>
    <x v="0"/>
    <n v="2023"/>
    <n v="-12000"/>
    <n v="-0.2857142857142857"/>
    <n v="6000"/>
    <n v="11"/>
  </r>
  <r>
    <n v="91"/>
    <s v="KR500"/>
    <s v="Khăn rút lụa NAROTO 2 lớp x 500 tờ x 50 gói"/>
    <s v="Gói"/>
    <n v="70400"/>
    <n v="2"/>
    <n v="8"/>
    <n v="136000"/>
    <n v="65600"/>
    <d v="2023-09-14T00:00:00"/>
    <s v="Tường Sang - T.Nghĩa"/>
    <x v="0"/>
    <n v="2023"/>
    <n v="-4800"/>
    <n v="-6.8181818181818177E-2"/>
    <n v="17000"/>
    <n v="6"/>
  </r>
  <r>
    <n v="92"/>
    <s v="SRT500"/>
    <s v="SRT tự nhiên (hồng, tím, đỏ, xanh) 500ml x 20 chai"/>
    <s v="Chai"/>
    <n v="77500"/>
    <n v="1"/>
    <n v="5"/>
    <n v="175000"/>
    <n v="97500"/>
    <d v="2023-09-14T00:00:00"/>
    <s v="Tường Sang - T.Nghĩa"/>
    <x v="0"/>
    <n v="2023"/>
    <n v="20000"/>
    <n v="0.25806451612903225"/>
    <n v="35000"/>
    <n v="4"/>
  </r>
  <r>
    <n v="93"/>
    <s v="CC16"/>
    <s v="Cacao Passion 3 in 1 (16g x 10s x 80 dây)"/>
    <s v="Dây"/>
    <n v="46000"/>
    <n v="0"/>
    <n v="2"/>
    <n v="56000"/>
    <n v="10000"/>
    <d v="2023-09-14T00:00:00"/>
    <s v="An Nhiên - T.Nghĩa"/>
    <x v="0"/>
    <n v="2023"/>
    <n v="-36000"/>
    <n v="-0.78260869565217395"/>
    <n v="28000"/>
    <n v="2"/>
  </r>
  <r>
    <n v="94"/>
    <s v="CG50"/>
    <s v="Chân gà cay ăn liền ZL FOOD loại 50g x 30 x 7 túi"/>
    <s v="Cái"/>
    <n v="110000"/>
    <n v="0"/>
    <n v="20"/>
    <n v="130000"/>
    <n v="20000"/>
    <d v="2023-09-14T00:00:00"/>
    <s v="An Nhiên - T.Nghĩa"/>
    <x v="0"/>
    <n v="2023"/>
    <n v="-90000"/>
    <n v="-0.81818181818181823"/>
    <n v="6500"/>
    <n v="20"/>
  </r>
  <r>
    <n v="95"/>
    <s v="SD1000"/>
    <s v="Sữa đặc Creamer có đường 1kg x 24 lon"/>
    <s v="Lon"/>
    <n v="171000"/>
    <n v="0"/>
    <n v="5"/>
    <n v="175000"/>
    <n v="4000"/>
    <d v="2023-09-14T00:00:00"/>
    <s v="An Nhiên - T.Nghĩa"/>
    <x v="0"/>
    <n v="2023"/>
    <n v="-167000"/>
    <n v="-0.97660818713450293"/>
    <n v="35000"/>
    <n v="5"/>
  </r>
  <r>
    <n v="96"/>
    <s v="TBND500"/>
    <s v="Nước Yến Nha Đam (Pet) 500ml x 24 chai"/>
    <s v="Thùng"/>
    <n v="163485"/>
    <n v="0"/>
    <n v="1"/>
    <n v="175000"/>
    <n v="11515"/>
    <d v="2023-09-14T00:00:00"/>
    <s v="An Nhiên - T.Nghĩa"/>
    <x v="0"/>
    <n v="2023"/>
    <n v="-151970"/>
    <n v="-0.92956540355384287"/>
    <n v="175000"/>
    <n v="1"/>
  </r>
  <r>
    <n v="97"/>
    <s v="GC606"/>
    <s v="GVS TiOne Gấu 6 cuộn x 12 cây"/>
    <s v="Cây"/>
    <n v="0"/>
    <n v="0"/>
    <n v="0"/>
    <n v="0"/>
    <n v="0"/>
    <d v="2023-09-15T00:00:00"/>
    <s v="Cô Dọ - T.Linh"/>
    <x v="0"/>
    <n v="2023"/>
    <n v="0"/>
    <n v="0"/>
    <n v="0"/>
    <n v="0"/>
  </r>
  <r>
    <n v="98"/>
    <s v="JA1KG"/>
    <s v="Javel 1L x 12 chai"/>
    <s v="Chai"/>
    <n v="0"/>
    <n v="2"/>
    <n v="0"/>
    <n v="0"/>
    <n v="0"/>
    <d v="2023-09-15T00:00:00"/>
    <s v="Đạt Hường - P.Thịnh"/>
    <x v="0"/>
    <n v="2023"/>
    <n v="0"/>
    <n v="0"/>
    <n v="0"/>
    <n v="-2"/>
  </r>
  <r>
    <n v="99"/>
    <s v="JA350G"/>
    <s v="Javel 350ml x 30 chai"/>
    <s v="Chai"/>
    <n v="90000"/>
    <n v="0"/>
    <n v="30"/>
    <n v="165000"/>
    <n v="75000"/>
    <d v="2023-09-15T00:00:00"/>
    <s v="Đạt Hường - P.Thịnh"/>
    <x v="0"/>
    <n v="2023"/>
    <n v="-15000"/>
    <n v="-0.16666666666666666"/>
    <n v="5500"/>
    <n v="30"/>
  </r>
  <r>
    <n v="100"/>
    <s v="JA500G"/>
    <s v="Javel 550ml x 24 chai"/>
    <s v="Chai"/>
    <n v="90000"/>
    <n v="0"/>
    <n v="24"/>
    <n v="168000"/>
    <n v="78000"/>
    <d v="2023-09-15T00:00:00"/>
    <s v="Đạt Hường - P.Thịnh"/>
    <x v="0"/>
    <n v="2023"/>
    <n v="-12000"/>
    <n v="-0.13333333333333333"/>
    <n v="7000"/>
    <n v="24"/>
  </r>
  <r>
    <n v="101"/>
    <s v="HTBSN80"/>
    <s v="Snack bắp Otori vị Phô Mai 80g x 12"/>
    <s v="Lon"/>
    <n v="55440"/>
    <n v="0"/>
    <n v="2"/>
    <n v="64000"/>
    <n v="8560"/>
    <d v="2023-09-16T00:00:00"/>
    <s v="Mỹ Hạnh - HCL"/>
    <x v="0"/>
    <n v="2023"/>
    <n v="-46880"/>
    <n v="-0.84559884559884557"/>
    <n v="32000"/>
    <n v="2"/>
  </r>
  <r>
    <n v="102"/>
    <s v="HTBSN90"/>
    <s v="Snack bắp Otori vị Gà cay 90g x 12"/>
    <s v="Lon"/>
    <n v="55440"/>
    <n v="0"/>
    <n v="2"/>
    <n v="64000"/>
    <n v="8560"/>
    <d v="2023-09-16T00:00:00"/>
    <s v="Mỹ Hạnh - HCL"/>
    <x v="0"/>
    <n v="2023"/>
    <n v="-46880"/>
    <n v="-0.84559884559884557"/>
    <n v="32000"/>
    <n v="2"/>
  </r>
  <r>
    <n v="103"/>
    <s v="HTBSN902"/>
    <s v="Snack bắp Otori vị Tomyum Kung 90g x 12"/>
    <s v="Lon"/>
    <n v="55440"/>
    <n v="0"/>
    <n v="2"/>
    <n v="64000"/>
    <n v="8560"/>
    <d v="2023-09-16T00:00:00"/>
    <s v="Mỹ Hạnh - HCL"/>
    <x v="0"/>
    <n v="2023"/>
    <n v="-46880"/>
    <n v="-0.84559884559884557"/>
    <n v="32000"/>
    <n v="2"/>
  </r>
  <r>
    <n v="104"/>
    <s v="HTBSN903"/>
    <s v="Snack bắp Otori vị Rong Biển 90g x 12"/>
    <s v="Lon"/>
    <n v="83160"/>
    <n v="0"/>
    <n v="3"/>
    <n v="96000"/>
    <n v="12840"/>
    <d v="2023-09-16T00:00:00"/>
    <s v="Mỹ Hạnh - HCL"/>
    <x v="0"/>
    <n v="2023"/>
    <n v="-70320"/>
    <n v="-0.84559884559884557"/>
    <n v="32000"/>
    <n v="3"/>
  </r>
  <r>
    <n v="105"/>
    <s v="HTBSN904"/>
    <s v="Snack bắp Otori vị Dừa 80g x 12"/>
    <s v="Lon"/>
    <n v="83160"/>
    <n v="0"/>
    <n v="3"/>
    <n v="96000"/>
    <n v="12840"/>
    <d v="2023-09-16T00:00:00"/>
    <s v="Mỹ Hạnh - HCL"/>
    <x v="0"/>
    <n v="2023"/>
    <n v="-70320"/>
    <n v="-0.84559884559884557"/>
    <n v="32000"/>
    <n v="3"/>
  </r>
  <r>
    <n v="106"/>
    <s v="KV1001"/>
    <s v="Khăn Napkin Ruby Gold 100 tờ x 30 gói"/>
    <s v="Gói"/>
    <n v="450000"/>
    <n v="0"/>
    <n v="60"/>
    <n v="480000"/>
    <n v="30000"/>
    <d v="2023-09-16T00:00:00"/>
    <s v="Mỹ Hạnh - HCL"/>
    <x v="0"/>
    <n v="2023"/>
    <n v="-420000"/>
    <n v="-0.93333333333333335"/>
    <n v="8000"/>
    <n v="60"/>
  </r>
  <r>
    <n v="107"/>
    <s v="NSSK555"/>
    <s v="Saka 555ml x 24 chai"/>
    <s v="Thùng"/>
    <n v="390000"/>
    <n v="0"/>
    <n v="5"/>
    <n v="390000"/>
    <n v="0"/>
    <d v="2023-09-16T00:00:00"/>
    <s v="Mỹ Hạnh - HCL"/>
    <x v="0"/>
    <n v="2023"/>
    <n v="-390000"/>
    <n v="-1"/>
    <n v="78000"/>
    <n v="5"/>
  </r>
  <r>
    <n v="108"/>
    <s v="KU100"/>
    <s v="Khăn ướt Begin 100 tờ x 20 gói"/>
    <s v="Gói"/>
    <n v="340000"/>
    <n v="0"/>
    <n v="20"/>
    <n v="500000"/>
    <n v="160000"/>
    <d v="2023-09-16T00:00:00"/>
    <s v="TT Hải Châu - T.H.Trung"/>
    <x v="0"/>
    <n v="2023"/>
    <n v="-180000"/>
    <n v="-0.52941176470588236"/>
    <n v="25000"/>
    <n v="20"/>
  </r>
  <r>
    <n v="109"/>
    <s v="BTT160"/>
    <s v="Bông tẩy trang 160 miếng x 120 cây"/>
    <s v="Cây"/>
    <n v="144000"/>
    <n v="0"/>
    <n v="6"/>
    <n v="180000"/>
    <n v="36000"/>
    <d v="2023-09-16T00:00:00"/>
    <s v="TT Ngọc Trinh - B.H.Trung"/>
    <x v="0"/>
    <n v="2023"/>
    <n v="-108000"/>
    <n v="-0.75"/>
    <n v="30000"/>
    <n v="6"/>
  </r>
  <r>
    <n v="110"/>
    <s v="KDL01"/>
    <s v="Khăn giấy bỏ túi Paseo 9 tờ x 6 gói/cây x 40 cây"/>
    <s v="Cây"/>
    <n v="98280"/>
    <n v="0"/>
    <n v="10"/>
    <n v="115000"/>
    <n v="16720"/>
    <d v="2023-09-16T00:00:00"/>
    <s v="TT Ngọc Trinh - B.H.Trung"/>
    <x v="0"/>
    <n v="2023"/>
    <n v="-81560"/>
    <n v="-0.82987382987382985"/>
    <n v="11500"/>
    <n v="10"/>
  </r>
  <r>
    <n v="111"/>
    <s v="TBTE1001"/>
    <s v="Tăm bông thân nhựa TE túi 100 cây x 24 túi"/>
    <s v="Túi"/>
    <n v="126000"/>
    <n v="4"/>
    <n v="24"/>
    <n v="168000"/>
    <n v="42000"/>
    <d v="2023-09-16T00:00:00"/>
    <s v="TT Ngọc Trinh - B.H.Trung"/>
    <x v="0"/>
    <n v="2023"/>
    <n v="-84000"/>
    <n v="-0.66666666666666663"/>
    <n v="7000"/>
    <n v="20"/>
  </r>
  <r>
    <n v="112"/>
    <s v="GC106"/>
    <s v="GVS Ruby (HQ) 10 cuộn x 8kg"/>
    <s v="Cây"/>
    <n v="180000"/>
    <n v="0"/>
    <n v="10"/>
    <n v="220000"/>
    <n v="40000"/>
    <d v="2023-09-16T00:00:00"/>
    <s v="Chị Thắm (Hồng Thắm) - B.H.Tây"/>
    <x v="0"/>
    <n v="2023"/>
    <n v="-140000"/>
    <n v="-0.77777777777777779"/>
    <n v="22000"/>
    <n v="10"/>
  </r>
  <r>
    <n v="113"/>
    <s v="GC617"/>
    <s v="GVS TiOne hồng 6 cuộn x 12 cây"/>
    <s v="Cây"/>
    <n v="265716"/>
    <n v="0"/>
    <n v="12"/>
    <n v="360000"/>
    <n v="94284"/>
    <d v="2023-09-16T00:00:00"/>
    <s v="Chị Thắm (Hồng Thắm) - B.H.Tây"/>
    <x v="0"/>
    <n v="2023"/>
    <n v="-171432"/>
    <n v="-0.64517003116108929"/>
    <n v="30000"/>
    <n v="12"/>
  </r>
  <r>
    <n v="114"/>
    <s v="GC617"/>
    <s v="GVS TiOne hồng 6 cuộn x 12 cây"/>
    <s v="Cây"/>
    <n v="265716"/>
    <n v="0"/>
    <n v="12"/>
    <n v="360000"/>
    <n v="94284"/>
    <d v="2023-09-16T00:00:00"/>
    <s v="4 Điều - M.Trắng"/>
    <x v="0"/>
    <n v="2023"/>
    <n v="-171432"/>
    <n v="-0.64517003116108929"/>
    <n v="30000"/>
    <n v="12"/>
  </r>
  <r>
    <n v="115"/>
    <s v="KTN3001"/>
    <s v="Kẹo Trang Nghiêm DÂU TÂY hộp 200g x 24 hộp/thùng"/>
    <s v="Hộp"/>
    <n v="43500"/>
    <n v="0"/>
    <n v="3"/>
    <n v="42000"/>
    <n v="-1500"/>
    <d v="2023-09-16T00:00:00"/>
    <s v="TT Hữu Nghị - M.Trắng"/>
    <x v="0"/>
    <n v="2023"/>
    <n v="-45000"/>
    <n v="-1.0344827586206897"/>
    <n v="14000"/>
    <n v="3"/>
  </r>
  <r>
    <n v="116"/>
    <s v="KTN3002"/>
    <s v="Kẹo Trang Nghiêm DÂU TẰM hộp 200g x 24 hộp/thùng"/>
    <s v="Hộp"/>
    <n v="58000"/>
    <n v="0"/>
    <n v="4"/>
    <n v="56000"/>
    <n v="-2000"/>
    <d v="2023-09-16T00:00:00"/>
    <s v="TT Hữu Nghị - M.Trắng"/>
    <x v="0"/>
    <n v="2023"/>
    <n v="-60000"/>
    <n v="-1.0344827586206897"/>
    <n v="14000"/>
    <n v="4"/>
  </r>
  <r>
    <n v="117"/>
    <s v="KTN3003"/>
    <s v="Kẹo Trang Nghiêm ME ỚT hộp 200g x 24 hộp/thùng"/>
    <s v="Hộp"/>
    <n v="43500"/>
    <n v="0"/>
    <n v="3"/>
    <n v="42000"/>
    <n v="-1500"/>
    <d v="2023-09-16T00:00:00"/>
    <s v="TT Hữu Nghị - M.Trắng"/>
    <x v="0"/>
    <n v="2023"/>
    <n v="-45000"/>
    <n v="-1.0344827586206897"/>
    <n v="14000"/>
    <n v="3"/>
  </r>
  <r>
    <n v="118"/>
    <s v="KV1009"/>
    <s v="Khăn Napkin TiOne Gấu 100 tờ x 48 gói"/>
    <s v="Gói"/>
    <n v="288000"/>
    <n v="0"/>
    <n v="48"/>
    <n v="360000"/>
    <n v="72000"/>
    <d v="2023-09-16T00:00:00"/>
    <s v="Chị Đào - T.H.Trung"/>
    <x v="0"/>
    <n v="2023"/>
    <n v="-216000"/>
    <n v="-0.75"/>
    <n v="7500"/>
    <n v="48"/>
  </r>
  <r>
    <n v="119"/>
    <s v="HM607"/>
    <s v="Yến sào Seunest KĐ xanh x 6 hộp"/>
    <s v="Hộp"/>
    <n v="300000"/>
    <n v="0"/>
    <n v="3"/>
    <n v="654000"/>
    <n v="354000"/>
    <d v="2023-09-16T00:00:00"/>
    <s v="TH Ngân (chị Ngân) - T.H.Trung"/>
    <x v="0"/>
    <n v="2023"/>
    <n v="54000"/>
    <n v="0.18"/>
    <n v="218000"/>
    <n v="3"/>
  </r>
  <r>
    <n v="120"/>
    <s v="HM608"/>
    <s v="Yến sào Seunest CĐ vàng x 6 hộp"/>
    <s v="Hộp"/>
    <n v="300000"/>
    <n v="0"/>
    <n v="3"/>
    <n v="654000"/>
    <n v="354000"/>
    <d v="2023-09-16T00:00:00"/>
    <s v="TH Ngân (chị Ngân) - T.H.Trung"/>
    <x v="0"/>
    <n v="2023"/>
    <n v="54000"/>
    <n v="0.18"/>
    <n v="218000"/>
    <n v="3"/>
  </r>
  <r>
    <n v="121"/>
    <s v="HM610"/>
    <s v="Yến sào Finenest CĐ đỏ x 6 hộp"/>
    <s v="Hộp"/>
    <n v="0"/>
    <n v="6"/>
    <n v="0"/>
    <n v="-720000"/>
    <n v="-720000"/>
    <d v="2023-09-16T00:00:00"/>
    <s v="TH Ngân (chị Ngân) - T.H.Trung"/>
    <x v="0"/>
    <n v="2023"/>
    <n v="-720000"/>
    <n v="0"/>
    <n v="0"/>
    <n v="-6"/>
  </r>
  <r>
    <n v="122"/>
    <s v="KV100"/>
    <s v="Khăn Napkin Toply 100 tờ x 48 gói"/>
    <s v="Gói"/>
    <n v="345600"/>
    <n v="5"/>
    <n v="48"/>
    <n v="521000"/>
    <n v="175400"/>
    <d v="2023-09-16T00:00:00"/>
    <s v="Chị Hạnh - M.Trắng"/>
    <x v="0"/>
    <n v="2023"/>
    <n v="-170200"/>
    <n v="-0.49247685185185186"/>
    <n v="10854.166666666666"/>
    <n v="43"/>
  </r>
  <r>
    <n v="123"/>
    <s v="GC617"/>
    <s v="GVS TiOne hồng 6 cuộn x 12 cây"/>
    <s v="Cây"/>
    <n v="265716"/>
    <n v="1"/>
    <n v="12"/>
    <n v="377000"/>
    <n v="111284"/>
    <d v="2023-09-16T00:00:00"/>
    <s v="Kim Quyên - M.Trắng"/>
    <x v="0"/>
    <n v="2023"/>
    <n v="-154432"/>
    <n v="-0.58119194929925189"/>
    <n v="31416.666666666668"/>
    <n v="11"/>
  </r>
  <r>
    <n v="124"/>
    <s v="XM6007"/>
    <s v="Xịt muỗi 600ml x 30 chai"/>
    <s v="Chai"/>
    <n v="216000"/>
    <n v="0"/>
    <n v="12"/>
    <n v="264000"/>
    <n v="48000"/>
    <d v="2023-09-16T00:00:00"/>
    <s v="Kim Quyên - M.Trắng"/>
    <x v="0"/>
    <n v="2023"/>
    <n v="-168000"/>
    <n v="-0.77777777777777779"/>
    <n v="22000"/>
    <n v="12"/>
  </r>
  <r>
    <n v="125"/>
    <s v="GC6010"/>
    <s v="GVS Fairy cuộn CN 600g x 10 cuộn"/>
    <s v="Cuộn"/>
    <n v="267000"/>
    <n v="2"/>
    <n v="10"/>
    <n v="270000"/>
    <n v="3000"/>
    <d v="2023-09-16T00:00:00"/>
    <s v="Như Ý - M.Trắng"/>
    <x v="0"/>
    <n v="2023"/>
    <n v="-264000"/>
    <n v="-0.9887640449438202"/>
    <n v="27000"/>
    <n v="8"/>
  </r>
  <r>
    <n v="126"/>
    <s v="KV100"/>
    <s v="Khăn Napkin Toply 100 tờ x 48 gói"/>
    <s v="Gói"/>
    <n v="345600"/>
    <n v="5"/>
    <n v="48"/>
    <n v="521000"/>
    <n v="175400"/>
    <d v="2023-09-16T00:00:00"/>
    <s v="Như Ý - M.Trắng"/>
    <x v="0"/>
    <n v="2023"/>
    <n v="-170200"/>
    <n v="-0.49247685185185186"/>
    <n v="10854.166666666666"/>
    <n v="43"/>
  </r>
  <r>
    <n v="127"/>
    <s v="KV100"/>
    <s v="Khăn Napkin Toply 100 tờ x 48 gói"/>
    <s v="Gói"/>
    <n v="345600"/>
    <n v="5"/>
    <n v="48"/>
    <n v="521000"/>
    <n v="175400"/>
    <d v="2023-09-16T00:00:00"/>
    <s v="Uốn tóc Kim Phụng - M.Trắng"/>
    <x v="0"/>
    <n v="2023"/>
    <n v="-170200"/>
    <n v="-0.49247685185185186"/>
    <n v="10854.166666666666"/>
    <n v="43"/>
  </r>
  <r>
    <n v="128"/>
    <s v="CC16"/>
    <s v="Cacao Passion 3 in 1 (16g x 10s x 80 dây)"/>
    <s v="Dây"/>
    <n v="138000"/>
    <n v="0"/>
    <n v="6"/>
    <n v="162000"/>
    <n v="24000"/>
    <d v="2023-09-16T00:00:00"/>
    <s v="Chú 7 Vân - B.H.Tây"/>
    <x v="0"/>
    <n v="2023"/>
    <n v="-114000"/>
    <n v="-0.82608695652173914"/>
    <n v="27000"/>
    <n v="6"/>
  </r>
  <r>
    <n v="129"/>
    <s v="HM600"/>
    <s v="HIMA Yến Huyết 6 lọ x 6 hộp"/>
    <s v="Hộp"/>
    <n v="1215000"/>
    <n v="0"/>
    <n v="6"/>
    <n v="1620000"/>
    <n v="405000"/>
    <d v="2023-09-16T00:00:00"/>
    <s v="Chú 7 Vân - B.H.Tây"/>
    <x v="0"/>
    <n v="2023"/>
    <n v="-810000"/>
    <n v="-0.66666666666666663"/>
    <n v="270000"/>
    <n v="6"/>
  </r>
  <r>
    <n v="130"/>
    <s v="HM601"/>
    <s v="HIMA DAILY (new) 6 lọ x 6 hộp"/>
    <s v="Hộp"/>
    <n v="1152000"/>
    <n v="0"/>
    <n v="6"/>
    <n v="1440000"/>
    <n v="288000"/>
    <d v="2023-09-16T00:00:00"/>
    <s v="Chú 7 Vân - B.H.Tây"/>
    <x v="0"/>
    <n v="2023"/>
    <n v="-864000"/>
    <n v="-0.75"/>
    <n v="240000"/>
    <n v="6"/>
  </r>
  <r>
    <n v="131"/>
    <s v="HM607"/>
    <s v="Yến sào Seunest KĐ xanh x 6 hộp"/>
    <s v="Hộp"/>
    <n v="0"/>
    <n v="6"/>
    <n v="0"/>
    <n v="-720000"/>
    <n v="-720000"/>
    <d v="2023-09-16T00:00:00"/>
    <s v="Chú 7 Vân - B.H.Tây"/>
    <x v="0"/>
    <n v="2023"/>
    <n v="-720000"/>
    <n v="0"/>
    <n v="0"/>
    <n v="-6"/>
  </r>
  <r>
    <n v="132"/>
    <s v="HM608"/>
    <s v="Yến sào Seunest CĐ vàng x 6 hộp"/>
    <s v="Hộp"/>
    <n v="0"/>
    <n v="6"/>
    <n v="0"/>
    <n v="-720000"/>
    <n v="-720000"/>
    <d v="2023-09-16T00:00:00"/>
    <s v="Chú 7 Vân - B.H.Tây"/>
    <x v="0"/>
    <n v="2023"/>
    <n v="-720000"/>
    <n v="0"/>
    <n v="0"/>
    <n v="-6"/>
  </r>
  <r>
    <n v="133"/>
    <s v="HM609"/>
    <s v="HIMA Hoa Hồng 35% yến 6 lọ x 6 hộp"/>
    <s v="Hộp"/>
    <n v="900000"/>
    <n v="0"/>
    <n v="6"/>
    <n v="1308000"/>
    <n v="408000"/>
    <d v="2023-09-16T00:00:00"/>
    <s v="Chú 7 Vân - B.H.Tây"/>
    <x v="0"/>
    <n v="2023"/>
    <n v="-492000"/>
    <n v="-0.54666666666666663"/>
    <n v="218000"/>
    <n v="6"/>
  </r>
  <r>
    <n v="134"/>
    <s v="HM610"/>
    <s v="Yến sào Finenest CĐ đỏ x 6 hộp"/>
    <s v="Hộp"/>
    <n v="600000"/>
    <n v="0"/>
    <n v="6"/>
    <n v="1308000"/>
    <n v="708000"/>
    <d v="2023-09-16T00:00:00"/>
    <s v="Chú 7 Vân - B.H.Tây"/>
    <x v="0"/>
    <n v="2023"/>
    <n v="108000"/>
    <n v="0.18"/>
    <n v="218000"/>
    <n v="6"/>
  </r>
  <r>
    <n v="135"/>
    <s v="KMKLR4N"/>
    <s v="Kệ lắp ráp 3 tầng 30cm x 35cm x 70cm x 1,2m"/>
    <s v="Bộ"/>
    <n v="0"/>
    <n v="0"/>
    <n v="0"/>
    <n v="0"/>
    <n v="0"/>
    <d v="2023-09-16T00:00:00"/>
    <s v="Chú 7 Vân - B.H.Tây"/>
    <x v="0"/>
    <n v="2023"/>
    <n v="0"/>
    <n v="0"/>
    <n v="0"/>
    <n v="0"/>
  </r>
  <r>
    <n v="136"/>
    <s v="KV1009"/>
    <s v="Khăn Napkin TiOne Gấu 100 tờ x 48 gói"/>
    <s v="Gói"/>
    <n v="1440000"/>
    <n v="0"/>
    <n v="240"/>
    <n v="1920000"/>
    <n v="480000"/>
    <d v="2023-09-16T00:00:00"/>
    <s v="Chú 7 Vân - B.H.Tây"/>
    <x v="0"/>
    <n v="2023"/>
    <n v="-960000"/>
    <n v="-0.66666666666666663"/>
    <n v="8000"/>
    <n v="240"/>
  </r>
  <r>
    <n v="137"/>
    <s v="KV100"/>
    <s v="Khăn Napkin Toply 100 tờ x 48 gói"/>
    <s v="Gói"/>
    <n v="345600"/>
    <n v="5"/>
    <n v="48"/>
    <n v="526000"/>
    <n v="180400"/>
    <d v="2023-09-16T00:00:00"/>
    <s v="6 Trạng - M.Trắng"/>
    <x v="0"/>
    <n v="2023"/>
    <n v="-165200"/>
    <n v="-0.47800925925925924"/>
    <n v="10958.333333333334"/>
    <n v="43"/>
  </r>
  <r>
    <n v="138"/>
    <s v="NG3600"/>
    <s v="Nước giặt Kimono 6 in 1 (tím) x 3,6kg x 4 bình"/>
    <s v="Bình"/>
    <n v="182500"/>
    <n v="0"/>
    <n v="2"/>
    <n v="260000"/>
    <n v="77500"/>
    <d v="2023-09-16T00:00:00"/>
    <s v="6 Trạng - M.Trắng"/>
    <x v="0"/>
    <n v="2023"/>
    <n v="-105000"/>
    <n v="-0.57534246575342463"/>
    <n v="130000"/>
    <n v="2"/>
  </r>
  <r>
    <n v="139"/>
    <s v="NG36002"/>
    <s v="Nước giặt Kimono 6 in 1 (đen) x 3,6kg x 4 bình"/>
    <s v="Bình"/>
    <n v="182500"/>
    <n v="0"/>
    <n v="2"/>
    <n v="260000"/>
    <n v="77500"/>
    <d v="2023-09-16T00:00:00"/>
    <s v="6 Trạng - M.Trắng"/>
    <x v="0"/>
    <n v="2023"/>
    <n v="-105000"/>
    <n v="-0.57534246575342463"/>
    <n v="130000"/>
    <n v="2"/>
  </r>
  <r>
    <n v="140"/>
    <s v="KV1009"/>
    <s v="Khăn Napkin TiOne Gấu 100 tờ x 48 gói"/>
    <s v="Gói"/>
    <n v="288000"/>
    <n v="0"/>
    <n v="48"/>
    <n v="360000"/>
    <n v="72000"/>
    <d v="2023-09-16T00:00:00"/>
    <s v="Chị Thủy (đồ nhựa) - T.H.Trung"/>
    <x v="0"/>
    <n v="2023"/>
    <n v="-216000"/>
    <n v="-0.75"/>
    <n v="7500"/>
    <n v="48"/>
  </r>
  <r>
    <n v="141"/>
    <s v="GC603"/>
    <s v="GVS Ruby Gold 6 cuộn (không lõi) x 12 cây"/>
    <s v="Cây"/>
    <n v="300000"/>
    <n v="1"/>
    <n v="12"/>
    <n v="409000"/>
    <n v="109000"/>
    <d v="2023-09-16T00:00:00"/>
    <s v="TT Kim Dung - M.Hiệp"/>
    <x v="0"/>
    <n v="2023"/>
    <n v="-191000"/>
    <n v="-0.63666666666666671"/>
    <n v="34083.333333333336"/>
    <n v="11"/>
  </r>
  <r>
    <n v="142"/>
    <s v="KU80"/>
    <s v="Khăn ướt đa năng Begin 80g x 20 gói"/>
    <s v="Gói"/>
    <n v="111000"/>
    <n v="0"/>
    <n v="6"/>
    <n v="162000"/>
    <n v="51000"/>
    <d v="2023-09-16T00:00:00"/>
    <s v="TT Kim Dung - M.Hiệp"/>
    <x v="0"/>
    <n v="2023"/>
    <n v="-60000"/>
    <n v="-0.54054054054054057"/>
    <n v="27000"/>
    <n v="6"/>
  </r>
  <r>
    <n v="143"/>
    <s v="NLSDN280"/>
    <s v="Sữa đậu nành nguyên chất 280ml x 24 chai"/>
    <s v="Thùng"/>
    <n v="162000"/>
    <n v="0"/>
    <n v="1"/>
    <n v="180000"/>
    <n v="18000"/>
    <d v="2023-09-16T00:00:00"/>
    <s v="TT Kim Dung - M.Hiệp"/>
    <x v="0"/>
    <n v="2023"/>
    <n v="-144000"/>
    <n v="-0.88888888888888884"/>
    <n v="180000"/>
    <n v="1"/>
  </r>
  <r>
    <n v="144"/>
    <s v="TC301"/>
    <s v="Tăm chỉ nha khoa 30 chiếc x 10 hộp"/>
    <s v="Hộp"/>
    <n v="110000"/>
    <n v="0"/>
    <n v="10"/>
    <n v="160000"/>
    <n v="50000"/>
    <d v="2023-09-16T00:00:00"/>
    <s v="TT Kim Dung - M.Hiệp"/>
    <x v="0"/>
    <n v="2023"/>
    <n v="-60000"/>
    <n v="-0.54545454545454541"/>
    <n v="16000"/>
    <n v="10"/>
  </r>
  <r>
    <n v="145"/>
    <s v="KMNL7731"/>
    <s v="Nồi lẩu điện Comet 7731"/>
    <s v="Cái"/>
    <n v="0"/>
    <n v="1"/>
    <n v="0"/>
    <n v="-370000"/>
    <n v="-370000"/>
    <d v="2023-09-16T00:00:00"/>
    <s v="Thế Giới Con Cưng - HCL"/>
    <x v="0"/>
    <n v="2023"/>
    <n v="-370000"/>
    <n v="0"/>
    <n v="0"/>
    <n v="-1"/>
  </r>
  <r>
    <n v="146"/>
    <s v="KU1506"/>
    <s v="Khăn ướt Lovely (khổ lớn) 150g x 30 gói"/>
    <s v="Gói"/>
    <n v="855000"/>
    <n v="0"/>
    <n v="90"/>
    <n v="1620000"/>
    <n v="765000"/>
    <d v="2023-09-16T00:00:00"/>
    <s v="Thế Giới Con Cưng - HCL"/>
    <x v="0"/>
    <n v="2023"/>
    <n v="-90000"/>
    <n v="-0.10526315789473684"/>
    <n v="18000"/>
    <n v="90"/>
  </r>
  <r>
    <n v="147"/>
    <s v="KV1009"/>
    <s v="Khăn Napkin TiOne Gấu 100 tờ x 48 gói"/>
    <s v="Gói"/>
    <n v="288000"/>
    <n v="0"/>
    <n v="48"/>
    <n v="408000"/>
    <n v="120000"/>
    <d v="2023-09-16T00:00:00"/>
    <s v="Trinh Nữ - M.Trắng"/>
    <x v="0"/>
    <n v="2023"/>
    <n v="-168000"/>
    <n v="-0.58333333333333337"/>
    <n v="8500"/>
    <n v="48"/>
  </r>
  <r>
    <n v="148"/>
    <s v="SD1000"/>
    <s v="Sữa đặc Creamer có đường 1kg x 24 lon"/>
    <s v="Lon"/>
    <n v="820800"/>
    <n v="0"/>
    <n v="24"/>
    <n v="840000"/>
    <n v="19200"/>
    <d v="2023-09-16T00:00:00"/>
    <s v="Trinh Nữ - M.Trắng"/>
    <x v="0"/>
    <n v="2023"/>
    <n v="-801600"/>
    <n v="-0.97660818713450293"/>
    <n v="35000"/>
    <n v="24"/>
  </r>
  <r>
    <n v="149"/>
    <s v="A1K15"/>
    <s v="Kẹo bạc hà (chanh muối) Himalaya 15g x 12 gói x 12 hộp"/>
    <s v="Hộp"/>
    <n v="362268"/>
    <n v="1"/>
    <n v="6"/>
    <n v="340000"/>
    <n v="-22268"/>
    <d v="2023-09-16T00:00:00"/>
    <s v="TT Bảo Hạnh - M.Trắng"/>
    <x v="0"/>
    <n v="2023"/>
    <n v="-384536"/>
    <n v="-1.0614683052325902"/>
    <n v="56666.666666666664"/>
    <n v="5"/>
  </r>
  <r>
    <n v="150"/>
    <s v="BSOGI12"/>
    <s v="Bánh SOGI CHOCOLATE 12g x 24 cây x 6 hủ"/>
    <s v="Hủ"/>
    <n v="63000"/>
    <n v="0"/>
    <n v="1"/>
    <n v="70000"/>
    <n v="7000"/>
    <d v="2023-09-16T00:00:00"/>
    <s v="Ngọc Khánh ( Mỹ Khánh ) - M.Trắng"/>
    <x v="0"/>
    <n v="2023"/>
    <n v="-56000"/>
    <n v="-0.88888888888888884"/>
    <n v="70000"/>
    <n v="1"/>
  </r>
  <r>
    <n v="151"/>
    <s v="BSOGI121"/>
    <s v="Bánh SOGI CHOCOLATE WITH STRAWBERRY CREAM 12g x 24 cây x 6 hủ"/>
    <s v="Hủ"/>
    <n v="63000"/>
    <n v="0"/>
    <n v="1"/>
    <n v="70000"/>
    <n v="7000"/>
    <d v="2023-09-16T00:00:00"/>
    <s v="Ngọc Khánh ( Mỹ Khánh ) - M.Trắng"/>
    <x v="0"/>
    <n v="2023"/>
    <n v="-56000"/>
    <n v="-0.88888888888888884"/>
    <n v="70000"/>
    <n v="1"/>
  </r>
  <r>
    <n v="152"/>
    <s v="CG501"/>
    <s v="Chân gà cay ăn liền ZL FOOD Acao 50g x 30 x 7 túi"/>
    <s v="Cái"/>
    <n v="165000"/>
    <n v="0"/>
    <n v="30"/>
    <n v="195000"/>
    <n v="30000"/>
    <d v="2023-09-16T00:00:00"/>
    <s v="Ngọc Khánh ( Mỹ Khánh ) - M.Trắng"/>
    <x v="0"/>
    <n v="2023"/>
    <n v="-135000"/>
    <n v="-0.81818181818181823"/>
    <n v="6500"/>
    <n v="30"/>
  </r>
  <r>
    <n v="153"/>
    <s v="HM605"/>
    <s v="HIMA Canxi &amp; Cơ Xương Khớp KĐ 6 lọ x 6 hộp"/>
    <s v="Hộp"/>
    <n v="900000"/>
    <n v="0"/>
    <n v="6"/>
    <n v="1500000"/>
    <n v="600000"/>
    <d v="2023-09-16T00:00:00"/>
    <s v="Ngọc Khánh ( Mỹ Khánh ) - M.Trắng"/>
    <x v="0"/>
    <n v="2023"/>
    <n v="-300000"/>
    <n v="-0.33333333333333331"/>
    <n v="250000"/>
    <n v="6"/>
  </r>
  <r>
    <n v="154"/>
    <s v="HM607"/>
    <s v="Yến sào Seunest KĐ xanh x 6 hộp"/>
    <s v="Hộp"/>
    <n v="0"/>
    <n v="6"/>
    <n v="0"/>
    <n v="-720000"/>
    <n v="-720000"/>
    <d v="2023-09-16T00:00:00"/>
    <s v="Ngọc Khánh ( Mỹ Khánh ) - M.Trắng"/>
    <x v="0"/>
    <n v="2023"/>
    <n v="-720000"/>
    <n v="0"/>
    <n v="0"/>
    <n v="-6"/>
  </r>
  <r>
    <n v="155"/>
    <s v="HM608"/>
    <s v="Yến sào Seunest CĐ vàng x 6 hộp"/>
    <s v="Hộp"/>
    <n v="0"/>
    <n v="12"/>
    <n v="0"/>
    <n v="-1440000"/>
    <n v="-1440000"/>
    <d v="2023-09-16T00:00:00"/>
    <s v="Ngọc Khánh ( Mỹ Khánh ) - M.Trắng"/>
    <x v="0"/>
    <n v="2023"/>
    <n v="-1440000"/>
    <n v="0"/>
    <n v="0"/>
    <n v="-12"/>
  </r>
  <r>
    <n v="156"/>
    <s v="HM610"/>
    <s v="Yến sào Finenest CĐ đỏ x 6 hộp"/>
    <s v="Hộp"/>
    <n v="600000"/>
    <n v="0"/>
    <n v="6"/>
    <n v="1308000"/>
    <n v="708000"/>
    <d v="2023-09-16T00:00:00"/>
    <s v="Ngọc Khánh ( Mỹ Khánh ) - M.Trắng"/>
    <x v="0"/>
    <n v="2023"/>
    <n v="108000"/>
    <n v="0.18"/>
    <n v="218000"/>
    <n v="6"/>
  </r>
  <r>
    <n v="157"/>
    <s v="HM611"/>
    <s v="Yến sào Seunest Huyết x 6 hộp"/>
    <s v="Hộp"/>
    <n v="660000"/>
    <n v="0"/>
    <n v="6"/>
    <n v="1368000"/>
    <n v="708000"/>
    <d v="2023-09-16T00:00:00"/>
    <s v="Ngọc Khánh ( Mỹ Khánh ) - M.Trắng"/>
    <x v="0"/>
    <n v="2023"/>
    <n v="48000"/>
    <n v="7.2727272727272724E-2"/>
    <n v="228000"/>
    <n v="6"/>
  </r>
  <r>
    <n v="158"/>
    <s v="TB10003"/>
    <s v="Tăm bông thân trúc túi 100 cây x 24 túi"/>
    <s v="Túi"/>
    <n v="147000"/>
    <n v="5"/>
    <n v="24"/>
    <n v="180000"/>
    <n v="33000"/>
    <d v="2023-09-16T00:00:00"/>
    <s v="Ngọc Khánh ( Mỹ Khánh ) - M.Trắng"/>
    <x v="0"/>
    <n v="2023"/>
    <n v="-114000"/>
    <n v="-0.77551020408163263"/>
    <n v="7500"/>
    <n v="19"/>
  </r>
  <r>
    <n v="159"/>
    <s v="TT01"/>
    <s v="Thanh toán lần 1"/>
    <s v="VNĐ"/>
    <n v="0"/>
    <n v="0"/>
    <n v="0"/>
    <n v="-1356000"/>
    <n v="-1356000"/>
    <d v="2023-09-16T00:00:00"/>
    <s v="Ngọc Khánh ( Mỹ Khánh ) - M.Trắng"/>
    <x v="0"/>
    <n v="2023"/>
    <n v="-1356000"/>
    <n v="0"/>
    <n v="0"/>
    <n v="0"/>
  </r>
  <r>
    <n v="160"/>
    <s v="XM6007"/>
    <s v="Xịt muỗi 600ml x 30 chai"/>
    <s v="Chai"/>
    <n v="540000"/>
    <n v="0"/>
    <n v="30"/>
    <n v="630000"/>
    <n v="90000"/>
    <d v="2023-09-16T00:00:00"/>
    <s v="Ngọc Khánh ( Mỹ Khánh ) - M.Trắng"/>
    <x v="0"/>
    <n v="2023"/>
    <n v="-450000"/>
    <n v="-0.83333333333333337"/>
    <n v="21000"/>
    <n v="30"/>
  </r>
  <r>
    <n v="161"/>
    <s v="SD1000"/>
    <s v="Sữa đặc Creamer có đường 1kg x 24 lon"/>
    <s v="Lon"/>
    <n v="820800"/>
    <n v="0"/>
    <n v="24"/>
    <n v="816000"/>
    <n v="-4800"/>
    <d v="2023-09-16T00:00:00"/>
    <s v="Thảo Vy - HCL"/>
    <x v="0"/>
    <n v="2023"/>
    <n v="-825600"/>
    <n v="-1.0058479532163742"/>
    <n v="34000"/>
    <n v="24"/>
  </r>
  <r>
    <n v="162"/>
    <s v="KTN3001"/>
    <s v="Kẹo Trang Nghiêm DÂU TÂY hộp 200g x 24 hộp/thùng"/>
    <s v="Hộp"/>
    <n v="58000"/>
    <n v="0"/>
    <n v="4"/>
    <n v="56000"/>
    <n v="-2000"/>
    <d v="2023-09-16T00:00:00"/>
    <s v="Tuấn Kiệt - M.Long"/>
    <x v="0"/>
    <n v="2023"/>
    <n v="-60000"/>
    <n v="-1.0344827586206897"/>
    <n v="14000"/>
    <n v="4"/>
  </r>
  <r>
    <n v="163"/>
    <s v="KTN3002"/>
    <s v="Kẹo Trang Nghiêm DÂU TẰM hộp 200g x 24 hộp/thùng"/>
    <s v="Hộp"/>
    <n v="58000"/>
    <n v="0"/>
    <n v="4"/>
    <n v="56000"/>
    <n v="-2000"/>
    <d v="2023-09-16T00:00:00"/>
    <s v="Tuấn Kiệt - M.Long"/>
    <x v="0"/>
    <n v="2023"/>
    <n v="-60000"/>
    <n v="-1.0344827586206897"/>
    <n v="14000"/>
    <n v="4"/>
  </r>
  <r>
    <n v="164"/>
    <s v="KTN3003"/>
    <s v="Kẹo Trang Nghiêm ME ỚT hộp 200g x 24 hộp/thùng"/>
    <s v="Hộp"/>
    <n v="58000"/>
    <n v="0"/>
    <n v="4"/>
    <n v="56000"/>
    <n v="-2000"/>
    <d v="2023-09-16T00:00:00"/>
    <s v="Tuấn Kiệt - M.Long"/>
    <x v="0"/>
    <n v="2023"/>
    <n v="-60000"/>
    <n v="-1.0344827586206897"/>
    <n v="14000"/>
    <n v="4"/>
  </r>
  <r>
    <n v="165"/>
    <s v="TBME500"/>
    <s v="Nước Me ThaiLan (Pet) 500ml x 24 chai"/>
    <s v="Thùng"/>
    <n v="163485"/>
    <n v="0"/>
    <n v="1"/>
    <n v="175000"/>
    <n v="11515"/>
    <d v="2023-09-16T00:00:00"/>
    <s v="Tuấn Kiệt - M.Long"/>
    <x v="0"/>
    <n v="2023"/>
    <n v="-151970"/>
    <n v="-0.92956540355384287"/>
    <n v="175000"/>
    <n v="1"/>
  </r>
  <r>
    <n v="166"/>
    <s v="GC32"/>
    <s v="Giấy cân 32 (1kg x 10 bịch)"/>
    <s v="Bịch"/>
    <n v="504000"/>
    <n v="2"/>
    <n v="12"/>
    <n v="473000"/>
    <n v="-31000"/>
    <d v="2023-09-21T00:00:00"/>
    <s v="Thông Thảo - P.Mỹ (QL30)"/>
    <x v="0"/>
    <n v="2023"/>
    <n v="-535000"/>
    <n v="-1.0615079365079365"/>
    <n v="39416.666666666664"/>
    <n v="10"/>
  </r>
  <r>
    <n v="167"/>
    <s v="GC606"/>
    <s v="GVS TiOne Gấu 6 cuộn x 12 cây"/>
    <s v="Cây"/>
    <n v="620016"/>
    <n v="4"/>
    <n v="24"/>
    <n v="762000"/>
    <n v="141984"/>
    <d v="2023-09-23T00:00:00"/>
    <s v="TT Hoàng Yến - M.Long"/>
    <x v="0"/>
    <n v="2023"/>
    <n v="-478032"/>
    <n v="-0.77099945807850123"/>
    <n v="31750"/>
    <n v="20"/>
  </r>
  <r>
    <n v="168"/>
    <s v="SBOMGROW900"/>
    <s v="SURE OMEGA-GROW IQ 900G"/>
    <s v="Lon"/>
    <n v="637200"/>
    <n v="0"/>
    <n v="3"/>
    <n v="716400"/>
    <n v="79200"/>
    <d v="2023-09-23T00:00:00"/>
    <s v="TT Hoàng Yến - M.Long"/>
    <x v="0"/>
    <n v="2023"/>
    <n v="-558000"/>
    <n v="-0.87570621468926557"/>
    <n v="238800"/>
    <n v="3"/>
  </r>
  <r>
    <n v="169"/>
    <s v="GC1202"/>
    <s v="GVS Toply 12 cuộn x 12 cây"/>
    <s v="Cây"/>
    <n v="467508"/>
    <n v="1"/>
    <n v="12"/>
    <n v="444000"/>
    <n v="-23508"/>
    <d v="2023-09-23T00:00:00"/>
    <s v="Mỹ Hạnh - HCL"/>
    <x v="0"/>
    <n v="2023"/>
    <n v="-491016"/>
    <n v="-1.050283631510049"/>
    <n v="37000"/>
    <n v="11"/>
  </r>
  <r>
    <n v="170"/>
    <s v="GC606"/>
    <s v="GVS TiOne Gấu 6 cuộn x 12 cây"/>
    <s v="Cây"/>
    <n v="620016"/>
    <n v="4"/>
    <n v="24"/>
    <n v="762000"/>
    <n v="141984"/>
    <d v="2023-09-23T00:00:00"/>
    <s v="Chị Xuyên - M.Long"/>
    <x v="0"/>
    <n v="2023"/>
    <n v="-478032"/>
    <n v="-0.77099945807850123"/>
    <n v="31750"/>
    <n v="20"/>
  </r>
  <r>
    <n v="171"/>
    <s v="A1K15"/>
    <s v="Kẹo bạc hà (chanh muối) Himalaya 15g x 12 gói x 12 hộp"/>
    <s v="Hộp"/>
    <n v="301890"/>
    <n v="0"/>
    <n v="5"/>
    <n v="260000"/>
    <n v="-41890"/>
    <d v="2023-09-23T00:00:00"/>
    <s v="TT Minh Huệ - B.H.Trung"/>
    <x v="0"/>
    <n v="2023"/>
    <n v="-343780"/>
    <n v="-1.138759150684024"/>
    <n v="52000"/>
    <n v="5"/>
  </r>
  <r>
    <n v="172"/>
    <s v="KDL01"/>
    <s v="Khăn giấy bỏ túi Paseo 9 tờ x 6 gói/cây x 40 cây"/>
    <s v="Cây"/>
    <n v="98280"/>
    <n v="0"/>
    <n v="10"/>
    <n v="115000"/>
    <n v="16720"/>
    <d v="2023-09-23T00:00:00"/>
    <s v="Hoàng Huyên - M.Long"/>
    <x v="0"/>
    <n v="2023"/>
    <n v="-81560"/>
    <n v="-0.82987382987382985"/>
    <n v="11500"/>
    <n v="10"/>
  </r>
  <r>
    <n v="173"/>
    <s v="KV100"/>
    <s v="Khăn Napkin Toply 100 tờ x 48 gói"/>
    <s v="Gói"/>
    <n v="1728000"/>
    <n v="0"/>
    <n v="240"/>
    <n v="2880000"/>
    <n v="1152000"/>
    <d v="2023-09-23T00:00:00"/>
    <s v="Hoàng Huyên - M.Long"/>
    <x v="0"/>
    <n v="2023"/>
    <n v="-576000"/>
    <n v="-0.33333333333333331"/>
    <n v="12000"/>
    <n v="240"/>
  </r>
  <r>
    <n v="174"/>
    <s v="TBTE1001"/>
    <s v="Tăm bông thân nhựa TE túi 100 cây x 24 túi"/>
    <s v="Túi"/>
    <n v="378000"/>
    <n v="12"/>
    <n v="72"/>
    <n v="432000"/>
    <n v="54000"/>
    <d v="2023-09-23T00:00:00"/>
    <s v="TT Ngọc Hạnh - Đ.Mối"/>
    <x v="0"/>
    <n v="2023"/>
    <n v="-324000"/>
    <n v="-0.8571428571428571"/>
    <n v="6000"/>
    <n v="60"/>
  </r>
  <r>
    <n v="175"/>
    <s v="A1Y600"/>
    <s v="A1 Yến đường phèn 70ml x 6 lọ x 6 hộp"/>
    <s v="Hộp"/>
    <n v="3000000"/>
    <n v="6"/>
    <n v="12"/>
    <n v="3360000"/>
    <n v="360000"/>
    <d v="2023-09-23T00:00:00"/>
    <s v="Kim Hường - B.H.Tây"/>
    <x v="0"/>
    <n v="2023"/>
    <n v="-2640000"/>
    <n v="-0.88"/>
    <n v="280000"/>
    <n v="6"/>
  </r>
  <r>
    <n v="176"/>
    <s v="KMBTIGER"/>
    <s v="Bia Tiger lon"/>
    <s v="Thùng"/>
    <n v="0"/>
    <n v="1"/>
    <n v="0"/>
    <n v="-375000"/>
    <n v="-375000"/>
    <d v="2023-09-23T00:00:00"/>
    <s v="Kim Hường - B.H.Tây"/>
    <x v="0"/>
    <n v="2023"/>
    <n v="-375000"/>
    <n v="0"/>
    <n v="0"/>
    <n v="-1"/>
  </r>
  <r>
    <n v="177"/>
    <s v="KV320"/>
    <s v="Khăn Napkin Fairy 320 x 100 tờ x 48 gói"/>
    <s v="Gói"/>
    <n v="1056000"/>
    <n v="0"/>
    <n v="96"/>
    <n v="912000"/>
    <n v="-144000"/>
    <d v="2023-09-23T00:00:00"/>
    <s v="Mỹ Nhân - N.Mỹ"/>
    <x v="0"/>
    <n v="2023"/>
    <n v="-1200000"/>
    <n v="-1.1363636363636365"/>
    <n v="9500"/>
    <n v="96"/>
  </r>
  <r>
    <n v="178"/>
    <s v="GC606"/>
    <s v="GVS TiOne Gấu 6 cuộn x 12 cây"/>
    <s v="Cây"/>
    <n v="310008"/>
    <n v="1"/>
    <n v="12"/>
    <n v="410000"/>
    <n v="99992"/>
    <d v="2023-09-23T00:00:00"/>
    <s v="Chị Đào - T.H.Trung"/>
    <x v="0"/>
    <n v="2023"/>
    <n v="-210016"/>
    <n v="-0.67745348507135295"/>
    <n v="34166.666666666664"/>
    <n v="11"/>
  </r>
  <r>
    <n v="179"/>
    <s v="BCN189"/>
    <s v="BC KAKA NANO N189 x 30 x 10 hộp"/>
    <s v="Cây"/>
    <n v="144000"/>
    <n v="0"/>
    <n v="30"/>
    <n v="210000"/>
    <n v="66000"/>
    <d v="2023-09-23T00:00:00"/>
    <s v="TT Đông Nguyên - M.Long"/>
    <x v="0"/>
    <n v="2023"/>
    <n v="-78000"/>
    <n v="-0.54166666666666663"/>
    <n v="7000"/>
    <n v="30"/>
  </r>
  <r>
    <n v="180"/>
    <s v="BCX6"/>
    <s v="BC KAKA NANO X6 x 20 x 15 lốc"/>
    <s v="Cây"/>
    <n v="40000"/>
    <n v="0"/>
    <n v="20"/>
    <n v="140000"/>
    <n v="100000"/>
    <d v="2023-09-23T00:00:00"/>
    <s v="TT Đông Nguyên - M.Long"/>
    <x v="0"/>
    <n v="2023"/>
    <n v="60000"/>
    <n v="1.5"/>
    <n v="7000"/>
    <n v="20"/>
  </r>
  <r>
    <n v="181"/>
    <s v="GC106"/>
    <s v="GVS Ruby (HQ) 10 cuộn x 8kg"/>
    <s v="Cây"/>
    <n v="180000"/>
    <n v="0"/>
    <n v="10"/>
    <n v="220000"/>
    <n v="40000"/>
    <d v="2023-09-23T00:00:00"/>
    <s v="Ngọc Như - M.Long"/>
    <x v="0"/>
    <n v="2023"/>
    <n v="-140000"/>
    <n v="-0.77777777777777779"/>
    <n v="22000"/>
    <n v="10"/>
  </r>
  <r>
    <n v="182"/>
    <s v="GC612"/>
    <s v="GVS GLEE 6 cuộn x 12 cây"/>
    <s v="Cây"/>
    <n v="265008"/>
    <n v="0"/>
    <n v="12"/>
    <n v="360000"/>
    <n v="94992"/>
    <d v="2023-09-23T00:00:00"/>
    <s v="Ngọc Như - M.Long"/>
    <x v="0"/>
    <n v="2023"/>
    <n v="-170016"/>
    <n v="-0.64155044376018833"/>
    <n v="30000"/>
    <n v="12"/>
  </r>
  <r>
    <n v="183"/>
    <s v="KV1011"/>
    <s v="Khăn Napkin EMos x 30 gói"/>
    <s v="Gói"/>
    <n v="200010"/>
    <n v="0"/>
    <n v="30"/>
    <n v="210000"/>
    <n v="9990"/>
    <d v="2023-09-23T00:00:00"/>
    <s v="Ngọc Như - M.Long"/>
    <x v="0"/>
    <n v="2023"/>
    <n v="-190020"/>
    <n v="-0.9500524973751312"/>
    <n v="7000"/>
    <n v="30"/>
  </r>
  <r>
    <n v="184"/>
    <s v="KV100"/>
    <s v="Khăn Napkin Toply 100 tờ x 48 gói"/>
    <s v="Gói"/>
    <n v="345600"/>
    <n v="4"/>
    <n v="48"/>
    <n v="532000"/>
    <n v="186400"/>
    <d v="2023-09-23T00:00:00"/>
    <s v="TH Trinh (Mỹ Trinh) - HCL (cuối chợ)"/>
    <x v="0"/>
    <n v="2023"/>
    <n v="-159200"/>
    <n v="-0.46064814814814814"/>
    <n v="11083.333333333334"/>
    <n v="44"/>
  </r>
  <r>
    <n v="185"/>
    <s v="TC1000"/>
    <s v="Thông cống 1L x 18 chai"/>
    <s v="Chai"/>
    <n v="131112"/>
    <n v="1"/>
    <n v="8"/>
    <n v="178000"/>
    <n v="46888"/>
    <d v="2023-09-23T00:00:00"/>
    <s v="Chị Thủy (đồ nhựa) - T.H.Trung"/>
    <x v="0"/>
    <n v="2023"/>
    <n v="-84224"/>
    <n v="-0.64238208554518272"/>
    <n v="22250"/>
    <n v="7"/>
  </r>
  <r>
    <n v="186"/>
    <s v="HM607"/>
    <s v="Yến sào Seunest KĐ xanh x 6 hộp"/>
    <s v="Hộp"/>
    <n v="0"/>
    <n v="6"/>
    <n v="0"/>
    <n v="-660000"/>
    <n v="-660000"/>
    <d v="2023-09-23T00:00:00"/>
    <s v="Tố Quyên - T.H.Trung"/>
    <x v="0"/>
    <n v="2023"/>
    <n v="-660000"/>
    <n v="0"/>
    <n v="0"/>
    <n v="-6"/>
  </r>
  <r>
    <n v="187"/>
    <s v="HM610"/>
    <s v="Yến sào Finenest CĐ đỏ x 6 hộp"/>
    <s v="Hộp"/>
    <n v="600000"/>
    <n v="0"/>
    <n v="6"/>
    <n v="1308000"/>
    <n v="708000"/>
    <d v="2023-09-23T00:00:00"/>
    <s v="Tố Quyên - T.H.Trung"/>
    <x v="0"/>
    <n v="2023"/>
    <n v="108000"/>
    <n v="0.18"/>
    <n v="218000"/>
    <n v="6"/>
  </r>
  <r>
    <n v="188"/>
    <s v="TNS1"/>
    <s v="Tẩy toilet Nam Sơn NK 100% 1L x 12 chai"/>
    <s v="Chai"/>
    <n v="190008"/>
    <n v="0"/>
    <n v="12"/>
    <n v="312000"/>
    <n v="121992"/>
    <d v="2023-09-23T00:00:00"/>
    <s v="Tuyết Lài ( Chị Lài) - B.H.Trung"/>
    <x v="0"/>
    <n v="2023"/>
    <n v="-68016"/>
    <n v="-0.35796387520525452"/>
    <n v="26000"/>
    <n v="12"/>
  </r>
  <r>
    <n v="189"/>
    <s v="KV1001"/>
    <s v="Khăn Napkin Ruby Gold 100 tờ x 30 gói"/>
    <s v="Gói"/>
    <n v="225000"/>
    <n v="0"/>
    <n v="30"/>
    <n v="330000"/>
    <n v="105000"/>
    <d v="2023-09-23T00:00:00"/>
    <s v="Thế Giới Con Cưng - HCL"/>
    <x v="0"/>
    <n v="2023"/>
    <n v="-120000"/>
    <n v="-0.53333333333333333"/>
    <n v="11000"/>
    <n v="30"/>
  </r>
  <r>
    <n v="190"/>
    <s v="KV1002"/>
    <s v="Khăn Napkin TiOne nâu 100 tờ x 30 gói"/>
    <s v="Gói"/>
    <n v="0"/>
    <n v="5"/>
    <n v="0"/>
    <n v="-50000"/>
    <n v="-50000"/>
    <d v="2023-09-23T00:00:00"/>
    <s v="Thế Giới Con Cưng - HCL"/>
    <x v="0"/>
    <n v="2023"/>
    <n v="-50000"/>
    <n v="0"/>
    <n v="0"/>
    <n v="-5"/>
  </r>
  <r>
    <n v="191"/>
    <s v="VMS002"/>
    <s v="VM Kẹo Thạch 500g (500g x 20 túi)"/>
    <s v="Túi"/>
    <n v="232810"/>
    <n v="0"/>
    <n v="10"/>
    <n v="325000"/>
    <n v="92190"/>
    <d v="2023-09-23T00:00:00"/>
    <s v="Thế Giới Con Cưng - HCL"/>
    <x v="0"/>
    <n v="2023"/>
    <n v="-140620"/>
    <n v="-0.60401185516086076"/>
    <n v="32500"/>
    <n v="10"/>
  </r>
  <r>
    <n v="192"/>
    <s v="TC1000"/>
    <s v="Thông cống 1L x 18 chai"/>
    <s v="Chai"/>
    <n v="131112"/>
    <n v="1"/>
    <n v="8"/>
    <n v="178000"/>
    <n v="46888"/>
    <d v="2023-09-23T00:00:00"/>
    <s v="Dung Vũ (đồ nhựa) - T.H.Trung"/>
    <x v="0"/>
    <n v="2023"/>
    <n v="-84224"/>
    <n v="-0.64238208554518272"/>
    <n v="22250"/>
    <n v="7"/>
  </r>
  <r>
    <n v="193"/>
    <s v="KV1011"/>
    <s v="Khăn Napkin EMos x 30 gói"/>
    <s v="Gói"/>
    <n v="200010"/>
    <n v="0"/>
    <n v="30"/>
    <n v="240000"/>
    <n v="39990"/>
    <d v="2023-09-23T00:00:00"/>
    <s v="Chị Tuyết - HCL (N.Mỹ)"/>
    <x v="0"/>
    <n v="2023"/>
    <n v="-160020"/>
    <n v="-0.80005999700014996"/>
    <n v="8000"/>
    <n v="30"/>
  </r>
  <r>
    <n v="194"/>
    <s v="HM10"/>
    <s v="Yến sào Finenest nhân sâm x 10 hộp"/>
    <s v="Hộp"/>
    <n v="0"/>
    <n v="0"/>
    <n v="0"/>
    <n v="0"/>
    <n v="0"/>
    <d v="2023-09-23T00:00:00"/>
    <s v="Chị Lan - T.H.Trung"/>
    <x v="0"/>
    <n v="2023"/>
    <n v="0"/>
    <n v="0"/>
    <n v="0"/>
    <n v="0"/>
  </r>
  <r>
    <n v="195"/>
    <s v="HM608"/>
    <s v="Yến sào Seunest CĐ vàng x 6 hộp"/>
    <s v="Hộp"/>
    <n v="0"/>
    <n v="0"/>
    <n v="0"/>
    <n v="0"/>
    <n v="0"/>
    <d v="2023-09-23T00:00:00"/>
    <s v="Chị Lan - T.H.Trung"/>
    <x v="0"/>
    <n v="2023"/>
    <n v="0"/>
    <n v="0"/>
    <n v="0"/>
    <n v="0"/>
  </r>
  <r>
    <n v="196"/>
    <s v="NRC400"/>
    <s v="NRC 107 - 400ml x 24 chai"/>
    <s v="Chai"/>
    <n v="0"/>
    <n v="0"/>
    <n v="0"/>
    <n v="0"/>
    <n v="0"/>
    <d v="2023-09-26T00:00:00"/>
    <s v="Gas Hồng Ngọc - M.Hội"/>
    <x v="0"/>
    <n v="2023"/>
    <n v="0"/>
    <n v="0"/>
    <n v="0"/>
    <n v="0"/>
  </r>
  <r>
    <n v="197"/>
    <s v="NRC400"/>
    <s v="NRC 107 - 400ml x 24 chai"/>
    <s v="Chai"/>
    <n v="950880"/>
    <n v="0"/>
    <n v="120"/>
    <n v="1380000"/>
    <n v="429120"/>
    <d v="2023-09-27T00:00:00"/>
    <s v="Gas Hồng Ngọc - M.Hội"/>
    <x v="0"/>
    <n v="2023"/>
    <n v="-521760"/>
    <n v="-0.54871277132761231"/>
    <n v="11500"/>
    <n v="120"/>
  </r>
  <r>
    <n v="198"/>
    <s v="HTBD12"/>
    <s v="Bánh đũa Gap Dâu tây 12g x 12 hộp x 12"/>
    <s v="Hộp"/>
    <n v="42084"/>
    <n v="0"/>
    <n v="1"/>
    <n v="48000"/>
    <n v="5916"/>
    <d v="2023-09-28T00:00:00"/>
    <s v="Thế giới sữa Tony - T.Nghĩa"/>
    <x v="0"/>
    <n v="2023"/>
    <n v="-36168"/>
    <n v="-0.85942400912460792"/>
    <n v="48000"/>
    <n v="1"/>
  </r>
  <r>
    <n v="199"/>
    <s v="HTBD121"/>
    <s v="Bánh đũa Gap Sô cô la 12g x 12 hộp x 12"/>
    <s v="Hộp"/>
    <n v="42084"/>
    <n v="0"/>
    <n v="1"/>
    <n v="48000"/>
    <n v="5916"/>
    <d v="2023-09-28T00:00:00"/>
    <s v="Thế giới sữa Tony - T.Nghĩa"/>
    <x v="0"/>
    <n v="2023"/>
    <n v="-36168"/>
    <n v="-0.85942400912460792"/>
    <n v="48000"/>
    <n v="1"/>
  </r>
  <r>
    <n v="200"/>
    <s v="NLREDBULL1"/>
    <s v="RedBull ThaiLan"/>
    <s v="Block"/>
    <n v="0"/>
    <n v="0"/>
    <n v="0"/>
    <n v="0"/>
    <n v="0"/>
    <d v="2023-09-28T00:00:00"/>
    <s v="Thế giới sữa Tony - T.Nghĩa"/>
    <x v="0"/>
    <n v="2023"/>
    <n v="0"/>
    <n v="0"/>
    <n v="0"/>
    <n v="0"/>
  </r>
  <r>
    <n v="201"/>
    <s v="KGC10"/>
    <s v="KHÔ GÀ CAY - 10 GR x 500 gói"/>
    <s v="Gói"/>
    <n v="90000"/>
    <n v="0"/>
    <n v="25"/>
    <n v="100000"/>
    <n v="10000"/>
    <d v="2023-09-28T00:00:00"/>
    <s v="Chị Nhung - T.Nghĩa"/>
    <x v="0"/>
    <n v="2023"/>
    <n v="-80000"/>
    <n v="-0.88888888888888884"/>
    <n v="4000"/>
    <n v="25"/>
  </r>
  <r>
    <n v="202"/>
    <s v="KGLC10"/>
    <s v="KHÔ GÀ LÁ CHANH - 10 GR x 500 gói"/>
    <s v="Gói"/>
    <n v="90000"/>
    <n v="0"/>
    <n v="25"/>
    <n v="100000"/>
    <n v="10000"/>
    <d v="2023-09-28T00:00:00"/>
    <s v="Chị Nhung - T.Nghĩa"/>
    <x v="0"/>
    <n v="2023"/>
    <n v="-80000"/>
    <n v="-0.88888888888888884"/>
    <n v="4000"/>
    <n v="25"/>
  </r>
  <r>
    <n v="203"/>
    <s v="KL100"/>
    <s v="Khăn lạnh Happy Life dày (xanh lá) 20 cái x 100 túi"/>
    <s v="Túi"/>
    <n v="22000"/>
    <n v="0"/>
    <n v="5"/>
    <n v="30000"/>
    <n v="8000"/>
    <d v="2023-09-28T00:00:00"/>
    <s v="Chị Nhung - T.Nghĩa"/>
    <x v="0"/>
    <n v="2023"/>
    <n v="-14000"/>
    <n v="-0.63636363636363635"/>
    <n v="6000"/>
    <n v="5"/>
  </r>
  <r>
    <n v="204"/>
    <s v="KTN802"/>
    <s v="Kẹo Trang Nghiêm ME ỚT 80gr x 100 gói/thùng"/>
    <s v="Gói"/>
    <n v="105000"/>
    <n v="0"/>
    <n v="20"/>
    <n v="140000"/>
    <n v="35000"/>
    <d v="2023-09-28T00:00:00"/>
    <s v="Chị Nhung - T.Nghĩa"/>
    <x v="0"/>
    <n v="2023"/>
    <n v="-70000"/>
    <n v="-0.66666666666666663"/>
    <n v="7000"/>
    <n v="20"/>
  </r>
  <r>
    <n v="205"/>
    <s v="KU801"/>
    <s v="Khăn ướt Baby (đỏ) 80g x 50 gói"/>
    <s v="Gói"/>
    <n v="40000"/>
    <n v="0"/>
    <n v="10"/>
    <n v="65000"/>
    <n v="25000"/>
    <d v="2023-09-28T00:00:00"/>
    <s v="Chị Nhung - T.Nghĩa"/>
    <x v="0"/>
    <n v="2023"/>
    <n v="-15000"/>
    <n v="-0.375"/>
    <n v="6500"/>
    <n v="10"/>
  </r>
  <r>
    <n v="206"/>
    <s v="KU802"/>
    <s v="Khăn ướt TiOne 80g x 40 gói"/>
    <s v="Gói"/>
    <n v="55000"/>
    <n v="0"/>
    <n v="10"/>
    <n v="65000"/>
    <n v="10000"/>
    <d v="2023-09-28T00:00:00"/>
    <s v="Chị Nhung - T.Nghĩa"/>
    <x v="0"/>
    <n v="2023"/>
    <n v="-45000"/>
    <n v="-0.81818181818181823"/>
    <n v="6500"/>
    <n v="10"/>
  </r>
  <r>
    <n v="207"/>
    <s v="NG5000"/>
    <s v="Nước giặt Kimono 6 in 1 vuông (tím) 5Kg x 4 bình"/>
    <s v="Bình"/>
    <n v="115000"/>
    <n v="0"/>
    <n v="1"/>
    <n v="168000"/>
    <n v="53000"/>
    <d v="2023-09-28T00:00:00"/>
    <s v="Chị Nhung - T.Nghĩa"/>
    <x v="0"/>
    <n v="2023"/>
    <n v="-62000"/>
    <n v="-0.53913043478260869"/>
    <n v="168000"/>
    <n v="1"/>
  </r>
  <r>
    <n v="208"/>
    <s v="NG50002"/>
    <s v="Nước giặt Kimono 6 in 1 vuông (đen) 5kg x 4 bình"/>
    <s v="Bình"/>
    <n v="115000"/>
    <n v="0"/>
    <n v="1"/>
    <n v="168000"/>
    <n v="53000"/>
    <d v="2023-09-28T00:00:00"/>
    <s v="Chị Nhung - T.Nghĩa"/>
    <x v="0"/>
    <n v="2023"/>
    <n v="-62000"/>
    <n v="-0.53913043478260869"/>
    <n v="168000"/>
    <n v="1"/>
  </r>
  <r>
    <n v="209"/>
    <s v="NGT3600"/>
    <s v="Nước giặt Kimono (đen) 3,6kg x 5 túi"/>
    <s v="Túi"/>
    <n v="74000"/>
    <n v="0"/>
    <n v="1"/>
    <n v="108000"/>
    <n v="34000"/>
    <d v="2023-09-28T00:00:00"/>
    <s v="Chị Nhung - T.Nghĩa"/>
    <x v="0"/>
    <n v="2023"/>
    <n v="-40000"/>
    <n v="-0.54054054054054057"/>
    <n v="108000"/>
    <n v="1"/>
  </r>
  <r>
    <n v="210"/>
    <s v="NGT36001"/>
    <s v="Nước giặt Kimono (tím) 3,6kg x 5 túi"/>
    <s v="Túi"/>
    <n v="74000"/>
    <n v="0"/>
    <n v="1"/>
    <n v="108000"/>
    <n v="34000"/>
    <d v="2023-09-28T00:00:00"/>
    <s v="Chị Nhung - T.Nghĩa"/>
    <x v="0"/>
    <n v="2023"/>
    <n v="-40000"/>
    <n v="-0.54054054054054057"/>
    <n v="108000"/>
    <n v="1"/>
  </r>
  <r>
    <n v="211"/>
    <s v="KU802"/>
    <s v="Khăn ướt TiOne 80g x 40 gói"/>
    <s v="Gói"/>
    <n v="55000"/>
    <n v="0"/>
    <n v="10"/>
    <n v="60000"/>
    <n v="5000"/>
    <d v="2023-09-28T00:00:00"/>
    <s v="Ngọc Huyền - Gáo Giồng"/>
    <x v="0"/>
    <n v="2023"/>
    <n v="-50000"/>
    <n v="-0.90909090909090906"/>
    <n v="6000"/>
    <n v="10"/>
  </r>
  <r>
    <n v="212"/>
    <s v="KV1007"/>
    <s v="Khăn Napkin An An 100 tờ x 40 gói"/>
    <s v="Gói"/>
    <n v="67500"/>
    <n v="0"/>
    <n v="10"/>
    <n v="75000"/>
    <n v="7500"/>
    <d v="2023-09-28T00:00:00"/>
    <s v="Ngọc Huyền - Gáo Giồng"/>
    <x v="0"/>
    <n v="2023"/>
    <n v="-60000"/>
    <n v="-0.88888888888888884"/>
    <n v="7500"/>
    <n v="10"/>
  </r>
  <r>
    <n v="213"/>
    <s v="KV1011"/>
    <s v="Khăn Napkin EMos x 30 gói"/>
    <s v="Gói"/>
    <n v="66670"/>
    <n v="0"/>
    <n v="10"/>
    <n v="75000"/>
    <n v="8330"/>
    <d v="2023-09-28T00:00:00"/>
    <s v="Ngọc Huyền - Gáo Giồng"/>
    <x v="0"/>
    <n v="2023"/>
    <n v="-58340"/>
    <n v="-0.87505624718764063"/>
    <n v="7500"/>
    <n v="10"/>
  </r>
  <r>
    <n v="214"/>
    <s v="CG50"/>
    <s v="Chân gà cay ăn liền ZL FOOD loại 50g x 30 x 7 túi"/>
    <s v="Cái"/>
    <n v="82500"/>
    <n v="0"/>
    <n v="15"/>
    <n v="97500"/>
    <n v="15000"/>
    <d v="2023-09-28T00:00:00"/>
    <s v="Ngọc Thắm - T.Nghĩa"/>
    <x v="0"/>
    <n v="2023"/>
    <n v="-67500"/>
    <n v="-0.81818181818181823"/>
    <n v="6500"/>
    <n v="15"/>
  </r>
  <r>
    <n v="215"/>
    <s v="CG501"/>
    <s v="Chân gà cay ăn liền ZL FOOD Acao 50g x 30 x 7 túi"/>
    <s v="Cái"/>
    <n v="82500"/>
    <n v="0"/>
    <n v="15"/>
    <n v="97500"/>
    <n v="15000"/>
    <d v="2023-09-28T00:00:00"/>
    <s v="Ngọc Thắm - T.Nghĩa"/>
    <x v="0"/>
    <n v="2023"/>
    <n v="-67500"/>
    <n v="-0.81818181818181823"/>
    <n v="6500"/>
    <n v="15"/>
  </r>
  <r>
    <n v="216"/>
    <s v="DCKAKA"/>
    <s v="Dao cạo Kaka thay lưỡi (6 cây x 80 vỉ)"/>
    <s v="Vỉ"/>
    <n v="24000"/>
    <n v="0"/>
    <n v="1"/>
    <n v="30000"/>
    <n v="6000"/>
    <d v="2023-09-28T00:00:00"/>
    <s v="Ngọc Thắm - T.Nghĩa"/>
    <x v="0"/>
    <n v="2023"/>
    <n v="-18000"/>
    <n v="-0.75"/>
    <n v="30000"/>
    <n v="1"/>
  </r>
  <r>
    <n v="217"/>
    <s v="KV1007"/>
    <s v="Khăn Napkin An An 100 tờ x 40 gói"/>
    <s v="Gói"/>
    <n v="270000"/>
    <n v="0"/>
    <n v="40"/>
    <n v="280000"/>
    <n v="10000"/>
    <d v="2023-09-28T00:00:00"/>
    <s v="Lợi Thủy - Gáo Giồng"/>
    <x v="0"/>
    <n v="2023"/>
    <n v="-260000"/>
    <n v="-0.96296296296296291"/>
    <n v="7000"/>
    <n v="40"/>
  </r>
  <r>
    <n v="218"/>
    <s v="XM6007"/>
    <s v="Xịt muỗi 600ml x 30 chai"/>
    <s v="Chai"/>
    <n v="90000"/>
    <n v="0"/>
    <n v="5"/>
    <n v="95000"/>
    <n v="5000"/>
    <d v="2023-09-28T00:00:00"/>
    <s v="Lợi Thủy - Gáo Giồng"/>
    <x v="0"/>
    <n v="2023"/>
    <n v="-85000"/>
    <n v="-0.94444444444444442"/>
    <n v="19000"/>
    <n v="5"/>
  </r>
  <r>
    <n v="219"/>
    <s v="DCKAKA"/>
    <s v="Dao cạo Kaka thay lưỡi (6 cây x 80 vỉ)"/>
    <s v="Vỉ"/>
    <n v="24000"/>
    <n v="0"/>
    <n v="1"/>
    <n v="30000"/>
    <n v="6000"/>
    <d v="2023-09-28T00:00:00"/>
    <s v="Thu Trang - T.Nghĩa"/>
    <x v="0"/>
    <n v="2023"/>
    <n v="-18000"/>
    <n v="-0.75"/>
    <n v="30000"/>
    <n v="1"/>
  </r>
  <r>
    <n v="220"/>
    <s v="DCTD708"/>
    <s v="Dao cạo Dorco vàng TD 708 (12 cây x 40 vỉ)"/>
    <s v="Vỉ"/>
    <n v="26400"/>
    <n v="0"/>
    <n v="1"/>
    <n v="36000"/>
    <n v="9600"/>
    <d v="2023-09-28T00:00:00"/>
    <s v="Thu Trang - T.Nghĩa"/>
    <x v="0"/>
    <n v="2023"/>
    <n v="-16800"/>
    <n v="-0.63636363636363635"/>
    <n v="36000"/>
    <n v="1"/>
  </r>
  <r>
    <n v="221"/>
    <s v="HM607"/>
    <s v="Yến sào Seunest KĐ xanh x 6 hộp"/>
    <s v="Hộp"/>
    <n v="100000"/>
    <n v="1"/>
    <n v="1"/>
    <n v="108000"/>
    <n v="8000"/>
    <d v="2023-09-29T00:00:00"/>
    <s v="Chị Bích - T.Linh"/>
    <x v="0"/>
    <n v="2023"/>
    <n v="-92000"/>
    <n v="-0.92"/>
    <n v="108000"/>
    <n v="0"/>
  </r>
  <r>
    <n v="222"/>
    <s v="HM608"/>
    <s v="Yến sào Seunest CĐ vàng x 6 hộp"/>
    <s v="Hộp"/>
    <n v="100000"/>
    <n v="1"/>
    <n v="1"/>
    <n v="108000"/>
    <n v="8000"/>
    <d v="2023-09-29T00:00:00"/>
    <s v="Chị Bích - T.Linh"/>
    <x v="0"/>
    <n v="2023"/>
    <n v="-92000"/>
    <n v="-0.92"/>
    <n v="108000"/>
    <n v="0"/>
  </r>
  <r>
    <n v="223"/>
    <s v="HM610"/>
    <s v="Yến sào Finenest CĐ đỏ x 6 hộp"/>
    <s v="Hộp"/>
    <n v="100000"/>
    <n v="1"/>
    <n v="1"/>
    <n v="108000"/>
    <n v="8000"/>
    <d v="2023-09-29T00:00:00"/>
    <s v="Chị Bích - T.Linh"/>
    <x v="0"/>
    <n v="2023"/>
    <n v="-92000"/>
    <n v="-0.92"/>
    <n v="108000"/>
    <n v="0"/>
  </r>
  <r>
    <n v="224"/>
    <s v="GC603"/>
    <s v="GVS Ruby Gold 6 cuộn (không lõi) x 12 cây"/>
    <s v="Cây"/>
    <n v="300000"/>
    <n v="1"/>
    <n v="12"/>
    <n v="410000"/>
    <n v="110000"/>
    <d v="2023-09-29T00:00:00"/>
    <s v="Ánh Tuyết (Tuyết Thành) - T.Linh"/>
    <x v="0"/>
    <n v="2023"/>
    <n v="-190000"/>
    <n v="-0.6333333333333333"/>
    <n v="34166.666666666664"/>
    <n v="11"/>
  </r>
  <r>
    <n v="225"/>
    <s v="GC612"/>
    <s v="GVS GLEE 6 cuộn x 12 cây"/>
    <s v="Cây"/>
    <n v="265008"/>
    <n v="0"/>
    <n v="12"/>
    <n v="360000"/>
    <n v="94992"/>
    <d v="2023-09-29T00:00:00"/>
    <s v="Căn tin BV Phổi( Chị Duyên) - BV phổi"/>
    <x v="0"/>
    <n v="2023"/>
    <n v="-170016"/>
    <n v="-0.64155044376018833"/>
    <n v="30000"/>
    <n v="12"/>
  </r>
  <r>
    <n v="226"/>
    <s v="KV1002"/>
    <s v="Khăn Napkin TiOne nâu 100 tờ x 30 gói"/>
    <s v="Gói"/>
    <n v="1296000"/>
    <n v="0"/>
    <n v="180"/>
    <n v="1692000"/>
    <n v="396000"/>
    <d v="2023-09-29T00:00:00"/>
    <s v="Căn tin BV Phổi( Chị Duyên) - BV phổi"/>
    <x v="0"/>
    <n v="2023"/>
    <n v="-900000"/>
    <n v="-0.69444444444444442"/>
    <n v="9400"/>
    <n v="180"/>
  </r>
  <r>
    <n v="227"/>
    <s v="HM607"/>
    <s v="Yến sào Seunest KĐ xanh x 6 hộp"/>
    <s v="Hộp"/>
    <n v="600000"/>
    <n v="6"/>
    <n v="6"/>
    <n v="648000"/>
    <n v="48000"/>
    <d v="2023-09-29T00:00:00"/>
    <s v="Tuấn Quyên - P.Thịnh"/>
    <x v="0"/>
    <n v="2023"/>
    <n v="-552000"/>
    <n v="-0.92"/>
    <n v="108000"/>
    <n v="0"/>
  </r>
  <r>
    <n v="228"/>
    <s v="HM608"/>
    <s v="Yến sào Seunest CĐ vàng x 6 hộp"/>
    <s v="Hộp"/>
    <n v="600000"/>
    <n v="6"/>
    <n v="6"/>
    <n v="648000"/>
    <n v="48000"/>
    <d v="2023-09-29T00:00:00"/>
    <s v="Tuấn Quyên - P.Thịnh"/>
    <x v="0"/>
    <n v="2023"/>
    <n v="-552000"/>
    <n v="-0.92"/>
    <n v="108000"/>
    <n v="0"/>
  </r>
  <r>
    <n v="229"/>
    <s v="HM610"/>
    <s v="Yến sào Finenest CĐ đỏ x 6 hộp"/>
    <s v="Hộp"/>
    <n v="600000"/>
    <n v="6"/>
    <n v="6"/>
    <n v="648000"/>
    <n v="48000"/>
    <d v="2023-09-29T00:00:00"/>
    <s v="Tuấn Quyên - P.Thịnh"/>
    <x v="0"/>
    <n v="2023"/>
    <n v="-552000"/>
    <n v="-0.92"/>
    <n v="108000"/>
    <n v="0"/>
  </r>
  <r>
    <n v="230"/>
    <s v="HM608"/>
    <s v="Yến sào Seunest CĐ vàng x 6 hộp"/>
    <s v="Hộp"/>
    <n v="600000"/>
    <n v="6"/>
    <n v="6"/>
    <n v="648000"/>
    <n v="48000"/>
    <d v="2023-09-29T00:00:00"/>
    <s v="Đạt Hường - P.Thịnh"/>
    <x v="0"/>
    <n v="2023"/>
    <n v="-552000"/>
    <n v="-0.92"/>
    <n v="108000"/>
    <n v="0"/>
  </r>
  <r>
    <n v="231"/>
    <s v="HM607"/>
    <s v="Yến sào Seunest KĐ xanh x 6 hộp"/>
    <s v="Hộp"/>
    <n v="0"/>
    <n v="6"/>
    <n v="0"/>
    <n v="-660000"/>
    <n v="-660000"/>
    <d v="2023-09-29T00:00:00"/>
    <s v="Chị Thúy - Gáo Giồng"/>
    <x v="0"/>
    <n v="2023"/>
    <n v="-660000"/>
    <n v="0"/>
    <n v="0"/>
    <n v="-6"/>
  </r>
  <r>
    <n v="232"/>
    <s v="HM608"/>
    <s v="Yến sào Seunest CĐ vàng x 6 hộp"/>
    <s v="Hộp"/>
    <n v="600000"/>
    <n v="0"/>
    <n v="6"/>
    <n v="1308000"/>
    <n v="708000"/>
    <d v="2023-09-29T00:00:00"/>
    <s v="Chị Thúy - Gáo Giồng"/>
    <x v="0"/>
    <n v="2023"/>
    <n v="108000"/>
    <n v="0.18"/>
    <n v="218000"/>
    <n v="6"/>
  </r>
  <r>
    <n v="233"/>
    <s v="HM613"/>
    <s v="HIMA Seunest DTHT có đường 6 lọ x 6 hộp"/>
    <s v="Hộp"/>
    <n v="0"/>
    <n v="1"/>
    <n v="0"/>
    <n v="-186000"/>
    <n v="-186000"/>
    <d v="2023-09-30T00:00:00"/>
    <s v="Minh Hiền (chị Ớ) - B.H.Trung"/>
    <x v="0"/>
    <n v="2023"/>
    <n v="-186000"/>
    <n v="0"/>
    <n v="0"/>
    <n v="-1"/>
  </r>
  <r>
    <n v="234"/>
    <s v="HM614"/>
    <s v="HIMA Seunest Colagen có đường 6 lọ x 6 hộp"/>
    <s v="Hộp"/>
    <n v="260000"/>
    <n v="0"/>
    <n v="2"/>
    <n v="560000"/>
    <n v="300000"/>
    <d v="2023-09-30T00:00:00"/>
    <s v="Minh Hiền (chị Ớ) - B.H.Trung"/>
    <x v="0"/>
    <n v="2023"/>
    <n v="40000"/>
    <n v="0.15384615384615385"/>
    <n v="280000"/>
    <n v="2"/>
  </r>
  <r>
    <n v="235"/>
    <s v="TB20001"/>
    <s v="Tăm bông thân gỗ hộp 200 cây x 12 hộp"/>
    <s v="Hộp"/>
    <n v="399000"/>
    <n v="6"/>
    <n v="24"/>
    <n v="461000"/>
    <n v="62000"/>
    <d v="2023-09-30T00:00:00"/>
    <s v="Chị Nga - HCL"/>
    <x v="0"/>
    <n v="2023"/>
    <n v="-337000"/>
    <n v="-0.84461152882205515"/>
    <n v="19208.333333333332"/>
    <n v="18"/>
  </r>
  <r>
    <n v="236"/>
    <s v="TBTE20002"/>
    <s v="Tăm bông thân nhựa TE hộp tròn 200 cây x 12 hộp"/>
    <s v="Hộp"/>
    <n v="178500"/>
    <n v="0"/>
    <n v="12"/>
    <n v="216000"/>
    <n v="37500"/>
    <d v="2023-09-30T00:00:00"/>
    <s v="Chị Nga - HCL"/>
    <x v="0"/>
    <n v="2023"/>
    <n v="-141000"/>
    <n v="-0.78991596638655459"/>
    <n v="18000"/>
    <n v="12"/>
  </r>
  <r>
    <n v="237"/>
    <s v="NRC38001"/>
    <s v="NRC KIMONO 3,6kg x 4 bình"/>
    <s v="Bình"/>
    <n v="90000"/>
    <n v="1"/>
    <n v="3"/>
    <n v="180000"/>
    <n v="90000"/>
    <d v="2023-09-30T00:00:00"/>
    <s v="Tuyết Lan - B.H.Tây"/>
    <x v="0"/>
    <n v="2023"/>
    <n v="0"/>
    <n v="0"/>
    <n v="60000"/>
    <n v="2"/>
  </r>
  <r>
    <n v="238"/>
    <s v="GC109"/>
    <s v="GVS Toply 10 cuộn x 10 cây"/>
    <s v="Cây"/>
    <n v="186500"/>
    <n v="1"/>
    <n v="5"/>
    <n v="195000"/>
    <n v="8500"/>
    <d v="2023-09-30T00:00:00"/>
    <s v="TT Kim Thoa - M.Long"/>
    <x v="0"/>
    <n v="2023"/>
    <n v="-178000"/>
    <n v="-0.95442359249329756"/>
    <n v="39000"/>
    <n v="4"/>
  </r>
  <r>
    <n v="239"/>
    <s v="HTKDR16001"/>
    <s v="KDR Closeup 160g x 6 cây x 12 block"/>
    <s v="Cây"/>
    <n v="110004"/>
    <n v="0"/>
    <n v="6"/>
    <n v="144000"/>
    <n v="33996"/>
    <d v="2023-09-30T00:00:00"/>
    <s v="TT Kim Thoa - M.Long"/>
    <x v="0"/>
    <n v="2023"/>
    <n v="-76008"/>
    <n v="-0.69095669248390967"/>
    <n v="24000"/>
    <n v="6"/>
  </r>
  <r>
    <n v="240"/>
    <s v="KDL01"/>
    <s v="Khăn giấy bỏ túi Paseo 9 tờ x 6 gói/cây x 40 cây"/>
    <s v="Cây"/>
    <n v="9828"/>
    <n v="0"/>
    <n v="1"/>
    <n v="11500"/>
    <n v="1672"/>
    <d v="2023-09-30T00:00:00"/>
    <s v="TT Kim Thoa - M.Long"/>
    <x v="0"/>
    <n v="2023"/>
    <n v="-8156"/>
    <n v="-0.82987382987382985"/>
    <n v="11500"/>
    <n v="1"/>
  </r>
  <r>
    <n v="241"/>
    <s v="TC301"/>
    <s v="Tăm chỉ nha khoa 30 chiếc x 10 hộp"/>
    <s v="Hộp"/>
    <n v="220000"/>
    <n v="0"/>
    <n v="20"/>
    <n v="280000"/>
    <n v="60000"/>
    <d v="2023-09-30T00:00:00"/>
    <s v="TT Đông Nguyên - M.Long"/>
    <x v="0"/>
    <n v="2023"/>
    <n v="-160000"/>
    <n v="-0.72727272727272729"/>
    <n v="14000"/>
    <n v="20"/>
  </r>
  <r>
    <n v="242"/>
    <s v="GC100"/>
    <s v="GVS cuộn trắng rẻ (xá) x 10 cây"/>
    <s v="Bao"/>
    <n v="171000"/>
    <n v="0"/>
    <n v="3"/>
    <n v="210000"/>
    <n v="39000"/>
    <d v="2023-09-30T00:00:00"/>
    <s v="Ngọc Như - M.Long"/>
    <x v="0"/>
    <n v="2023"/>
    <n v="-132000"/>
    <n v="-0.77192982456140347"/>
    <n v="70000"/>
    <n v="3"/>
  </r>
  <r>
    <n v="243"/>
    <s v="JA2KG"/>
    <s v="Javel 2L x 6 chai"/>
    <s v="Chai"/>
    <n v="90000"/>
    <n v="0"/>
    <n v="6"/>
    <n v="138000"/>
    <n v="48000"/>
    <d v="2023-09-30T00:00:00"/>
    <s v="Ngọc Như - M.Long"/>
    <x v="0"/>
    <n v="2023"/>
    <n v="-42000"/>
    <n v="-0.46666666666666667"/>
    <n v="23000"/>
    <n v="6"/>
  </r>
  <r>
    <n v="244"/>
    <s v="KU80"/>
    <s v="Khăn ướt đa năng Begin 80g x 20 gói"/>
    <s v="Gói"/>
    <n v="185000"/>
    <n v="0"/>
    <n v="10"/>
    <n v="260000"/>
    <n v="75000"/>
    <d v="2023-09-30T00:00:00"/>
    <s v="Ngọc Như - M.Long"/>
    <x v="0"/>
    <n v="2023"/>
    <n v="-110000"/>
    <n v="-0.59459459459459463"/>
    <n v="26000"/>
    <n v="10"/>
  </r>
  <r>
    <n v="245"/>
    <s v="BCOCEAN"/>
    <s v="BÀN CHẢI ĐÁNH RĂNG ION - OCEAN"/>
    <s v="Cây"/>
    <n v="2304000"/>
    <n v="0"/>
    <n v="48"/>
    <n v="1920000"/>
    <n v="-384000"/>
    <d v="2023-09-30T00:00:00"/>
    <s v="MP Nhanh - M.Hiệp"/>
    <x v="0"/>
    <n v="2023"/>
    <n v="-2688000"/>
    <n v="-1.1666666666666667"/>
    <n v="40000"/>
    <n v="48"/>
  </r>
  <r>
    <n v="246"/>
    <s v="KMQCL"/>
    <s v="Quạt SENKO 1638 chân lỡ"/>
    <s v="Cây"/>
    <n v="0"/>
    <n v="1"/>
    <n v="0"/>
    <n v="-282000"/>
    <n v="-282000"/>
    <d v="2023-09-30T00:00:00"/>
    <s v="MP Nhanh - M.Hiệp"/>
    <x v="0"/>
    <n v="2023"/>
    <n v="-282000"/>
    <n v="0"/>
    <n v="0"/>
    <n v="-1"/>
  </r>
  <r>
    <n v="247"/>
    <s v="KV1001"/>
    <s v="Khăn Napkin Ruby Gold 100 tờ x 30 gói"/>
    <s v="Gói"/>
    <n v="225000"/>
    <n v="0"/>
    <n v="30"/>
    <n v="330000"/>
    <n v="105000"/>
    <d v="2023-09-30T00:00:00"/>
    <s v="Tuyết Lài ( Chị Lài) - B.H.Trung"/>
    <x v="0"/>
    <n v="2023"/>
    <n v="-120000"/>
    <n v="-0.53333333333333333"/>
    <n v="11000"/>
    <n v="30"/>
  </r>
  <r>
    <n v="248"/>
    <s v="KV1002"/>
    <s v="Khăn Napkin TiOne nâu 100 tờ x 30 gói"/>
    <s v="Gói"/>
    <n v="0"/>
    <n v="8"/>
    <n v="0"/>
    <n v="-64000"/>
    <n v="-64000"/>
    <d v="2023-09-30T00:00:00"/>
    <s v="Tuyết Lài ( Chị Lài) - B.H.Trung"/>
    <x v="0"/>
    <n v="2023"/>
    <n v="-64000"/>
    <n v="0"/>
    <n v="0"/>
    <n v="-8"/>
  </r>
  <r>
    <n v="249"/>
    <s v="BCTEELEPHAN"/>
    <s v="BÀN CHẢI ĐÁNH RĂNG TE ION - ELEPHAN"/>
    <s v="Cây"/>
    <n v="540000"/>
    <n v="4"/>
    <n v="12"/>
    <n v="540000"/>
    <n v="0"/>
    <d v="2023-09-30T00:00:00"/>
    <s v="Thế Giới Con Cưng - HCL"/>
    <x v="0"/>
    <n v="2023"/>
    <n v="-540000"/>
    <n v="-1"/>
    <n v="45000"/>
    <n v="8"/>
  </r>
  <r>
    <n v="250"/>
    <s v="BCTEPANDA"/>
    <s v="BÀN CHẢI ĐÁNH RĂNG TE ION - PANDA"/>
    <s v="Cây"/>
    <n v="1152000"/>
    <n v="3"/>
    <n v="36"/>
    <n v="1070000"/>
    <n v="-82000"/>
    <d v="2023-09-30T00:00:00"/>
    <s v="Thế Giới Con Cưng - HCL"/>
    <x v="0"/>
    <n v="2023"/>
    <n v="-1234000"/>
    <n v="-1.0711805555555556"/>
    <n v="29722.222222222223"/>
    <n v="33"/>
  </r>
  <r>
    <n v="251"/>
    <s v="KMNL7731"/>
    <s v="Nồi lẩu điện Comet 7731"/>
    <s v="Cái"/>
    <n v="0"/>
    <n v="1"/>
    <n v="0"/>
    <n v="0"/>
    <n v="0"/>
    <d v="2023-09-30T00:00:00"/>
    <s v="Thế Giới Con Cưng - HCL"/>
    <x v="0"/>
    <n v="2023"/>
    <n v="0"/>
    <n v="0"/>
    <n v="0"/>
    <n v="-1"/>
  </r>
  <r>
    <n v="252"/>
    <s v="TBTE20003"/>
    <s v="Tăm bông thân giấy TE hộp chữ nhật 200 cây x 12 hộp"/>
    <s v="Hộp"/>
    <n v="231000"/>
    <n v="2"/>
    <n v="12"/>
    <n v="288000"/>
    <n v="57000"/>
    <d v="2023-09-30T00:00:00"/>
    <s v="Thế Giới Con Cưng - HCL"/>
    <x v="0"/>
    <n v="2023"/>
    <n v="-174000"/>
    <n v="-0.75324675324675328"/>
    <n v="24000"/>
    <n v="10"/>
  </r>
  <r>
    <n v="253"/>
    <s v="NLREDBULL1"/>
    <s v="RedBull ThaiLan"/>
    <s v="Block"/>
    <n v="242000"/>
    <n v="0"/>
    <n v="1"/>
    <n v="247000"/>
    <n v="5000"/>
    <d v="2023-09-30T00:00:00"/>
    <s v="Tuấn Kiệt - M.Long"/>
    <x v="0"/>
    <n v="2023"/>
    <n v="-237000"/>
    <n v="-0.97933884297520657"/>
    <n v="247000"/>
    <n v="1"/>
  </r>
  <r>
    <n v="254"/>
    <s v="NLSTING"/>
    <s v="Sting ThaiLan"/>
    <s v="Block"/>
    <n v="0"/>
    <n v="0"/>
    <n v="0"/>
    <n v="0"/>
    <n v="0"/>
    <d v="2023-09-30T00:00:00"/>
    <s v="Tuấn Kiệt - M.Long"/>
    <x v="0"/>
    <n v="2023"/>
    <n v="0"/>
    <n v="0"/>
    <n v="0"/>
    <n v="0"/>
  </r>
  <r>
    <n v="255"/>
    <s v="HTBTE50"/>
    <s v="Bánh gạo TE Happy Bites Việt Quất 50g x 12 hộp"/>
    <s v="Hộp"/>
    <n v="271800"/>
    <n v="0"/>
    <n v="6"/>
    <n v="276000"/>
    <n v="4200"/>
    <d v="2023-10-02T00:00:00"/>
    <s v="TT Đông Nguyên - M.Long"/>
    <x v="1"/>
    <n v="2023"/>
    <n v="-267600"/>
    <n v="-0.98454746136865345"/>
    <n v="46000"/>
    <n v="6"/>
  </r>
  <r>
    <n v="256"/>
    <s v="HTBTE50"/>
    <s v="Bánh gạo TE Happy Bites Việt Quất 50g x 12 hộp"/>
    <s v="Hộp"/>
    <n v="453000"/>
    <n v="0"/>
    <n v="10"/>
    <n v="460000"/>
    <n v="7000"/>
    <d v="2023-10-02T00:00:00"/>
    <s v="CH sữa tả Quý Ngọc - B.H.Trung"/>
    <x v="1"/>
    <n v="2023"/>
    <n v="-446000"/>
    <n v="-0.98454746136865345"/>
    <n v="46000"/>
    <n v="10"/>
  </r>
  <r>
    <n v="257"/>
    <s v="HTBTE50"/>
    <s v="Bánh gạo TE Happy Bites Việt Quất 50g x 12 hộp"/>
    <s v="Hộp"/>
    <n v="1087200"/>
    <n v="4"/>
    <n v="24"/>
    <n v="1004000"/>
    <n v="-83200"/>
    <d v="2023-10-02T00:00:00"/>
    <s v="Mẹ &amp; Bé ( Mẹ Yêu Con) - M.Hiệp"/>
    <x v="1"/>
    <n v="2023"/>
    <n v="-1170400"/>
    <n v="-1.0765268579838116"/>
    <n v="41833.333333333336"/>
    <n v="20"/>
  </r>
  <r>
    <n v="258"/>
    <s v="KU250"/>
    <s v="Khăn ướt TE Villa 250g x 30 gói"/>
    <s v="Gói"/>
    <n v="77000"/>
    <n v="0"/>
    <n v="10"/>
    <n v="100000"/>
    <n v="23000"/>
    <d v="2023-10-03T00:00:00"/>
    <s v="Chị Thủy (đồ nhựa) - T.H.Trung"/>
    <x v="1"/>
    <n v="2023"/>
    <n v="-54000"/>
    <n v="-0.70129870129870131"/>
    <n v="10000"/>
    <n v="10"/>
  </r>
  <r>
    <n v="259"/>
    <s v="HM608"/>
    <s v="Yến sào Seunest CĐ vàng x 6 hộp"/>
    <s v="Hộp"/>
    <n v="1200000"/>
    <n v="12"/>
    <n v="12"/>
    <n v="1308000"/>
    <n v="108000"/>
    <d v="2023-10-03T00:00:00"/>
    <s v="Chị Lan - T.H.Trung"/>
    <x v="1"/>
    <n v="2023"/>
    <n v="-1092000"/>
    <n v="-0.91"/>
    <n v="109000"/>
    <n v="0"/>
  </r>
  <r>
    <n v="260"/>
    <s v="GC32"/>
    <s v="Giấy cân 32 (1kg x 10 bịch)"/>
    <s v="Bịch"/>
    <n v="420000"/>
    <n v="2"/>
    <n v="10"/>
    <n v="384000"/>
    <n v="-36000"/>
    <d v="2023-10-05T00:00:00"/>
    <s v="Thu Thủy - P.Mỹ (cầu Trâu Trắng)"/>
    <x v="1"/>
    <n v="2023"/>
    <n v="-456000"/>
    <n v="-1.0857142857142856"/>
    <n v="38400"/>
    <n v="8"/>
  </r>
  <r>
    <n v="261"/>
    <s v="KV320"/>
    <s v="Khăn Napkin Fairy 320 x 100 tờ x 48 gói"/>
    <s v="Gói"/>
    <n v="2112000"/>
    <n v="48"/>
    <n v="192"/>
    <n v="2256000"/>
    <n v="144000"/>
    <d v="2023-10-05T00:00:00"/>
    <s v="Thu Thủy - P.Mỹ (cầu Trâu Trắng)"/>
    <x v="1"/>
    <n v="2023"/>
    <n v="-1968000"/>
    <n v="-0.93181818181818177"/>
    <n v="11750"/>
    <n v="144"/>
  </r>
  <r>
    <n v="262"/>
    <s v="TT01"/>
    <s v="Thanh toán lần 1"/>
    <s v="VNĐ"/>
    <n v="0"/>
    <n v="0"/>
    <n v="0"/>
    <n v="-1764000"/>
    <n v="-1764000"/>
    <d v="2023-10-05T00:00:00"/>
    <s v="Thu Thủy - P.Mỹ (cầu Trâu Trắng)"/>
    <x v="1"/>
    <n v="2023"/>
    <n v="-1764000"/>
    <n v="0"/>
    <n v="0"/>
    <n v="0"/>
  </r>
  <r>
    <n v="263"/>
    <s v="KR1000"/>
    <s v="Khăn giấy rút đa năng Jolly 1kg x 20 gói"/>
    <s v="Gói"/>
    <n v="412911"/>
    <n v="1"/>
    <n v="9"/>
    <n v="421200"/>
    <n v="8289"/>
    <d v="2023-10-05T00:00:00"/>
    <s v="Hồng Hạnh - P.Mỹ (cầu Trâu Trắng)"/>
    <x v="1"/>
    <n v="2023"/>
    <n v="-404622"/>
    <n v="-0.979925456091022"/>
    <n v="46800"/>
    <n v="8"/>
  </r>
  <r>
    <n v="264"/>
    <s v="KTN80"/>
    <s v="Kẹo Trang Nghiêm DÂU TÂY 80gr x 100 gói/thùng"/>
    <s v="Gói"/>
    <n v="26250"/>
    <n v="0"/>
    <n v="5"/>
    <n v="35000"/>
    <n v="8750"/>
    <d v="2023-10-05T00:00:00"/>
    <s v="TH An ( Lê Đà) - Ngã 4"/>
    <x v="1"/>
    <n v="2023"/>
    <n v="-17500"/>
    <n v="-0.66666666666666663"/>
    <n v="7000"/>
    <n v="5"/>
  </r>
  <r>
    <n v="265"/>
    <s v="KTN801"/>
    <s v="Kẹo Trang Nghiêm DÂU TẰM 80gr x 100 gói/thùng"/>
    <s v="Gói"/>
    <n v="26250"/>
    <n v="0"/>
    <n v="5"/>
    <n v="35000"/>
    <n v="8750"/>
    <d v="2023-10-05T00:00:00"/>
    <s v="TH An ( Lê Đà) - Ngã 4"/>
    <x v="1"/>
    <n v="2023"/>
    <n v="-17500"/>
    <n v="-0.66666666666666663"/>
    <n v="7000"/>
    <n v="5"/>
  </r>
  <r>
    <n v="266"/>
    <s v="KTN802"/>
    <s v="Kẹo Trang Nghiêm ME ỚT 80gr x 100 gói/thùng"/>
    <s v="Gói"/>
    <n v="26250"/>
    <n v="0"/>
    <n v="5"/>
    <n v="35000"/>
    <n v="8750"/>
    <d v="2023-10-05T00:00:00"/>
    <s v="TH An ( Lê Đà) - Ngã 4"/>
    <x v="1"/>
    <n v="2023"/>
    <n v="-17500"/>
    <n v="-0.66666666666666663"/>
    <n v="7000"/>
    <n v="5"/>
  </r>
  <r>
    <n v="267"/>
    <s v="HTBTE50"/>
    <s v="Bánh gạo TE Happy Bites Việt Quất 50g x 12 hộp"/>
    <s v="Hộp"/>
    <n v="181200"/>
    <n v="1"/>
    <n v="4"/>
    <n v="154000"/>
    <n v="-27200"/>
    <d v="2023-10-05T00:00:00"/>
    <s v="Thế giới sữa Tony - T.Nghĩa"/>
    <x v="1"/>
    <n v="2023"/>
    <n v="-208400"/>
    <n v="-1.1501103752759383"/>
    <n v="38500"/>
    <n v="3"/>
  </r>
  <r>
    <n v="268"/>
    <s v="HTBTE501"/>
    <s v="Bánh gạo TE Happy Bites Táo 50g x 12 hộp"/>
    <s v="Hộp"/>
    <n v="181200"/>
    <n v="0"/>
    <n v="4"/>
    <n v="200000"/>
    <n v="18800"/>
    <d v="2023-10-05T00:00:00"/>
    <s v="Thế giới sữa Tony - T.Nghĩa"/>
    <x v="1"/>
    <n v="2023"/>
    <n v="-162400"/>
    <n v="-0.89624724061810157"/>
    <n v="50000"/>
    <n v="4"/>
  </r>
  <r>
    <n v="269"/>
    <s v="HTBTE502"/>
    <s v="Bánh gạo TE Happy Bites Chuối 50g x 12 hộp"/>
    <s v="Hộp"/>
    <n v="181200"/>
    <n v="0"/>
    <n v="4"/>
    <n v="200000"/>
    <n v="18800"/>
    <d v="2023-10-05T00:00:00"/>
    <s v="Thế giới sữa Tony - T.Nghĩa"/>
    <x v="1"/>
    <n v="2023"/>
    <n v="-162400"/>
    <n v="-0.89624724061810157"/>
    <n v="50000"/>
    <n v="4"/>
  </r>
  <r>
    <n v="270"/>
    <s v="NLREDBULL1"/>
    <s v="RedBull ThaiLan"/>
    <s v="Block"/>
    <n v="484000"/>
    <n v="0"/>
    <n v="2"/>
    <n v="498000"/>
    <n v="14000"/>
    <d v="2023-10-05T00:00:00"/>
    <s v="Thế giới sữa Tony - T.Nghĩa"/>
    <x v="1"/>
    <n v="2023"/>
    <n v="-470000"/>
    <n v="-0.97107438016528924"/>
    <n v="249000"/>
    <n v="2"/>
  </r>
  <r>
    <n v="271"/>
    <s v="HTK151"/>
    <s v="Kẹo Tommy trái cây 15g x 12 gói x 12 dây"/>
    <s v="Dây"/>
    <n v="75000"/>
    <n v="0"/>
    <n v="2"/>
    <n v="82000"/>
    <n v="7000"/>
    <d v="2023-10-05T00:00:00"/>
    <s v="Chị Nhung - T.Nghĩa"/>
    <x v="1"/>
    <n v="2023"/>
    <n v="-68000"/>
    <n v="-0.90666666666666662"/>
    <n v="41000"/>
    <n v="2"/>
  </r>
  <r>
    <n v="272"/>
    <s v="KTN80"/>
    <s v="Kẹo Trang Nghiêm DÂU TÂY 80gr x 100 gói/thùng"/>
    <s v="Gói"/>
    <n v="0"/>
    <n v="0"/>
    <n v="0"/>
    <n v="-70000"/>
    <n v="-70000"/>
    <d v="2023-10-05T00:00:00"/>
    <s v="Chị Nhung - T.Nghĩa"/>
    <x v="1"/>
    <n v="2023"/>
    <n v="-70000"/>
    <n v="0"/>
    <n v="0"/>
    <n v="0"/>
  </r>
  <r>
    <n v="273"/>
    <s v="KU203"/>
    <s v="Khăn ướt TiOne 20g x 100 gói"/>
    <s v="Gói"/>
    <n v="0"/>
    <n v="0"/>
    <n v="0"/>
    <n v="0"/>
    <n v="0"/>
    <d v="2023-10-05T00:00:00"/>
    <s v="Chị Nhung - T.Nghĩa"/>
    <x v="1"/>
    <n v="2023"/>
    <n v="0"/>
    <n v="0"/>
    <n v="0"/>
    <n v="0"/>
  </r>
  <r>
    <n v="274"/>
    <s v="KV1001"/>
    <s v="Khăn Napkin Ruby Gold 100 tờ x 30 gói"/>
    <s v="Gói"/>
    <n v="75000"/>
    <n v="1"/>
    <n v="10"/>
    <n v="110000"/>
    <n v="35000"/>
    <d v="2023-10-05T00:00:00"/>
    <s v="Chị Nhung - T.Nghĩa"/>
    <x v="1"/>
    <n v="2023"/>
    <n v="-40000"/>
    <n v="-0.53333333333333333"/>
    <n v="11000"/>
    <n v="9"/>
  </r>
  <r>
    <n v="275"/>
    <s v="SBOMGROW900"/>
    <s v="SURE OMEGA-GROW IQ 900G"/>
    <s v="Lon"/>
    <n v="424800"/>
    <n v="0"/>
    <n v="2"/>
    <n v="477600"/>
    <n v="52800"/>
    <d v="2023-10-06T00:00:00"/>
    <s v="TT Hoàng Yến - M.Long"/>
    <x v="1"/>
    <n v="2023"/>
    <n v="-372000"/>
    <n v="-0.87570621468926557"/>
    <n v="238800"/>
    <n v="2"/>
  </r>
  <r>
    <n v="276"/>
    <s v="GC32"/>
    <s v="Giấy cân 32 (1kg x 10 bịch)"/>
    <s v="Bịch"/>
    <n v="420000"/>
    <n v="2"/>
    <n v="10"/>
    <n v="460000"/>
    <n v="40000"/>
    <d v="2023-10-06T00:00:00"/>
    <s v="Trúc Ly - Ba Sao"/>
    <x v="1"/>
    <n v="2023"/>
    <n v="-380000"/>
    <n v="-0.90476190476190477"/>
    <n v="46000"/>
    <n v="8"/>
  </r>
  <r>
    <n v="277"/>
    <s v="TC50"/>
    <s v="Tăm chỉ nha khoa 50 chiếc x 20 gói x 18 hộp"/>
    <s v="Gói"/>
    <n v="138000"/>
    <n v="0"/>
    <n v="12"/>
    <n v="168000"/>
    <n v="30000"/>
    <d v="2023-10-06T00:00:00"/>
    <s v="TT Ngọc Cát Tường - N.V.Tiếp"/>
    <x v="1"/>
    <n v="2023"/>
    <n v="-108000"/>
    <n v="-0.78260869565217395"/>
    <n v="14000"/>
    <n v="12"/>
  </r>
  <r>
    <n v="278"/>
    <s v="HTBTE50"/>
    <s v="Bánh gạo TE Happy Bites Việt Quất 50g x 12 hộp"/>
    <s v="Hộp"/>
    <n v="181200"/>
    <n v="0"/>
    <n v="4"/>
    <n v="184000"/>
    <n v="2800"/>
    <d v="2023-10-07T00:00:00"/>
    <s v="Mỹ Hạnh - HCL"/>
    <x v="1"/>
    <n v="2023"/>
    <n v="-178400"/>
    <n v="-0.98454746136865345"/>
    <n v="46000"/>
    <n v="4"/>
  </r>
  <r>
    <n v="279"/>
    <s v="HTBTE501"/>
    <s v="Bánh gạo TE Happy Bites Táo 50g x 12 hộp"/>
    <s v="Hộp"/>
    <n v="181200"/>
    <n v="0"/>
    <n v="4"/>
    <n v="184000"/>
    <n v="2800"/>
    <d v="2023-10-07T00:00:00"/>
    <s v="Mỹ Hạnh - HCL"/>
    <x v="1"/>
    <n v="2023"/>
    <n v="-178400"/>
    <n v="-0.98454746136865345"/>
    <n v="46000"/>
    <n v="4"/>
  </r>
  <r>
    <n v="280"/>
    <s v="HTBTE502"/>
    <s v="Bánh gạo TE Happy Bites Chuối 50g x 12 hộp"/>
    <s v="Hộp"/>
    <n v="45300"/>
    <n v="0"/>
    <n v="1"/>
    <n v="46000"/>
    <n v="700"/>
    <d v="2023-10-07T00:00:00"/>
    <s v="Mỹ Hạnh - HCL"/>
    <x v="1"/>
    <n v="2023"/>
    <n v="-44600"/>
    <n v="-0.98454746136865345"/>
    <n v="46000"/>
    <n v="1"/>
  </r>
  <r>
    <n v="281"/>
    <s v="KV100"/>
    <s v="Khăn Napkin Toply 100 tờ x 48 gói"/>
    <s v="Gói"/>
    <n v="345600"/>
    <n v="4"/>
    <n v="48"/>
    <n v="536000"/>
    <n v="190400"/>
    <d v="2023-10-07T00:00:00"/>
    <s v="Chị Nga - HCL"/>
    <x v="1"/>
    <n v="2023"/>
    <n v="-155200"/>
    <n v="-0.44907407407407407"/>
    <n v="11166.666666666666"/>
    <n v="44"/>
  </r>
  <r>
    <n v="282"/>
    <s v="KV100"/>
    <s v="Khăn Napkin Toply 100 tờ x 48 gói"/>
    <s v="Gói"/>
    <n v="345600"/>
    <n v="0"/>
    <n v="48"/>
    <n v="518400"/>
    <n v="172800"/>
    <d v="2023-10-07T00:00:00"/>
    <s v="Xuân Bình - M.Hiệp"/>
    <x v="1"/>
    <n v="2023"/>
    <n v="-172800"/>
    <n v="-0.5"/>
    <n v="10800"/>
    <n v="48"/>
  </r>
  <r>
    <n v="283"/>
    <s v="TB20001"/>
    <s v="Tăm bông thân gỗ hộp 200 cây x 12 hộp"/>
    <s v="Hộp"/>
    <n v="199500"/>
    <n v="2"/>
    <n v="12"/>
    <n v="288000"/>
    <n v="88500"/>
    <d v="2023-10-07T00:00:00"/>
    <s v="TT Ngọc Hạnh - Đ.Mối"/>
    <x v="1"/>
    <n v="2023"/>
    <n v="-111000"/>
    <n v="-0.55639097744360899"/>
    <n v="24000"/>
    <n v="10"/>
  </r>
  <r>
    <n v="284"/>
    <s v="TB20002"/>
    <s v="Tăm bông thân nhựa NL hộp tròn 200 cây x 12 hộp"/>
    <s v="Hộp"/>
    <n v="194256"/>
    <n v="2"/>
    <n v="12"/>
    <n v="240000"/>
    <n v="45744"/>
    <d v="2023-10-07T00:00:00"/>
    <s v="TT Ngọc Hạnh - Đ.Mối"/>
    <x v="1"/>
    <n v="2023"/>
    <n v="-148512"/>
    <n v="-0.76451692611811217"/>
    <n v="20000"/>
    <n v="10"/>
  </r>
  <r>
    <n v="285"/>
    <s v="TBTE20003"/>
    <s v="Tăm bông thân giấy TE hộp chữ nhật 200 cây x 12 hộp"/>
    <s v="Hộp"/>
    <n v="231000"/>
    <n v="2"/>
    <n v="12"/>
    <n v="288000"/>
    <n v="57000"/>
    <d v="2023-10-07T00:00:00"/>
    <s v="TT Ngọc Hạnh - Đ.Mối"/>
    <x v="1"/>
    <n v="2023"/>
    <n v="-174000"/>
    <n v="-0.75324675324675328"/>
    <n v="24000"/>
    <n v="10"/>
  </r>
  <r>
    <n v="286"/>
    <s v="GC106"/>
    <s v="GVS Ruby (HQ) 10 cuộn x 8kg"/>
    <s v="Cây"/>
    <n v="180000"/>
    <n v="0"/>
    <n v="10"/>
    <n v="220000"/>
    <n v="40000"/>
    <d v="2023-10-07T00:00:00"/>
    <s v="Chị Thắm (Hồng Thắm) - B.H.Tây"/>
    <x v="1"/>
    <n v="2023"/>
    <n v="-140000"/>
    <n v="-0.77777777777777779"/>
    <n v="22000"/>
    <n v="10"/>
  </r>
  <r>
    <n v="287"/>
    <s v="NGT3600"/>
    <s v="Nước giặt Kimono (đen) 3,6kg x 5 túi"/>
    <s v="Túi"/>
    <n v="148000"/>
    <n v="0"/>
    <n v="2"/>
    <n v="270000"/>
    <n v="122000"/>
    <d v="2023-10-07T00:00:00"/>
    <s v="Chị Thắm (Hồng Thắm) - B.H.Tây"/>
    <x v="1"/>
    <n v="2023"/>
    <n v="-26000"/>
    <n v="-0.17567567567567569"/>
    <n v="135000"/>
    <n v="2"/>
  </r>
  <r>
    <n v="288"/>
    <s v="NGT36001"/>
    <s v="Nước giặt Kimono (tím) 3,6kg x 5 túi"/>
    <s v="Túi"/>
    <n v="148000"/>
    <n v="1"/>
    <n v="2"/>
    <n v="162000"/>
    <n v="14000"/>
    <d v="2023-10-07T00:00:00"/>
    <s v="Chị Thắm (Hồng Thắm) - B.H.Tây"/>
    <x v="1"/>
    <n v="2023"/>
    <n v="-134000"/>
    <n v="-0.90540540540540537"/>
    <n v="81000"/>
    <n v="1"/>
  </r>
  <r>
    <n v="289"/>
    <s v="T3501"/>
    <s v="Tẩy quần áo màu KIMONO 350ml x 30 chai"/>
    <s v="Chai"/>
    <n v="0"/>
    <n v="5"/>
    <n v="0"/>
    <n v="-55000"/>
    <n v="-55000"/>
    <d v="2023-10-07T00:00:00"/>
    <s v="Chị Thắm (Hồng Thắm) - B.H.Tây"/>
    <x v="1"/>
    <n v="2023"/>
    <n v="-55000"/>
    <n v="0"/>
    <n v="0"/>
    <n v="-5"/>
  </r>
  <r>
    <n v="290"/>
    <s v="NG3600"/>
    <s v="Nước giặt Kimono 6 in 1 (tím) x 3,6kg x 4 bình"/>
    <s v="Bình"/>
    <n v="730000"/>
    <n v="0"/>
    <n v="8"/>
    <n v="960000"/>
    <n v="230000"/>
    <d v="2023-10-07T00:00:00"/>
    <s v="Mỹ Nhân - N.Mỹ"/>
    <x v="1"/>
    <n v="2023"/>
    <n v="-500000"/>
    <n v="-0.68493150684931503"/>
    <n v="120000"/>
    <n v="8"/>
  </r>
  <r>
    <n v="291"/>
    <s v="KR1001"/>
    <s v="Khăn giấy rút lụa SSS BiBi 2 lớp x 1kg x 10 gói"/>
    <s v="Gói"/>
    <n v="480000"/>
    <n v="2"/>
    <n v="10"/>
    <n v="434000"/>
    <n v="-46000"/>
    <d v="2023-10-07T00:00:00"/>
    <s v="Thanh Nhã - M.Long"/>
    <x v="1"/>
    <n v="2023"/>
    <n v="-526000"/>
    <n v="-1.0958333333333334"/>
    <n v="43400"/>
    <n v="8"/>
  </r>
  <r>
    <n v="292"/>
    <s v="GC605"/>
    <s v="GVS Ruby 6 cuộn Mèo (không lõi) x 10 cây"/>
    <s v="Cây"/>
    <n v="580000"/>
    <n v="2"/>
    <n v="20"/>
    <n v="709000"/>
    <n v="129000"/>
    <d v="2023-10-07T00:00:00"/>
    <s v="TH Trinh (Mỹ Trinh) - HCL (cuối chợ)"/>
    <x v="1"/>
    <n v="2023"/>
    <n v="-451000"/>
    <n v="-0.77758620689655178"/>
    <n v="35450"/>
    <n v="18"/>
  </r>
  <r>
    <n v="293"/>
    <s v="HTF3000"/>
    <s v="Nước giặt Fineline tím 3L x 4 bình"/>
    <s v="Bình"/>
    <n v="340000"/>
    <n v="0"/>
    <n v="4"/>
    <n v="520000"/>
    <n v="180000"/>
    <d v="2023-10-07T00:00:00"/>
    <s v="TH Trương Vy - A.Bình 2"/>
    <x v="1"/>
    <n v="2023"/>
    <n v="-160000"/>
    <n v="-0.47058823529411764"/>
    <n v="130000"/>
    <n v="4"/>
  </r>
  <r>
    <n v="294"/>
    <s v="BCN189"/>
    <s v="BC KAKA NANO N189 x 30 x 10 hộp"/>
    <s v="Cây"/>
    <n v="144000"/>
    <n v="0"/>
    <n v="30"/>
    <n v="210000"/>
    <n v="66000"/>
    <d v="2023-10-07T00:00:00"/>
    <s v="Trường An - Đ.Mối"/>
    <x v="1"/>
    <n v="2023"/>
    <n v="-78000"/>
    <n v="-0.54166666666666663"/>
    <n v="7000"/>
    <n v="30"/>
  </r>
  <r>
    <n v="295"/>
    <s v="KU80"/>
    <s v="Khăn ướt đa năng Begin 80g x 20 gói"/>
    <s v="Gói"/>
    <n v="222000"/>
    <n v="3"/>
    <n v="12"/>
    <n v="288000"/>
    <n v="66000"/>
    <d v="2023-10-07T00:00:00"/>
    <s v="Trường An - Đ.Mối"/>
    <x v="1"/>
    <n v="2023"/>
    <n v="-156000"/>
    <n v="-0.70270270270270274"/>
    <n v="24000"/>
    <n v="9"/>
  </r>
  <r>
    <n v="296"/>
    <s v="KB01"/>
    <s v="Khăn bóp Mỹ Lan 10 gói x 60 cây"/>
    <s v="Cây"/>
    <n v="48000"/>
    <n v="0"/>
    <n v="6"/>
    <n v="51000"/>
    <n v="3000"/>
    <d v="2023-10-07T00:00:00"/>
    <s v="TT Kim Dung - M.Hiệp"/>
    <x v="1"/>
    <n v="2023"/>
    <n v="-45000"/>
    <n v="-0.9375"/>
    <n v="8500"/>
    <n v="6"/>
  </r>
  <r>
    <n v="297"/>
    <s v="KDL01"/>
    <s v="Khăn giấy bỏ túi Paseo 9 tờ x 6 gói/cây x 40 cây"/>
    <s v="Cây"/>
    <n v="0"/>
    <n v="0"/>
    <n v="0"/>
    <n v="0"/>
    <n v="0"/>
    <d v="2023-10-07T00:00:00"/>
    <s v="TT Kim Dung - M.Hiệp"/>
    <x v="1"/>
    <n v="2023"/>
    <n v="0"/>
    <n v="0"/>
    <n v="0"/>
    <n v="0"/>
  </r>
  <r>
    <n v="298"/>
    <s v="KU203"/>
    <s v="Khăn ướt TiOne 20g x 100 gói"/>
    <s v="Gói"/>
    <n v="0"/>
    <n v="0"/>
    <n v="0"/>
    <n v="0"/>
    <n v="0"/>
    <d v="2023-10-07T00:00:00"/>
    <s v="TT Kim Dung - M.Hiệp"/>
    <x v="1"/>
    <n v="2023"/>
    <n v="0"/>
    <n v="0"/>
    <n v="0"/>
    <n v="0"/>
  </r>
  <r>
    <n v="299"/>
    <s v="KU801"/>
    <s v="Khăn ướt Baby (đỏ) 80g x 50 gói"/>
    <s v="Gói"/>
    <n v="40000"/>
    <n v="0"/>
    <n v="10"/>
    <n v="70000"/>
    <n v="30000"/>
    <d v="2023-10-07T00:00:00"/>
    <s v="TT Kim Dung - M.Hiệp"/>
    <x v="1"/>
    <n v="2023"/>
    <n v="-10000"/>
    <n v="-0.25"/>
    <n v="7000"/>
    <n v="10"/>
  </r>
  <r>
    <n v="300"/>
    <s v="BCTE005"/>
    <s v="BCTE chữ U x 600 cây"/>
    <s v="Cây"/>
    <n v="120000"/>
    <n v="0"/>
    <n v="12"/>
    <n v="168000"/>
    <n v="48000"/>
    <d v="2023-10-07T00:00:00"/>
    <s v="Thế Giới Con Cưng - HCL"/>
    <x v="1"/>
    <n v="2023"/>
    <n v="-72000"/>
    <n v="-0.6"/>
    <n v="14000"/>
    <n v="12"/>
  </r>
  <r>
    <n v="301"/>
    <s v="HTBTE50"/>
    <s v="Bánh gạo TE Happy Bites Việt Quất 50g x 12 hộp"/>
    <s v="Hộp"/>
    <n v="362400"/>
    <n v="3"/>
    <n v="8"/>
    <n v="400000"/>
    <n v="37600"/>
    <d v="2023-10-07T00:00:00"/>
    <s v="Thế Giới Con Cưng - HCL"/>
    <x v="1"/>
    <n v="2023"/>
    <n v="-324800"/>
    <n v="-0.89624724061810157"/>
    <n v="50000"/>
    <n v="5"/>
  </r>
  <r>
    <n v="302"/>
    <s v="HTBTE501"/>
    <s v="Bánh gạo TE Happy Bites Táo 50g x 12 hộp"/>
    <s v="Hộp"/>
    <n v="362400"/>
    <n v="0"/>
    <n v="8"/>
    <n v="267000"/>
    <n v="-95400"/>
    <d v="2023-10-07T00:00:00"/>
    <s v="Thế Giới Con Cưng - HCL"/>
    <x v="1"/>
    <n v="2023"/>
    <n v="-457800"/>
    <n v="-1.2632450331125828"/>
    <n v="33375"/>
    <n v="8"/>
  </r>
  <r>
    <n v="303"/>
    <s v="HTBTE502"/>
    <s v="Bánh gạo TE Happy Bites Chuối 50g x 12 hộp"/>
    <s v="Hộp"/>
    <n v="362400"/>
    <n v="0"/>
    <n v="8"/>
    <n v="400000"/>
    <n v="37600"/>
    <d v="2023-10-07T00:00:00"/>
    <s v="Thế Giới Con Cưng - HCL"/>
    <x v="1"/>
    <n v="2023"/>
    <n v="-324800"/>
    <n v="-0.89624724061810157"/>
    <n v="50000"/>
    <n v="8"/>
  </r>
  <r>
    <n v="304"/>
    <s v="KDR001"/>
    <s v="Kem đánh răng bộ (KDR + BC) x 144 bộ"/>
    <s v="Bộ"/>
    <n v="279996"/>
    <n v="2"/>
    <n v="12"/>
    <n v="288000"/>
    <n v="8004"/>
    <d v="2023-10-07T00:00:00"/>
    <s v="Thế Giới Con Cưng - HCL"/>
    <x v="1"/>
    <n v="2023"/>
    <n v="-271992"/>
    <n v="-0.97141387734110485"/>
    <n v="24000"/>
    <n v="10"/>
  </r>
  <r>
    <n v="305"/>
    <s v="KKDN300"/>
    <s v="Khăn khô đa năng 300gr x 30 gói"/>
    <s v="Gói"/>
    <n v="1069200"/>
    <n v="3"/>
    <n v="27"/>
    <n v="1070000"/>
    <n v="800"/>
    <d v="2023-10-07T00:00:00"/>
    <s v="Thế Giới Con Cưng - HCL"/>
    <x v="1"/>
    <n v="2023"/>
    <n v="-1068400"/>
    <n v="-0.99925177702955481"/>
    <n v="39629.629629629628"/>
    <n v="24"/>
  </r>
  <r>
    <n v="306"/>
    <s v="KU801"/>
    <s v="Khăn ướt Baby (đỏ) 80g x 50 gói"/>
    <s v="Gói"/>
    <n v="0"/>
    <n v="0"/>
    <n v="0"/>
    <n v="0"/>
    <n v="0"/>
    <d v="2023-10-07T00:00:00"/>
    <s v="Chị Cúc (Bạch Cúc) - HCL "/>
    <x v="1"/>
    <n v="2023"/>
    <n v="0"/>
    <n v="0"/>
    <n v="0"/>
    <n v="0"/>
  </r>
  <r>
    <n v="307"/>
    <s v="KV320"/>
    <s v="Khăn Napkin Fairy 320 x 100 tờ x 48 gói"/>
    <s v="Gói"/>
    <n v="0"/>
    <n v="0"/>
    <n v="0"/>
    <n v="0"/>
    <n v="0"/>
    <d v="2023-10-07T00:00:00"/>
    <s v="Chị Cúc (Bạch Cúc) - HCL "/>
    <x v="1"/>
    <n v="2023"/>
    <n v="0"/>
    <n v="0"/>
    <n v="0"/>
    <n v="0"/>
  </r>
  <r>
    <n v="308"/>
    <s v="HM608"/>
    <s v="Yến sào Seunest CĐ vàng x 6 hộp"/>
    <s v="Hộp"/>
    <n v="300000"/>
    <n v="3"/>
    <n v="3"/>
    <n v="327000"/>
    <n v="27000"/>
    <d v="2023-10-07T00:00:00"/>
    <s v="Cô 7 - X.Quýt"/>
    <x v="1"/>
    <n v="2023"/>
    <n v="-273000"/>
    <n v="-0.91"/>
    <n v="109000"/>
    <n v="0"/>
  </r>
  <r>
    <n v="309"/>
    <s v="KV1007"/>
    <s v="Khăn Napkin An An 100 tờ x 40 gói"/>
    <s v="Gói"/>
    <n v="270000"/>
    <n v="0"/>
    <n v="40"/>
    <n v="320000"/>
    <n v="50000"/>
    <d v="2023-10-07T00:00:00"/>
    <s v="Chị Thùy - X.Quýt"/>
    <x v="1"/>
    <n v="2023"/>
    <n v="-220000"/>
    <n v="-0.81481481481481477"/>
    <n v="8000"/>
    <n v="40"/>
  </r>
  <r>
    <n v="310"/>
    <s v="KR1000"/>
    <s v="Khăn giấy rút đa năng Jolly 1kg x 20 gói"/>
    <s v="Gói"/>
    <n v="1835160"/>
    <n v="5"/>
    <n v="40"/>
    <n v="1849000"/>
    <n v="13840"/>
    <d v="2023-10-13T00:00:00"/>
    <s v="Thanh Trang - HCL"/>
    <x v="1"/>
    <n v="2023"/>
    <n v="-1821320"/>
    <n v="-0.99245842324374989"/>
    <n v="46225"/>
    <n v="35"/>
  </r>
  <r>
    <n v="311"/>
    <s v="HTBTE30"/>
    <s v="Bánh TE Munchies Chuối &amp; Bí Đỏ 30g x 12 hộp"/>
    <s v="Hộp"/>
    <n v="633600"/>
    <n v="0"/>
    <n v="12"/>
    <n v="720000"/>
    <n v="86400"/>
    <d v="2023-10-13T00:00:00"/>
    <s v="TT Minh Phương - T.H.Trung"/>
    <x v="1"/>
    <n v="2023"/>
    <n v="-547200"/>
    <n v="-0.86363636363636365"/>
    <n v="60000"/>
    <n v="12"/>
  </r>
  <r>
    <n v="312"/>
    <s v="HTBTE301"/>
    <s v="Bánh TE Munchies Mâm Xôi &amp; Củ Dền 30g x 12 hộp"/>
    <s v="Hộp"/>
    <n v="633600"/>
    <n v="3"/>
    <n v="12"/>
    <n v="560000"/>
    <n v="-73600"/>
    <d v="2023-10-13T00:00:00"/>
    <s v="TT Minh Phương - T.H.Trung"/>
    <x v="1"/>
    <n v="2023"/>
    <n v="-707200"/>
    <n v="-1.1161616161616161"/>
    <n v="46666.666666666664"/>
    <n v="9"/>
  </r>
  <r>
    <n v="313"/>
    <s v="HTBTE50"/>
    <s v="Bánh gạo TE Happy Bites Việt Quất 50g x 12 hộp"/>
    <s v="Hộp"/>
    <n v="362400"/>
    <n v="3"/>
    <n v="8"/>
    <n v="267000"/>
    <n v="-95400"/>
    <d v="2023-10-13T00:00:00"/>
    <s v="TT Minh Phương - T.H.Trung"/>
    <x v="1"/>
    <n v="2023"/>
    <n v="-457800"/>
    <n v="-1.2632450331125828"/>
    <n v="33375"/>
    <n v="5"/>
  </r>
  <r>
    <n v="314"/>
    <s v="HTBTE501"/>
    <s v="Bánh gạo TE Happy Bites Táo 50g x 12 hộp"/>
    <s v="Hộp"/>
    <n v="362400"/>
    <n v="0"/>
    <n v="8"/>
    <n v="400000"/>
    <n v="37600"/>
    <d v="2023-10-13T00:00:00"/>
    <s v="TT Minh Phương - T.H.Trung"/>
    <x v="1"/>
    <n v="2023"/>
    <n v="-324800"/>
    <n v="-0.89624724061810157"/>
    <n v="50000"/>
    <n v="8"/>
  </r>
  <r>
    <n v="315"/>
    <s v="HTBTE502"/>
    <s v="Bánh gạo TE Happy Bites Chuối 50g x 12 hộp"/>
    <s v="Hộp"/>
    <n v="362400"/>
    <n v="0"/>
    <n v="8"/>
    <n v="400000"/>
    <n v="37600"/>
    <d v="2023-10-13T00:00:00"/>
    <s v="TT Minh Phương - T.H.Trung"/>
    <x v="1"/>
    <n v="2023"/>
    <n v="-324800"/>
    <n v="-0.89624724061810157"/>
    <n v="50000"/>
    <n v="8"/>
  </r>
  <r>
    <n v="316"/>
    <s v="KR5003"/>
    <s v="Khăn rút lụa TiOne HQ xanh 500 tờ x 25 gói"/>
    <s v="Gói"/>
    <n v="0"/>
    <n v="10"/>
    <n v="0"/>
    <n v="-160000"/>
    <n v="-160000"/>
    <d v="2023-10-13T00:00:00"/>
    <s v="5 Phụng - T.Nghĩa"/>
    <x v="1"/>
    <n v="2023"/>
    <n v="-160000"/>
    <n v="0"/>
    <n v="0"/>
    <n v="-10"/>
  </r>
  <r>
    <n v="317"/>
    <s v="KU50001"/>
    <s v="Khăn ướt đa năng TiOne 50 tờ x 24 gói"/>
    <s v="Gói"/>
    <n v="300000"/>
    <n v="0"/>
    <n v="20"/>
    <n v="540000"/>
    <n v="240000"/>
    <d v="2023-10-13T00:00:00"/>
    <s v="5 Phụng - T.Nghĩa"/>
    <x v="1"/>
    <n v="2023"/>
    <n v="-60000"/>
    <n v="-0.2"/>
    <n v="27000"/>
    <n v="20"/>
  </r>
  <r>
    <n v="318"/>
    <s v="CG50"/>
    <s v="Chân gà cay ăn liền ZL FOOD loại 50g x 30 x 7 túi"/>
    <s v="Cái"/>
    <n v="82500"/>
    <n v="0"/>
    <n v="15"/>
    <n v="97500"/>
    <n v="15000"/>
    <d v="2023-10-13T00:00:00"/>
    <s v="An Nhiên - T.Nghĩa"/>
    <x v="1"/>
    <n v="2023"/>
    <n v="-67500"/>
    <n v="-0.81818181818181823"/>
    <n v="6500"/>
    <n v="15"/>
  </r>
  <r>
    <n v="319"/>
    <s v="CG501"/>
    <s v="Chân gà cay ăn liền ZL FOOD Acao 50g x 30 x 7 túi"/>
    <s v="Cái"/>
    <n v="82500"/>
    <n v="0"/>
    <n v="15"/>
    <n v="97500"/>
    <n v="15000"/>
    <d v="2023-10-13T00:00:00"/>
    <s v="An Nhiên - T.Nghĩa"/>
    <x v="1"/>
    <n v="2023"/>
    <n v="-67500"/>
    <n v="-0.81818181818181823"/>
    <n v="6500"/>
    <n v="15"/>
  </r>
  <r>
    <n v="320"/>
    <s v="HTBD12"/>
    <s v="Bánh đũa Gap Dâu tây 12g x 12 hộp x 12"/>
    <s v="Hộp"/>
    <n v="42084"/>
    <n v="0"/>
    <n v="1"/>
    <n v="48000"/>
    <n v="5916"/>
    <d v="2023-10-13T00:00:00"/>
    <s v="An Nhiên - T.Nghĩa"/>
    <x v="1"/>
    <n v="2023"/>
    <n v="-36168"/>
    <n v="-0.85942400912460792"/>
    <n v="48000"/>
    <n v="1"/>
  </r>
  <r>
    <n v="321"/>
    <s v="HTBD121"/>
    <s v="Bánh đũa Gap Sô cô la 12g x 12 hộp x 12"/>
    <s v="Hộp"/>
    <n v="42084"/>
    <n v="0"/>
    <n v="1"/>
    <n v="48000"/>
    <n v="5916"/>
    <d v="2023-10-13T00:00:00"/>
    <s v="An Nhiên - T.Nghĩa"/>
    <x v="1"/>
    <n v="2023"/>
    <n v="-36168"/>
    <n v="-0.85942400912460792"/>
    <n v="48000"/>
    <n v="1"/>
  </r>
  <r>
    <n v="322"/>
    <s v="HTBD12"/>
    <s v="Bánh đũa Gap Dâu tây 12g x 12 hộp x 12"/>
    <s v="Hộp"/>
    <n v="42084"/>
    <n v="0"/>
    <n v="1"/>
    <n v="48000"/>
    <n v="5916"/>
    <d v="2023-10-13T00:00:00"/>
    <s v="Ngọc Thắm - T.Nghĩa"/>
    <x v="1"/>
    <n v="2023"/>
    <n v="-36168"/>
    <n v="-0.85942400912460792"/>
    <n v="48000"/>
    <n v="1"/>
  </r>
  <r>
    <n v="323"/>
    <s v="HTBD121"/>
    <s v="Bánh đũa Gap Sô cô la 12g x 12 hộp x 12"/>
    <s v="Hộp"/>
    <n v="42084"/>
    <n v="0"/>
    <n v="1"/>
    <n v="48000"/>
    <n v="5916"/>
    <d v="2023-10-13T00:00:00"/>
    <s v="Ngọc Thắm - T.Nghĩa"/>
    <x v="1"/>
    <n v="2023"/>
    <n v="-36168"/>
    <n v="-0.85942400912460792"/>
    <n v="48000"/>
    <n v="1"/>
  </r>
  <r>
    <n v="324"/>
    <s v="JA500G"/>
    <s v="Javel 550ml x 24 chai"/>
    <s v="Chai"/>
    <n v="90000"/>
    <n v="2"/>
    <n v="24"/>
    <n v="168000"/>
    <n v="78000"/>
    <d v="2023-10-13T00:00:00"/>
    <s v="Ngọc Thắm - T.Nghĩa"/>
    <x v="1"/>
    <n v="2023"/>
    <n v="-12000"/>
    <n v="-0.13333333333333333"/>
    <n v="7000"/>
    <n v="22"/>
  </r>
  <r>
    <n v="325"/>
    <s v="KTN80"/>
    <s v="Kẹo Trang Nghiêm DÂU TÂY 80gr x 100 gói/thùng"/>
    <s v="Gói"/>
    <n v="36750"/>
    <n v="0"/>
    <n v="7"/>
    <n v="49000"/>
    <n v="12250"/>
    <d v="2023-10-13T00:00:00"/>
    <s v="Ngọc Thắm - T.Nghĩa"/>
    <x v="1"/>
    <n v="2023"/>
    <n v="-24500"/>
    <n v="-0.66666666666666663"/>
    <n v="7000"/>
    <n v="7"/>
  </r>
  <r>
    <n v="326"/>
    <s v="KTN801"/>
    <s v="Kẹo Trang Nghiêm DÂU TẰM 80gr x 100 gói/thùng"/>
    <s v="Gói"/>
    <n v="36750"/>
    <n v="0"/>
    <n v="7"/>
    <n v="49000"/>
    <n v="12250"/>
    <d v="2023-10-13T00:00:00"/>
    <s v="Ngọc Thắm - T.Nghĩa"/>
    <x v="1"/>
    <n v="2023"/>
    <n v="-24500"/>
    <n v="-0.66666666666666663"/>
    <n v="7000"/>
    <n v="7"/>
  </r>
  <r>
    <n v="327"/>
    <s v="KTN802"/>
    <s v="Kẹo Trang Nghiêm ME ỚT 80gr x 100 gói/thùng"/>
    <s v="Gói"/>
    <n v="31500"/>
    <n v="0"/>
    <n v="6"/>
    <n v="42000"/>
    <n v="10500"/>
    <d v="2023-10-13T00:00:00"/>
    <s v="Ngọc Thắm - T.Nghĩa"/>
    <x v="1"/>
    <n v="2023"/>
    <n v="-21000"/>
    <n v="-0.66666666666666663"/>
    <n v="7000"/>
    <n v="6"/>
  </r>
  <r>
    <n v="328"/>
    <s v="NGT2000"/>
    <s v="Nước giặt Kimono (đen) 2kg x 6 túi"/>
    <s v="Túi"/>
    <n v="116000"/>
    <n v="0"/>
    <n v="2"/>
    <n v="150000"/>
    <n v="34000"/>
    <d v="2023-10-13T00:00:00"/>
    <s v="Ngọc Thắm - T.Nghĩa"/>
    <x v="1"/>
    <n v="2023"/>
    <n v="-82000"/>
    <n v="-0.7068965517241379"/>
    <n v="75000"/>
    <n v="2"/>
  </r>
  <r>
    <n v="329"/>
    <s v="NGT2001"/>
    <s v="Nước giặt Kimono (tím) 2kg x 6 túi"/>
    <s v="Túi"/>
    <n v="116000"/>
    <n v="0"/>
    <n v="2"/>
    <n v="150000"/>
    <n v="34000"/>
    <d v="2023-10-13T00:00:00"/>
    <s v="Ngọc Thắm - T.Nghĩa"/>
    <x v="1"/>
    <n v="2023"/>
    <n v="-82000"/>
    <n v="-0.7068965517241379"/>
    <n v="75000"/>
    <n v="2"/>
  </r>
  <r>
    <n v="330"/>
    <s v="NGT2002"/>
    <s v="Nước giặt Kimono (hồng) 2kg x 6 túi"/>
    <s v="Túi"/>
    <n v="58000"/>
    <n v="0"/>
    <n v="1"/>
    <n v="75000"/>
    <n v="17000"/>
    <d v="2023-10-13T00:00:00"/>
    <s v="Ngọc Thắm - T.Nghĩa"/>
    <x v="1"/>
    <n v="2023"/>
    <n v="-41000"/>
    <n v="-0.7068965517241379"/>
    <n v="75000"/>
    <n v="1"/>
  </r>
  <r>
    <n v="331"/>
    <s v="NGT2003"/>
    <s v="Nước giặt Kimono (vàng) 2kg x 6 túi"/>
    <s v="Túi"/>
    <n v="58000"/>
    <n v="0"/>
    <n v="1"/>
    <n v="75000"/>
    <n v="17000"/>
    <d v="2023-10-13T00:00:00"/>
    <s v="Ngọc Thắm - T.Nghĩa"/>
    <x v="1"/>
    <n v="2023"/>
    <n v="-41000"/>
    <n v="-0.7068965517241379"/>
    <n v="75000"/>
    <n v="1"/>
  </r>
  <r>
    <n v="332"/>
    <s v="NRC1500"/>
    <s v="NRC 107 - 1,5L x 8 bình"/>
    <s v="Bình"/>
    <n v="0"/>
    <n v="1"/>
    <n v="0"/>
    <n v="0"/>
    <n v="0"/>
    <d v="2023-10-13T00:00:00"/>
    <s v="Ngọc Thắm - T.Nghĩa"/>
    <x v="1"/>
    <n v="2023"/>
    <n v="0"/>
    <n v="0"/>
    <n v="0"/>
    <n v="-1"/>
  </r>
  <r>
    <n v="333"/>
    <s v="NRC400"/>
    <s v="NRC 107 - 400ml x 24 chai"/>
    <s v="Chai"/>
    <n v="190176"/>
    <n v="0"/>
    <n v="24"/>
    <n v="276000"/>
    <n v="85824"/>
    <d v="2023-10-13T00:00:00"/>
    <s v="Ngọc Thắm - T.Nghĩa"/>
    <x v="1"/>
    <n v="2023"/>
    <n v="-104352"/>
    <n v="-0.54871277132761231"/>
    <n v="11500"/>
    <n v="24"/>
  </r>
  <r>
    <n v="334"/>
    <s v="NRC750"/>
    <s v="NRC 107 - 750ml x 16 chai"/>
    <s v="Chai"/>
    <n v="212384"/>
    <n v="0"/>
    <n v="16"/>
    <n v="304000"/>
    <n v="91616"/>
    <d v="2023-10-13T00:00:00"/>
    <s v="Ngọc Thắm - T.Nghĩa"/>
    <x v="1"/>
    <n v="2023"/>
    <n v="-120768"/>
    <n v="-0.56863040530360098"/>
    <n v="19000"/>
    <n v="16"/>
  </r>
  <r>
    <n v="335"/>
    <s v="GC100"/>
    <s v="GVS cuộn trắng rẻ (xá) x 10 cây"/>
    <s v="Bao"/>
    <n v="57000"/>
    <n v="0"/>
    <n v="1"/>
    <n v="75000"/>
    <n v="18000"/>
    <d v="2023-10-13T00:00:00"/>
    <s v="Thu Trang - T.Nghĩa"/>
    <x v="1"/>
    <n v="2023"/>
    <n v="-39000"/>
    <n v="-0.68421052631578949"/>
    <n v="75000"/>
    <n v="1"/>
  </r>
  <r>
    <n v="336"/>
    <s v="KV100"/>
    <s v="Khăn Napkin Toply 100 tờ x 48 gói"/>
    <s v="Gói"/>
    <n v="345600"/>
    <n v="4"/>
    <n v="48"/>
    <n v="536000"/>
    <n v="190400"/>
    <d v="2023-10-14T00:00:00"/>
    <s v="Chị Linh (bán bọc) - HCL"/>
    <x v="1"/>
    <n v="2023"/>
    <n v="-155200"/>
    <n v="-0.44907407407407407"/>
    <n v="11166.666666666666"/>
    <n v="44"/>
  </r>
  <r>
    <n v="337"/>
    <s v="GC606"/>
    <s v="GVS TiOne Gấu 6 cuộn x 12 cây"/>
    <s v="Cây"/>
    <n v="0"/>
    <n v="1"/>
    <n v="0"/>
    <n v="-31000"/>
    <n v="-31000"/>
    <d v="2023-10-14T00:00:00"/>
    <s v="Chị Đào - T.H.Trung"/>
    <x v="1"/>
    <n v="2023"/>
    <n v="-31000"/>
    <n v="0"/>
    <n v="0"/>
    <n v="-1"/>
  </r>
  <r>
    <n v="338"/>
    <s v="KV1009"/>
    <s v="Khăn Napkin TiOne Gấu 100 tờ x 48 gói"/>
    <s v="Gói"/>
    <n v="288000"/>
    <n v="0"/>
    <n v="48"/>
    <n v="360000"/>
    <n v="72000"/>
    <d v="2023-10-14T00:00:00"/>
    <s v="Chị Đào - T.H.Trung"/>
    <x v="1"/>
    <n v="2023"/>
    <n v="-216000"/>
    <n v="-0.75"/>
    <n v="7500"/>
    <n v="48"/>
  </r>
  <r>
    <n v="339"/>
    <s v="GC613"/>
    <s v="GVS TiOne (HQ) xanh 6 cuộn x 12 cây"/>
    <s v="Cây"/>
    <n v="155004"/>
    <n v="0"/>
    <n v="6"/>
    <n v="222000"/>
    <n v="66996"/>
    <d v="2023-10-14T00:00:00"/>
    <s v="Uốn tóc Kim Phụng - M.Trắng"/>
    <x v="1"/>
    <n v="2023"/>
    <n v="-88008"/>
    <n v="-0.56777889602848963"/>
    <n v="37000"/>
    <n v="6"/>
  </r>
  <r>
    <n v="340"/>
    <s v="GC617"/>
    <s v="GVS TiOne hồng 6 cuộn x 12 cây"/>
    <s v="Cây"/>
    <n v="0"/>
    <n v="1"/>
    <n v="0"/>
    <n v="-31000"/>
    <n v="-31000"/>
    <d v="2023-10-14T00:00:00"/>
    <s v="Uốn tóc Kim Phụng - M.Trắng"/>
    <x v="1"/>
    <n v="2023"/>
    <n v="-31000"/>
    <n v="0"/>
    <n v="0"/>
    <n v="-1"/>
  </r>
  <r>
    <n v="341"/>
    <s v="NG3600"/>
    <s v="Nước giặt Kimono 6 in 1 (tím) x 3,6kg x 4 bình"/>
    <s v="Bình"/>
    <n v="1460000"/>
    <n v="0"/>
    <n v="16"/>
    <n v="1840000"/>
    <n v="380000"/>
    <d v="2023-10-14T00:00:00"/>
    <s v="Bé Bắp - N.Mỹ"/>
    <x v="1"/>
    <n v="2023"/>
    <n v="-1080000"/>
    <n v="-0.73972602739726023"/>
    <n v="115000"/>
    <n v="16"/>
  </r>
  <r>
    <n v="342"/>
    <s v="NG36002"/>
    <s v="Nước giặt Kimono 6 in 1 (đen) x 3,6kg x 4 bình"/>
    <s v="Bình"/>
    <n v="365000"/>
    <n v="0"/>
    <n v="4"/>
    <n v="460000"/>
    <n v="95000"/>
    <d v="2023-10-14T00:00:00"/>
    <s v="Bé Bắp - N.Mỹ"/>
    <x v="1"/>
    <n v="2023"/>
    <n v="-270000"/>
    <n v="-0.73972602739726023"/>
    <n v="115000"/>
    <n v="4"/>
  </r>
  <r>
    <n v="343"/>
    <s v="NG36002"/>
    <s v="Nước giặt Kimono 6 in 1 (đen) x 3,6kg x 4 bình"/>
    <s v="Bình"/>
    <n v="365000"/>
    <n v="2"/>
    <n v="4"/>
    <n v="520000"/>
    <n v="155000"/>
    <d v="2023-10-14T00:00:00"/>
    <s v="6 Trạng - M.Trắng"/>
    <x v="1"/>
    <n v="2023"/>
    <n v="-210000"/>
    <n v="-0.57534246575342463"/>
    <n v="130000"/>
    <n v="2"/>
  </r>
  <r>
    <n v="344"/>
    <s v="NGT2000"/>
    <s v="Nước giặt Kimono (đen) 2kg x 6 túi"/>
    <s v="Túi"/>
    <n v="290000"/>
    <n v="1"/>
    <n v="5"/>
    <n v="375000"/>
    <n v="85000"/>
    <d v="2023-10-14T00:00:00"/>
    <s v="6 Trạng - M.Trắng"/>
    <x v="1"/>
    <n v="2023"/>
    <n v="-205000"/>
    <n v="-0.7068965517241379"/>
    <n v="75000"/>
    <n v="4"/>
  </r>
  <r>
    <n v="345"/>
    <s v="GC106"/>
    <s v="GVS Ruby (HQ) 10 cuộn x 8kg"/>
    <s v="Cây"/>
    <n v="180000"/>
    <n v="0"/>
    <n v="10"/>
    <n v="200000"/>
    <n v="20000"/>
    <d v="2023-10-14T00:00:00"/>
    <s v="Hiệp Hòa (dì Hồng) - HCL"/>
    <x v="1"/>
    <n v="2023"/>
    <n v="-160000"/>
    <n v="-0.88888888888888884"/>
    <n v="20000"/>
    <n v="10"/>
  </r>
  <r>
    <n v="346"/>
    <s v="DCTD708"/>
    <s v="Dao cạo Dorco vàng TD 708 (12 cây x 40 vỉ)"/>
    <s v="Vỉ"/>
    <n v="211200"/>
    <n v="1"/>
    <n v="8"/>
    <n v="256000"/>
    <n v="44800"/>
    <d v="2023-10-14T00:00:00"/>
    <s v="TH Bình Minh - M.Trắng"/>
    <x v="1"/>
    <n v="2023"/>
    <n v="-166400"/>
    <n v="-0.78787878787878785"/>
    <n v="32000"/>
    <n v="7"/>
  </r>
  <r>
    <n v="347"/>
    <s v="GC606"/>
    <s v="GVS TiOne Gấu 6 cuộn x 12 cây"/>
    <s v="Cây"/>
    <n v="310008"/>
    <n v="0"/>
    <n v="12"/>
    <n v="444000"/>
    <n v="133992"/>
    <d v="2023-10-14T00:00:00"/>
    <s v="TH Bình Minh - M.Trắng"/>
    <x v="1"/>
    <n v="2023"/>
    <n v="-176016"/>
    <n v="-0.56777889602848963"/>
    <n v="37000"/>
    <n v="12"/>
  </r>
  <r>
    <n v="348"/>
    <s v="GC617"/>
    <s v="GVS TiOne hồng 6 cuộn x 12 cây"/>
    <s v="Cây"/>
    <n v="0"/>
    <n v="2"/>
    <n v="0"/>
    <n v="-63000"/>
    <n v="-63000"/>
    <d v="2023-10-14T00:00:00"/>
    <s v="TH Bình Minh - M.Trắng"/>
    <x v="1"/>
    <n v="2023"/>
    <n v="-63000"/>
    <n v="0"/>
    <n v="0"/>
    <n v="-2"/>
  </r>
  <r>
    <n v="349"/>
    <s v="KU1505"/>
    <s v="Khăn ướt TE TiOne 150g x 30 gói"/>
    <s v="Gói"/>
    <n v="0"/>
    <n v="0"/>
    <n v="0"/>
    <n v="0"/>
    <n v="0"/>
    <d v="2023-10-14T00:00:00"/>
    <s v="TH Bình Minh - M.Trắng"/>
    <x v="1"/>
    <n v="2023"/>
    <n v="0"/>
    <n v="0"/>
    <n v="0"/>
    <n v="0"/>
  </r>
  <r>
    <n v="350"/>
    <s v="KU2501"/>
    <s v="Khăn ướt TiOne (khổ lớn) 250g x 20 gói"/>
    <s v="Gói"/>
    <n v="230000"/>
    <n v="5"/>
    <n v="20"/>
    <n v="352000"/>
    <n v="122000"/>
    <d v="2023-10-14T00:00:00"/>
    <s v="TH Bình Minh - M.Trắng"/>
    <x v="1"/>
    <n v="2023"/>
    <n v="-108000"/>
    <n v="-0.46956521739130436"/>
    <n v="17600"/>
    <n v="15"/>
  </r>
  <r>
    <n v="351"/>
    <s v="LK500"/>
    <s v="Lau kính (kháng khuẩn, khủ mùi) 500ml x 24 chai"/>
    <s v="Chai"/>
    <n v="348000"/>
    <n v="1"/>
    <n v="24"/>
    <n v="415000"/>
    <n v="67000"/>
    <d v="2023-10-14T00:00:00"/>
    <s v="TH Bình Minh - M.Trắng"/>
    <x v="1"/>
    <n v="2023"/>
    <n v="-281000"/>
    <n v="-0.80747126436781613"/>
    <n v="17291.666666666668"/>
    <n v="23"/>
  </r>
  <r>
    <n v="352"/>
    <s v="HTBTE30"/>
    <s v="Bánh TE Munchies Chuối &amp; Bí Đỏ 30g x 12 hộp"/>
    <s v="Hộp"/>
    <n v="1267200"/>
    <n v="2"/>
    <n v="24"/>
    <n v="1301200"/>
    <n v="34000"/>
    <d v="2023-10-14T00:00:00"/>
    <s v="Mẹ &amp; Bé (Hồng Nhung) - M.Long"/>
    <x v="1"/>
    <n v="2023"/>
    <n v="-1233200"/>
    <n v="-0.97316919191919193"/>
    <n v="54216.666666666664"/>
    <n v="22"/>
  </r>
  <r>
    <n v="353"/>
    <s v="HTBTE301"/>
    <s v="Bánh TE Munchies Mâm Xôi &amp; Củ Dền 30g x 12 hộp"/>
    <s v="Hộp"/>
    <n v="1267200"/>
    <n v="2"/>
    <n v="24"/>
    <n v="1301200"/>
    <n v="34000"/>
    <d v="2023-10-14T00:00:00"/>
    <s v="Mẹ &amp; Bé (Hồng Nhung) - M.Long"/>
    <x v="1"/>
    <n v="2023"/>
    <n v="-1233200"/>
    <n v="-0.97316919191919193"/>
    <n v="54216.666666666664"/>
    <n v="22"/>
  </r>
  <r>
    <n v="354"/>
    <s v="HTBTE50"/>
    <s v="Bánh gạo TE Happy Bites Việt Quất 50g x 12 hộp"/>
    <s v="Hộp"/>
    <n v="2174400"/>
    <n v="8"/>
    <n v="48"/>
    <n v="2008000"/>
    <n v="-166400"/>
    <d v="2023-10-14T00:00:00"/>
    <s v="Mẹ &amp; Bé (Hồng Nhung) - M.Long"/>
    <x v="1"/>
    <n v="2023"/>
    <n v="-2340800"/>
    <n v="-1.0765268579838116"/>
    <n v="41833.333333333336"/>
    <n v="40"/>
  </r>
  <r>
    <n v="355"/>
    <s v="HTBTE501"/>
    <s v="Bánh gạo TE Happy Bites Táo 50g x 12 hộp"/>
    <s v="Hộp"/>
    <n v="2174400"/>
    <n v="8"/>
    <n v="48"/>
    <n v="2008000"/>
    <n v="-166400"/>
    <d v="2023-10-14T00:00:00"/>
    <s v="Mẹ &amp; Bé (Hồng Nhung) - M.Long"/>
    <x v="1"/>
    <n v="2023"/>
    <n v="-2340800"/>
    <n v="-1.0765268579838116"/>
    <n v="41833.333333333336"/>
    <n v="40"/>
  </r>
  <r>
    <n v="356"/>
    <s v="HTBTE502"/>
    <s v="Bánh gạo TE Happy Bites Chuối 50g x 12 hộp"/>
    <s v="Hộp"/>
    <n v="2174400"/>
    <n v="8"/>
    <n v="48"/>
    <n v="2008000"/>
    <n v="-166400"/>
    <d v="2023-10-14T00:00:00"/>
    <s v="Mẹ &amp; Bé (Hồng Nhung) - M.Long"/>
    <x v="1"/>
    <n v="2023"/>
    <n v="-2340800"/>
    <n v="-1.0765268579838116"/>
    <n v="41833.333333333336"/>
    <n v="40"/>
  </r>
  <r>
    <n v="357"/>
    <s v="TT01"/>
    <s v="Thanh toán lần 1"/>
    <s v="VNĐ"/>
    <n v="0"/>
    <n v="0"/>
    <n v="0"/>
    <n v="-7878000"/>
    <n v="-7878000"/>
    <d v="2023-10-14T00:00:00"/>
    <s v="Mẹ &amp; Bé (Hồng Nhung) - M.Long"/>
    <x v="1"/>
    <n v="2023"/>
    <n v="-7878000"/>
    <n v="0"/>
    <n v="0"/>
    <n v="0"/>
  </r>
  <r>
    <n v="358"/>
    <s v="NV102"/>
    <s v="Núm vú cổ rộng size M"/>
    <s v="Hộp"/>
    <n v="0"/>
    <n v="0"/>
    <n v="0"/>
    <n v="0"/>
    <n v="0"/>
    <d v="2023-10-14T00:00:00"/>
    <s v="Thế Giới Con Cưng - HCL"/>
    <x v="1"/>
    <n v="2023"/>
    <n v="0"/>
    <n v="0"/>
    <n v="0"/>
    <n v="0"/>
  </r>
  <r>
    <n v="359"/>
    <s v="NV103"/>
    <s v="Núm vú cổ rộng size L"/>
    <s v="Hộp"/>
    <n v="240000"/>
    <n v="0"/>
    <n v="1"/>
    <n v="240000"/>
    <n v="0"/>
    <d v="2023-10-14T00:00:00"/>
    <s v="Thế Giới Con Cưng - HCL"/>
    <x v="1"/>
    <n v="2023"/>
    <n v="-240000"/>
    <n v="-1"/>
    <n v="240000"/>
    <n v="1"/>
  </r>
  <r>
    <n v="360"/>
    <s v="TNS1"/>
    <s v="Tẩy toilet Nam Sơn NK 100% 1L x 12 chai"/>
    <s v="Chai"/>
    <n v="190008"/>
    <n v="0"/>
    <n v="12"/>
    <n v="312000"/>
    <n v="121992"/>
    <d v="2023-10-14T00:00:00"/>
    <s v="9 Tiến - M.Trắng"/>
    <x v="1"/>
    <n v="2023"/>
    <n v="-68016"/>
    <n v="-0.35796387520525452"/>
    <n v="26000"/>
    <n v="12"/>
  </r>
  <r>
    <n v="361"/>
    <s v="GC101"/>
    <s v="GVS TiOne 10 cuộn xanh x 10 cây"/>
    <s v="Cây"/>
    <n v="110000"/>
    <n v="0"/>
    <n v="10"/>
    <n v="170000"/>
    <n v="60000"/>
    <d v="2023-10-14T00:00:00"/>
    <s v="4 Xinh - M.Trắng"/>
    <x v="1"/>
    <n v="2023"/>
    <n v="-50000"/>
    <n v="-0.45454545454545453"/>
    <n v="17000"/>
    <n v="10"/>
  </r>
  <r>
    <n v="362"/>
    <s v="GC606"/>
    <s v="GVS TiOne Gấu 6 cuộn x 12 cây"/>
    <s v="Cây"/>
    <n v="310008"/>
    <n v="0"/>
    <n v="12"/>
    <n v="384000"/>
    <n v="73992"/>
    <d v="2023-10-14T00:00:00"/>
    <s v="4 Xinh - M.Trắng"/>
    <x v="1"/>
    <n v="2023"/>
    <n v="-236016"/>
    <n v="-0.76132228845707206"/>
    <n v="32000"/>
    <n v="12"/>
  </r>
  <r>
    <n v="363"/>
    <s v="KV320"/>
    <s v="Khăn Napkin Fairy 320 x 100 tờ x 48 gói"/>
    <s v="Gói"/>
    <n v="528000"/>
    <n v="0"/>
    <n v="48"/>
    <n v="480000"/>
    <n v="-48000"/>
    <d v="2023-10-14T00:00:00"/>
    <s v="4 Xinh - M.Trắng"/>
    <x v="1"/>
    <n v="2023"/>
    <n v="-576000"/>
    <n v="-1.0909090909090908"/>
    <n v="10000"/>
    <n v="48"/>
  </r>
  <r>
    <n v="364"/>
    <s v="BCTENEKO1"/>
    <s v="BÀN CHẢI ĐÁNH RĂNG TE ION - NEKO plus"/>
    <s v="Cây"/>
    <n v="500000"/>
    <n v="4"/>
    <n v="10"/>
    <n v="358000"/>
    <n v="-142000"/>
    <d v="2023-10-14T00:00:00"/>
    <s v="Mẹ &amp; Bé ( Mẹ Yêu Con) - M.Hiệp"/>
    <x v="1"/>
    <n v="2023"/>
    <n v="-642000"/>
    <n v="-1.284"/>
    <n v="35800"/>
    <n v="6"/>
  </r>
  <r>
    <n v="365"/>
    <s v="XM6007"/>
    <s v="Xịt muỗi 600ml x 30 chai"/>
    <s v="Chai"/>
    <n v="540000"/>
    <n v="0"/>
    <n v="30"/>
    <n v="630000"/>
    <n v="90000"/>
    <d v="2023-10-14T00:00:00"/>
    <s v="Tuấn Kiệt - M.Long"/>
    <x v="1"/>
    <n v="2023"/>
    <n v="-450000"/>
    <n v="-0.83333333333333337"/>
    <n v="21000"/>
    <n v="30"/>
  </r>
  <r>
    <n v="366"/>
    <s v="HM610"/>
    <s v="Yến sào Finenest CĐ đỏ x 6 hộp"/>
    <s v="Hộp"/>
    <n v="600000"/>
    <n v="6"/>
    <n v="6"/>
    <n v="654000"/>
    <n v="54000"/>
    <d v="2023-10-14T00:00:00"/>
    <s v="TH Ngân (chị Ngân) - T.H.Trung"/>
    <x v="1"/>
    <n v="2023"/>
    <n v="-546000"/>
    <n v="-0.91"/>
    <n v="109000"/>
    <n v="0"/>
  </r>
  <r>
    <n v="367"/>
    <s v="HM608"/>
    <s v="Yến sào Seunest CĐ vàng x 6 hộp"/>
    <s v="Hộp"/>
    <n v="400000"/>
    <n v="0"/>
    <n v="4"/>
    <n v="540000"/>
    <n v="140000"/>
    <d v="2023-10-17T00:00:00"/>
    <s v="TH Trương Vy - A.Bình 2"/>
    <x v="1"/>
    <n v="2023"/>
    <n v="-260000"/>
    <n v="-0.65"/>
    <n v="135000"/>
    <n v="4"/>
  </r>
  <r>
    <n v="368"/>
    <s v="KV1002"/>
    <s v="Khăn Napkin TiOne nâu 100 tờ x 30 gói"/>
    <s v="Gói"/>
    <n v="1296000"/>
    <n v="0"/>
    <n v="180"/>
    <n v="1692000"/>
    <n v="396000"/>
    <d v="2023-10-20T00:00:00"/>
    <s v="Căn tin BV Phổi( Chị Duyên) - BV phổi"/>
    <x v="1"/>
    <n v="2023"/>
    <n v="-900000"/>
    <n v="-0.69444444444444442"/>
    <n v="9400"/>
    <n v="180"/>
  </r>
  <r>
    <n v="369"/>
    <s v="GC10"/>
    <s v="V/S Bibi không lõi x 10 dây"/>
    <s v="Dây"/>
    <n v="130000"/>
    <n v="0"/>
    <n v="5"/>
    <n v="120000"/>
    <n v="-10000"/>
    <d v="2023-10-20T00:00:00"/>
    <s v="MP Út Tuyền - B.Sao"/>
    <x v="1"/>
    <n v="2023"/>
    <n v="-140000"/>
    <n v="-1.0769230769230769"/>
    <n v="24000"/>
    <n v="5"/>
  </r>
  <r>
    <n v="370"/>
    <s v="GC1023"/>
    <s v="V/S Bibi có lõi x 10 dây"/>
    <s v="Dây"/>
    <n v="122500"/>
    <n v="0"/>
    <n v="5"/>
    <n v="120000"/>
    <n v="-2500"/>
    <d v="2023-10-20T00:00:00"/>
    <s v="MP Út Tuyền - B.Sao"/>
    <x v="1"/>
    <n v="2023"/>
    <n v="-125000"/>
    <n v="-1.0204081632653061"/>
    <n v="24000"/>
    <n v="5"/>
  </r>
  <r>
    <n v="371"/>
    <s v="GC603"/>
    <s v="GVS Ruby Gold 6 cuộn (không lõi) x 12 cây"/>
    <s v="Cây"/>
    <n v="150000"/>
    <n v="0"/>
    <n v="6"/>
    <n v="222000"/>
    <n v="72000"/>
    <d v="2023-10-20T00:00:00"/>
    <s v="MP Út Tuyền - B.Sao"/>
    <x v="1"/>
    <n v="2023"/>
    <n v="-78000"/>
    <n v="-0.52"/>
    <n v="37000"/>
    <n v="6"/>
  </r>
  <r>
    <n v="372"/>
    <s v="GC606"/>
    <s v="GVS TiOne Gấu 6 cuộn x 12 cây"/>
    <s v="Cây"/>
    <n v="155004"/>
    <n v="1"/>
    <n v="6"/>
    <n v="191000"/>
    <n v="35996"/>
    <d v="2023-10-20T00:00:00"/>
    <s v="MP Út Tuyền - B.Sao"/>
    <x v="1"/>
    <n v="2023"/>
    <n v="-119008"/>
    <n v="-0.76777373487135814"/>
    <n v="31833.333333333332"/>
    <n v="5"/>
  </r>
  <r>
    <n v="373"/>
    <s v="KU250"/>
    <s v="Khăn ướt TE Villa 250g x 30 gói"/>
    <s v="Gói"/>
    <n v="231000"/>
    <n v="0"/>
    <n v="30"/>
    <n v="300000"/>
    <n v="69000"/>
    <d v="2023-10-20T00:00:00"/>
    <s v="MP Út Tuyền - B.Sao"/>
    <x v="1"/>
    <n v="2023"/>
    <n v="-162000"/>
    <n v="-0.70129870129870131"/>
    <n v="10000"/>
    <n v="30"/>
  </r>
  <r>
    <n v="374"/>
    <s v="KU801"/>
    <s v="Khăn ướt Baby (đỏ) 80g x 50 gói"/>
    <s v="Gói"/>
    <n v="120000"/>
    <n v="0"/>
    <n v="30"/>
    <n v="180000"/>
    <n v="60000"/>
    <d v="2023-10-21T00:00:00"/>
    <s v="Cô Triết - T.H.Trung"/>
    <x v="1"/>
    <n v="2023"/>
    <n v="-60000"/>
    <n v="-0.5"/>
    <n v="6000"/>
    <n v="30"/>
  </r>
  <r>
    <n v="375"/>
    <s v="KV100"/>
    <s v="Khăn Napkin Toply 100 tờ x 48 gói"/>
    <s v="Gói"/>
    <n v="172800"/>
    <n v="0"/>
    <n v="24"/>
    <n v="288000"/>
    <n v="115200"/>
    <d v="2023-10-21T00:00:00"/>
    <s v="Cô Triết - T.H.Trung"/>
    <x v="1"/>
    <n v="2023"/>
    <n v="-57600"/>
    <n v="-0.33333333333333331"/>
    <n v="12000"/>
    <n v="24"/>
  </r>
  <r>
    <n v="376"/>
    <s v="KV320"/>
    <s v="Khăn Napkin Fairy 320 x 100 tờ x 48 gói"/>
    <s v="Gói"/>
    <n v="0"/>
    <n v="3"/>
    <n v="0"/>
    <n v="-30000"/>
    <n v="-30000"/>
    <d v="2023-10-21T00:00:00"/>
    <s v="Cô Triết - T.H.Trung"/>
    <x v="1"/>
    <n v="2023"/>
    <n v="-30000"/>
    <n v="0"/>
    <n v="0"/>
    <n v="-3"/>
  </r>
  <r>
    <n v="377"/>
    <s v="GC600"/>
    <s v="GVS TiOne cuộn CN 600gr x 10 cuộn"/>
    <s v="Cuộn"/>
    <n v="210000"/>
    <n v="0"/>
    <n v="10"/>
    <n v="320000"/>
    <n v="110000"/>
    <d v="2023-10-21T00:00:00"/>
    <s v="Tuyết Lan - B.H.Tây"/>
    <x v="1"/>
    <n v="2023"/>
    <n v="-100000"/>
    <n v="-0.47619047619047616"/>
    <n v="32000"/>
    <n v="10"/>
  </r>
  <r>
    <n v="378"/>
    <s v="NRC38001"/>
    <s v="NRC KIMONO 3,6kg x 4 bình"/>
    <s v="Bình"/>
    <n v="0"/>
    <n v="0"/>
    <n v="0"/>
    <n v="-180000"/>
    <n v="-180000"/>
    <d v="2023-10-21T00:00:00"/>
    <s v="Tuyết Lan - B.H.Tây"/>
    <x v="1"/>
    <n v="2023"/>
    <n v="-180000"/>
    <n v="0"/>
    <n v="0"/>
    <n v="0"/>
  </r>
  <r>
    <n v="379"/>
    <s v="KTN2001"/>
    <s v="Kẹo Trang Nghiêm ME CAM THẢO 200gr x 50 gói/thùng"/>
    <s v="Gói"/>
    <n v="61000"/>
    <n v="0"/>
    <n v="5"/>
    <n v="65000"/>
    <n v="4000"/>
    <d v="2023-10-21T00:00:00"/>
    <s v="TT Kim Thoa - M.Long"/>
    <x v="1"/>
    <n v="2023"/>
    <n v="-57000"/>
    <n v="-0.93442622950819676"/>
    <n v="13000"/>
    <n v="5"/>
  </r>
  <r>
    <n v="380"/>
    <s v="KTN2002"/>
    <s v="Kẹo Trang Nghiêm DÂU TÂY 200gr x 50 gói/thùng"/>
    <s v="Gói"/>
    <n v="73200"/>
    <n v="0"/>
    <n v="6"/>
    <n v="78000"/>
    <n v="4800"/>
    <d v="2023-10-21T00:00:00"/>
    <s v="TT Kim Thoa - M.Long"/>
    <x v="1"/>
    <n v="2023"/>
    <n v="-68400"/>
    <n v="-0.93442622950819676"/>
    <n v="13000"/>
    <n v="6"/>
  </r>
  <r>
    <n v="381"/>
    <s v="KTN2003"/>
    <s v="Kẹo Trang Nghiêm DÂU TẰM 200gr x 50 gói/thùng"/>
    <s v="Gói"/>
    <n v="61000"/>
    <n v="0"/>
    <n v="5"/>
    <n v="65000"/>
    <n v="4000"/>
    <d v="2023-10-21T00:00:00"/>
    <s v="TT Kim Thoa - M.Long"/>
    <x v="1"/>
    <n v="2023"/>
    <n v="-57000"/>
    <n v="-0.93442622950819676"/>
    <n v="13000"/>
    <n v="5"/>
  </r>
  <r>
    <n v="382"/>
    <s v="KTN2004"/>
    <s v="Kẹo Trang Nghiêm ME ỚT 200gr x 50 gói/thùng"/>
    <s v="Gói"/>
    <n v="61000"/>
    <n v="0"/>
    <n v="5"/>
    <n v="65000"/>
    <n v="4000"/>
    <d v="2023-10-21T00:00:00"/>
    <s v="TT Kim Thoa - M.Long"/>
    <x v="1"/>
    <n v="2023"/>
    <n v="-57000"/>
    <n v="-0.93442622950819676"/>
    <n v="13000"/>
    <n v="5"/>
  </r>
  <r>
    <n v="383"/>
    <s v="A1K15"/>
    <s v="Kẹo bạc hà (chanh muối) Himalaya 15g x 12 gói x 12 hộp"/>
    <s v="Hộp"/>
    <n v="362268"/>
    <n v="0"/>
    <n v="6"/>
    <n v="312000"/>
    <n v="-50268"/>
    <d v="2023-10-21T00:00:00"/>
    <s v="TT Ngọc Trinh - B.H.Trung"/>
    <x v="1"/>
    <n v="2023"/>
    <n v="-412536"/>
    <n v="-1.138759150684024"/>
    <n v="52000"/>
    <n v="6"/>
  </r>
  <r>
    <n v="384"/>
    <s v="KV100"/>
    <s v="Khăn Napkin Toply 100 tờ x 48 gói"/>
    <s v="Gói"/>
    <n v="345600"/>
    <n v="0"/>
    <n v="48"/>
    <n v="518400"/>
    <n v="172800"/>
    <d v="2023-10-21T00:00:00"/>
    <s v="Xuân Bình - M.Hiệp"/>
    <x v="1"/>
    <n v="2023"/>
    <n v="-172800"/>
    <n v="-0.5"/>
    <n v="10800"/>
    <n v="48"/>
  </r>
  <r>
    <n v="385"/>
    <s v="KV320"/>
    <s v="Khăn Napkin Fairy 320 x 100 tờ x 48 gói"/>
    <s v="Gói"/>
    <n v="1056000"/>
    <n v="0"/>
    <n v="96"/>
    <n v="960000"/>
    <n v="-96000"/>
    <d v="2023-10-21T00:00:00"/>
    <s v="Xuân Bình - M.Hiệp"/>
    <x v="1"/>
    <n v="2023"/>
    <n v="-1152000"/>
    <n v="-1.0909090909090908"/>
    <n v="10000"/>
    <n v="96"/>
  </r>
  <r>
    <n v="386"/>
    <s v="TLM"/>
    <s v="Tẩy toilet Liên Minh (nguyên liệu nhập khẩu) x 12 chai"/>
    <s v="Chai"/>
    <n v="320016"/>
    <n v="0"/>
    <n v="24"/>
    <n v="440016"/>
    <n v="120000"/>
    <d v="2023-10-21T00:00:00"/>
    <s v="Xuân Bình - M.Hiệp"/>
    <x v="1"/>
    <n v="2023"/>
    <n v="-200016"/>
    <n v="-0.62501874906254684"/>
    <n v="18334"/>
    <n v="24"/>
  </r>
  <r>
    <n v="387"/>
    <s v="KU801"/>
    <s v="Khăn ướt Baby (đỏ) 80g x 50 gói"/>
    <s v="Gói"/>
    <n v="200000"/>
    <n v="0"/>
    <n v="50"/>
    <n v="300000"/>
    <n v="100000"/>
    <d v="2023-10-21T00:00:00"/>
    <s v="TT Đông Nguyên - M.Long"/>
    <x v="1"/>
    <n v="2023"/>
    <n v="-100000"/>
    <n v="-0.5"/>
    <n v="6000"/>
    <n v="50"/>
  </r>
  <r>
    <n v="388"/>
    <s v="HM607"/>
    <s v="Yến sào Seunest KĐ xanh x 6 hộp"/>
    <s v="Hộp"/>
    <n v="0"/>
    <n v="3"/>
    <n v="0"/>
    <n v="-327000"/>
    <n v="-327000"/>
    <d v="2023-10-21T00:00:00"/>
    <s v="TT Nguyễn Thị Định - M.Xương"/>
    <x v="1"/>
    <n v="2023"/>
    <n v="-327000"/>
    <n v="0"/>
    <n v="0"/>
    <n v="-3"/>
  </r>
  <r>
    <n v="389"/>
    <s v="HM608"/>
    <s v="Yến sào Seunest CĐ vàng x 6 hộp"/>
    <s v="Hộp"/>
    <n v="300000"/>
    <n v="0"/>
    <n v="3"/>
    <n v="654000"/>
    <n v="354000"/>
    <d v="2023-10-21T00:00:00"/>
    <s v="TT Nguyễn Thị Định - M.Xương"/>
    <x v="1"/>
    <n v="2023"/>
    <n v="54000"/>
    <n v="0.18"/>
    <n v="218000"/>
    <n v="3"/>
  </r>
  <r>
    <n v="390"/>
    <s v="KV1001"/>
    <s v="Khăn Napkin Ruby Gold 100 tờ x 30 gói"/>
    <s v="Gói"/>
    <n v="225000"/>
    <n v="8"/>
    <n v="30"/>
    <n v="261000"/>
    <n v="36000"/>
    <d v="2023-10-21T00:00:00"/>
    <s v="TT Nguyễn Thị Định - M.Xương"/>
    <x v="1"/>
    <n v="2023"/>
    <n v="-189000"/>
    <n v="-0.84"/>
    <n v="8700"/>
    <n v="22"/>
  </r>
  <r>
    <n v="391"/>
    <s v="NG3600"/>
    <s v="Nước giặt Kimono 6 in 1 (tím) x 3,6kg x 4 bình"/>
    <s v="Bình"/>
    <n v="0"/>
    <n v="1"/>
    <n v="0"/>
    <n v="-130000"/>
    <n v="-130000"/>
    <d v="2023-10-21T00:00:00"/>
    <s v="TT Nguyễn Thị Định - M.Xương"/>
    <x v="1"/>
    <n v="2023"/>
    <n v="-130000"/>
    <n v="0"/>
    <n v="0"/>
    <n v="-1"/>
  </r>
  <r>
    <n v="392"/>
    <s v="NG36002"/>
    <s v="Nước giặt Kimono 6 in 1 (đen) x 3,6kg x 4 bình"/>
    <s v="Bình"/>
    <n v="182500"/>
    <n v="0"/>
    <n v="2"/>
    <n v="390000"/>
    <n v="207500"/>
    <d v="2023-10-21T00:00:00"/>
    <s v="TT Nguyễn Thị Định - M.Xương"/>
    <x v="1"/>
    <n v="2023"/>
    <n v="25000"/>
    <n v="0.13698630136986301"/>
    <n v="195000"/>
    <n v="2"/>
  </r>
  <r>
    <n v="393"/>
    <s v="KDR002"/>
    <s v="Kem đánh răng AquaStar TE cam x 60 hộp"/>
    <s v="Hộp"/>
    <n v="79998"/>
    <n v="1"/>
    <n v="6"/>
    <n v="83000"/>
    <n v="3002"/>
    <d v="2023-10-21T00:00:00"/>
    <s v="TT Kim Dung - M.Hiệp"/>
    <x v="1"/>
    <n v="2023"/>
    <n v="-76996"/>
    <n v="-0.96247406185154627"/>
    <n v="13833.333333333334"/>
    <n v="5"/>
  </r>
  <r>
    <n v="394"/>
    <s v="KDR003"/>
    <s v="Kem đánh răng AquaStar TE dâu x 60 hộp"/>
    <s v="Hộp"/>
    <n v="79998"/>
    <n v="1"/>
    <n v="6"/>
    <n v="83000"/>
    <n v="3002"/>
    <d v="2023-10-21T00:00:00"/>
    <s v="TT Kim Dung - M.Hiệp"/>
    <x v="1"/>
    <n v="2023"/>
    <n v="-76996"/>
    <n v="-0.96247406185154627"/>
    <n v="13833.333333333334"/>
    <n v="5"/>
  </r>
  <r>
    <n v="395"/>
    <s v="KV1002"/>
    <s v="Khăn Napkin TiOne nâu 100 tờ x 30 gói"/>
    <s v="Gói"/>
    <n v="216000"/>
    <n v="3"/>
    <n v="30"/>
    <n v="300000"/>
    <n v="84000"/>
    <d v="2023-10-21T00:00:00"/>
    <s v="TT Kim Dung - M.Hiệp"/>
    <x v="1"/>
    <n v="2023"/>
    <n v="-132000"/>
    <n v="-0.61111111111111116"/>
    <n v="10000"/>
    <n v="27"/>
  </r>
  <r>
    <n v="396"/>
    <s v="KV501"/>
    <s v="Khăn ăn Cocktail Paseo 50 tờ 2 lớp x 60 gói"/>
    <s v="Gói"/>
    <n v="37585"/>
    <n v="0"/>
    <n v="5"/>
    <n v="30000"/>
    <n v="-7585"/>
    <d v="2023-10-21T00:00:00"/>
    <s v="TT Kim Dung - M.Hiệp"/>
    <x v="1"/>
    <n v="2023"/>
    <n v="-45170"/>
    <n v="-1.2018092324065452"/>
    <n v="6000"/>
    <n v="5"/>
  </r>
  <r>
    <n v="397"/>
    <s v="KVK300"/>
    <s v="Khăn vải khô đa năng 300g x 30 gói"/>
    <s v="Gói"/>
    <n v="115000"/>
    <n v="0"/>
    <n v="5"/>
    <n v="165000"/>
    <n v="50000"/>
    <d v="2023-10-21T00:00:00"/>
    <s v="TT Kim Dung - M.Hiệp"/>
    <x v="1"/>
    <n v="2023"/>
    <n v="-65000"/>
    <n v="-0.56521739130434778"/>
    <n v="33000"/>
    <n v="5"/>
  </r>
  <r>
    <n v="398"/>
    <s v="GC10"/>
    <s v="V/S Bibi không lõi x 10 dây"/>
    <s v="Dây"/>
    <n v="260000"/>
    <n v="0"/>
    <n v="10"/>
    <n v="250000"/>
    <n v="-10000"/>
    <d v="2023-10-21T00:00:00"/>
    <s v="Tuyết Lài ( Chị Lài) - B.H.Trung"/>
    <x v="1"/>
    <n v="2023"/>
    <n v="-270000"/>
    <n v="-1.0384615384615385"/>
    <n v="25000"/>
    <n v="10"/>
  </r>
  <r>
    <n v="399"/>
    <s v="HM608"/>
    <s v="Yến sào Seunest CĐ vàng x 6 hộp"/>
    <s v="Hộp"/>
    <n v="200000"/>
    <n v="0"/>
    <n v="2"/>
    <n v="260000"/>
    <n v="60000"/>
    <d v="2023-10-21T00:00:00"/>
    <s v="Tuyết Lài ( Chị Lài) - B.H.Trung"/>
    <x v="1"/>
    <n v="2023"/>
    <n v="-140000"/>
    <n v="-0.7"/>
    <n v="130000"/>
    <n v="2"/>
  </r>
  <r>
    <n v="400"/>
    <s v="KV1001"/>
    <s v="Khăn Napkin Ruby Gold 100 tờ x 30 gói"/>
    <s v="Gói"/>
    <n v="225000"/>
    <n v="0"/>
    <n v="30"/>
    <n v="330000"/>
    <n v="105000"/>
    <d v="2023-10-21T00:00:00"/>
    <s v="Tuyết Lài ( Chị Lài) - B.H.Trung"/>
    <x v="1"/>
    <n v="2023"/>
    <n v="-120000"/>
    <n v="-0.53333333333333333"/>
    <n v="11000"/>
    <n v="30"/>
  </r>
  <r>
    <n v="401"/>
    <s v="KV1002"/>
    <s v="Khăn Napkin TiOne nâu 100 tờ x 30 gói"/>
    <s v="Gói"/>
    <n v="0"/>
    <n v="8"/>
    <n v="0"/>
    <n v="-80000"/>
    <n v="-80000"/>
    <d v="2023-10-21T00:00:00"/>
    <s v="Tuyết Lài ( Chị Lài) - B.H.Trung"/>
    <x v="1"/>
    <n v="2023"/>
    <n v="-80000"/>
    <n v="0"/>
    <n v="0"/>
    <n v="-8"/>
  </r>
  <r>
    <n v="402"/>
    <s v="TNS1"/>
    <s v="Tẩy toilet Nam Sơn NK 100% 1L x 12 chai"/>
    <s v="Chai"/>
    <n v="190008"/>
    <n v="0"/>
    <n v="12"/>
    <n v="312000"/>
    <n v="121992"/>
    <d v="2023-10-21T00:00:00"/>
    <s v="Tuyết Lài ( Chị Lài) - B.H.Trung"/>
    <x v="1"/>
    <n v="2023"/>
    <n v="-68016"/>
    <n v="-0.35796387520525452"/>
    <n v="26000"/>
    <n v="12"/>
  </r>
  <r>
    <n v="403"/>
    <s v="HTBTE50"/>
    <s v="Bánh gạo TE Happy Bites Việt Quất 50g x 12 hộp"/>
    <s v="Hộp"/>
    <n v="135900"/>
    <n v="4"/>
    <n v="3"/>
    <n v="-25000"/>
    <n v="-160900"/>
    <d v="2023-10-21T00:00:00"/>
    <s v="Mẹ &amp; Bé ( Mẹ Yêu Con) - M.Hiệp"/>
    <x v="1"/>
    <n v="2023"/>
    <n v="-296800"/>
    <n v="-2.1839587932303166"/>
    <n v="-8333.3333333333339"/>
    <n v="-1"/>
  </r>
  <r>
    <n v="404"/>
    <s v="HTBTE501"/>
    <s v="Bánh gạo TE Happy Bites Táo 50g x 12 hộp"/>
    <s v="Hộp"/>
    <n v="317100"/>
    <n v="0"/>
    <n v="7"/>
    <n v="343000"/>
    <n v="25900"/>
    <d v="2023-10-21T00:00:00"/>
    <s v="Mẹ &amp; Bé ( Mẹ Yêu Con) - M.Hiệp"/>
    <x v="1"/>
    <n v="2023"/>
    <n v="-291200"/>
    <n v="-0.91832229580573954"/>
    <n v="49000"/>
    <n v="7"/>
  </r>
  <r>
    <n v="405"/>
    <s v="HTBTE502"/>
    <s v="Bánh gạo TE Happy Bites Chuối 50g x 12 hộp"/>
    <s v="Hộp"/>
    <n v="634200"/>
    <n v="0"/>
    <n v="14"/>
    <n v="686000"/>
    <n v="51800"/>
    <d v="2023-10-21T00:00:00"/>
    <s v="Mẹ &amp; Bé ( Mẹ Yêu Con) - M.Hiệp"/>
    <x v="1"/>
    <n v="2023"/>
    <n v="-582400"/>
    <n v="-0.91832229580573954"/>
    <n v="49000"/>
    <n v="14"/>
  </r>
  <r>
    <n v="406"/>
    <s v="BG3500"/>
    <s v="Bột giặt Lady 107 - 3,5kg x 4 gói/thùng"/>
    <s v="Gói"/>
    <n v="331520"/>
    <n v="0"/>
    <n v="4"/>
    <n v="408000"/>
    <n v="76480"/>
    <d v="2023-10-21T00:00:00"/>
    <s v="Tuấn Kiệt - M.Long"/>
    <x v="1"/>
    <n v="2023"/>
    <n v="-255040"/>
    <n v="-0.76930501930501927"/>
    <n v="102000"/>
    <n v="4"/>
  </r>
  <r>
    <n v="407"/>
    <s v="KU203"/>
    <s v="Khăn ướt TiOne 20g x 100 gói"/>
    <s v="Gói"/>
    <n v="50000"/>
    <n v="0"/>
    <n v="20"/>
    <n v="80000"/>
    <n v="30000"/>
    <d v="2023-10-21T00:00:00"/>
    <s v="Tuấn Kiệt - M.Long"/>
    <x v="1"/>
    <n v="2023"/>
    <n v="-20000"/>
    <n v="-0.4"/>
    <n v="4000"/>
    <n v="20"/>
  </r>
  <r>
    <n v="408"/>
    <s v="HM610"/>
    <s v="Yến sào Finenest CĐ đỏ x 6 hộp"/>
    <s v="Hộp"/>
    <n v="600000"/>
    <n v="6"/>
    <n v="6"/>
    <n v="654000"/>
    <n v="54000"/>
    <d v="2023-10-21T00:00:00"/>
    <s v="TH Ngân (chị Ngân) - T.H.Trung"/>
    <x v="1"/>
    <n v="2023"/>
    <n v="-546000"/>
    <n v="-0.91"/>
    <n v="109000"/>
    <n v="0"/>
  </r>
  <r>
    <n v="409"/>
    <s v="KV1009"/>
    <s v="Khăn Napkin TiOne Gấu 100 tờ x 48 gói"/>
    <s v="Gói"/>
    <n v="288000"/>
    <n v="0"/>
    <n v="48"/>
    <n v="360000"/>
    <n v="72000"/>
    <d v="2023-10-21T00:00:00"/>
    <s v="Chị Tuyết - HCL (N.Mỹ)"/>
    <x v="1"/>
    <n v="2023"/>
    <n v="-216000"/>
    <n v="-0.75"/>
    <n v="7500"/>
    <n v="48"/>
  </r>
  <r>
    <n v="410"/>
    <s v="KV1011"/>
    <s v="Khăn Napkin EMos x 30 gói"/>
    <s v="Gói"/>
    <n v="200010"/>
    <n v="0"/>
    <n v="30"/>
    <n v="225000"/>
    <n v="24990"/>
    <d v="2023-10-21T00:00:00"/>
    <s v="Chị Tuyết - HCL (N.Mỹ)"/>
    <x v="1"/>
    <n v="2023"/>
    <n v="-175020"/>
    <n v="-0.87505624718764063"/>
    <n v="7500"/>
    <n v="30"/>
  </r>
  <r>
    <n v="411"/>
    <s v="HM10"/>
    <s v="Yến sào Finenest nhân sâm x 10 hộp"/>
    <s v="Hộp"/>
    <n v="0"/>
    <n v="3"/>
    <n v="0"/>
    <n v="-327000"/>
    <n v="-327000"/>
    <d v="2023-10-21T00:00:00"/>
    <s v="Cô 7 - X.Quýt"/>
    <x v="1"/>
    <n v="2023"/>
    <n v="-327000"/>
    <n v="0"/>
    <n v="0"/>
    <n v="-3"/>
  </r>
  <r>
    <n v="412"/>
    <s v="HM608"/>
    <s v="Yến sào Seunest CĐ vàng x 6 hộp"/>
    <s v="Hộp"/>
    <n v="300000"/>
    <n v="0"/>
    <n v="3"/>
    <n v="654000"/>
    <n v="354000"/>
    <d v="2023-10-21T00:00:00"/>
    <s v="Cô 7 - X.Quýt"/>
    <x v="1"/>
    <n v="2023"/>
    <n v="54000"/>
    <n v="0.18"/>
    <n v="218000"/>
    <n v="3"/>
  </r>
  <r>
    <n v="413"/>
    <s v="KDL01"/>
    <s v="Khăn giấy bỏ túi Paseo 9 tờ x 6 gói/cây x 40 cây"/>
    <s v="Cây"/>
    <n v="0"/>
    <n v="0"/>
    <n v="0"/>
    <n v="0"/>
    <n v="0"/>
    <d v="2023-10-23T00:00:00"/>
    <s v="Chị Nga - HCL"/>
    <x v="1"/>
    <n v="2023"/>
    <n v="0"/>
    <n v="0"/>
    <n v="0"/>
    <n v="0"/>
  </r>
  <r>
    <n v="414"/>
    <s v="BT002"/>
    <s v="Bông tắm có mút cao cấp x 12 cái"/>
    <s v="Cái"/>
    <n v="693000"/>
    <n v="5"/>
    <n v="44"/>
    <n v="792000"/>
    <n v="99000"/>
    <d v="2023-10-26T00:00:00"/>
    <s v="Thông Thảo - P.Mỹ (QL30)"/>
    <x v="1"/>
    <n v="2023"/>
    <n v="-594000"/>
    <n v="-0.8571428571428571"/>
    <n v="18000"/>
    <n v="39"/>
  </r>
  <r>
    <n v="415"/>
    <s v="NV102"/>
    <s v="Núm vú cổ rộng size M"/>
    <s v="Hộp"/>
    <n v="240000"/>
    <n v="0"/>
    <n v="1"/>
    <n v="250000"/>
    <n v="10000"/>
    <d v="2023-10-26T00:00:00"/>
    <s v="Hồng Hạnh - P.Mỹ (cầu Trâu Trắng)"/>
    <x v="1"/>
    <n v="2023"/>
    <n v="-230000"/>
    <n v="-0.95833333333333337"/>
    <n v="250000"/>
    <n v="1"/>
  </r>
  <r>
    <n v="416"/>
    <s v="TNS1"/>
    <s v="Tẩy toilet Nam Sơn NK 100% 1L x 12 chai"/>
    <s v="Chai"/>
    <n v="950040"/>
    <n v="12"/>
    <n v="60"/>
    <n v="1325000"/>
    <n v="374960"/>
    <d v="2023-10-26T00:00:00"/>
    <s v="Hồng Hạnh - P.Mỹ (cầu Trâu Trắng)"/>
    <x v="1"/>
    <n v="2023"/>
    <n v="-575080"/>
    <n v="-0.60532188118395014"/>
    <n v="22083.333333333332"/>
    <n v="48"/>
  </r>
  <r>
    <n v="417"/>
    <s v="CG50"/>
    <s v="Chân gà cay ăn liền ZL FOOD loại 50g x 30 x 7 túi"/>
    <s v="Cái"/>
    <n v="55000"/>
    <n v="0"/>
    <n v="10"/>
    <n v="60000"/>
    <n v="5000"/>
    <d v="2023-10-26T00:00:00"/>
    <s v="Lê Đà - Ngã 4"/>
    <x v="1"/>
    <n v="2023"/>
    <n v="-50000"/>
    <n v="-0.90909090909090906"/>
    <n v="6000"/>
    <n v="10"/>
  </r>
  <r>
    <n v="418"/>
    <s v="CG501"/>
    <s v="Chân gà cay ăn liền ZL FOOD Acao 50g x 30 x 7 túi"/>
    <s v="Cái"/>
    <n v="110000"/>
    <n v="0"/>
    <n v="20"/>
    <n v="120000"/>
    <n v="10000"/>
    <d v="2023-10-26T00:00:00"/>
    <s v="Lê Đà - Ngã 4"/>
    <x v="1"/>
    <n v="2023"/>
    <n v="-100000"/>
    <n v="-0.90909090909090906"/>
    <n v="6000"/>
    <n v="20"/>
  </r>
  <r>
    <n v="419"/>
    <s v="KTN802"/>
    <s v="Kẹo Trang Nghiêm ME ỚT 80gr x 100 gói/thùng"/>
    <s v="Gói"/>
    <n v="52500"/>
    <n v="0"/>
    <n v="10"/>
    <n v="70000"/>
    <n v="17500"/>
    <d v="2023-10-26T00:00:00"/>
    <s v="Lê Đà - Ngã 4"/>
    <x v="1"/>
    <n v="2023"/>
    <n v="-35000"/>
    <n v="-0.66666666666666663"/>
    <n v="7000"/>
    <n v="10"/>
  </r>
  <r>
    <n v="420"/>
    <s v="CG50"/>
    <s v="Chân gà cay ăn liền ZL FOOD loại 50g x 30 x 7 túi"/>
    <s v="Cái"/>
    <n v="165000"/>
    <n v="0"/>
    <n v="30"/>
    <n v="180000"/>
    <n v="15000"/>
    <d v="2023-10-26T00:00:00"/>
    <s v="Thanh Tâm - Ngã 4"/>
    <x v="1"/>
    <n v="2023"/>
    <n v="-150000"/>
    <n v="-0.90909090909090906"/>
    <n v="6000"/>
    <n v="30"/>
  </r>
  <r>
    <n v="421"/>
    <s v="CG501"/>
    <s v="Chân gà cay ăn liền ZL FOOD Acao 50g x 30 x 7 túi"/>
    <s v="Cái"/>
    <n v="165000"/>
    <n v="0"/>
    <n v="30"/>
    <n v="180000"/>
    <n v="15000"/>
    <d v="2023-10-26T00:00:00"/>
    <s v="Thanh Tâm - Ngã 4"/>
    <x v="1"/>
    <n v="2023"/>
    <n v="-150000"/>
    <n v="-0.90909090909090906"/>
    <n v="6000"/>
    <n v="30"/>
  </r>
  <r>
    <n v="422"/>
    <s v="KU250"/>
    <s v="Khăn ướt TE Villa 250g x 30 gói"/>
    <s v="Gói"/>
    <n v="231000"/>
    <n v="0"/>
    <n v="30"/>
    <n v="300000"/>
    <n v="69000"/>
    <d v="2023-10-26T00:00:00"/>
    <s v="Thanh Tâm - Ngã 4"/>
    <x v="1"/>
    <n v="2023"/>
    <n v="-162000"/>
    <n v="-0.70129870129870131"/>
    <n v="10000"/>
    <n v="30"/>
  </r>
  <r>
    <n v="423"/>
    <s v="KV320"/>
    <s v="Khăn Napkin Fairy 320 x 100 tờ x 48 gói"/>
    <s v="Gói"/>
    <n v="110000"/>
    <n v="0"/>
    <n v="10"/>
    <n v="110000"/>
    <n v="0"/>
    <d v="2023-10-26T00:00:00"/>
    <s v="Thanh Tâm - Ngã 4"/>
    <x v="1"/>
    <n v="2023"/>
    <n v="-110000"/>
    <n v="-1"/>
    <n v="11000"/>
    <n v="10"/>
  </r>
  <r>
    <n v="424"/>
    <s v="TNS1"/>
    <s v="Tẩy toilet Nam Sơn NK 100% 1L x 12 chai"/>
    <s v="Chai"/>
    <n v="190008"/>
    <n v="0"/>
    <n v="12"/>
    <n v="270000"/>
    <n v="79992"/>
    <d v="2023-10-26T00:00:00"/>
    <s v="Thanh Tâm - Ngã 4"/>
    <x v="1"/>
    <n v="2023"/>
    <n v="-110016"/>
    <n v="-0.57900719969685488"/>
    <n v="22500"/>
    <n v="12"/>
  </r>
  <r>
    <n v="425"/>
    <s v="KMQCL"/>
    <s v="Quạt SENKO 1638 chân lỡ"/>
    <s v="Cây"/>
    <n v="0"/>
    <n v="1"/>
    <n v="0"/>
    <n v="-282000"/>
    <n v="-282000"/>
    <d v="2023-10-26T00:00:00"/>
    <s v="5 Phụng - T.Nghĩa"/>
    <x v="1"/>
    <n v="2023"/>
    <n v="-282000"/>
    <n v="0"/>
    <n v="0"/>
    <n v="-1"/>
  </r>
  <r>
    <n v="426"/>
    <s v="KTN3001"/>
    <s v="Kẹo Trang Nghiêm DÂU TÂY hộp 200g x 24 hộp/thùng"/>
    <s v="Hộp"/>
    <n v="145000"/>
    <n v="0"/>
    <n v="10"/>
    <n v="140000"/>
    <n v="-5000"/>
    <d v="2023-10-26T00:00:00"/>
    <s v="5 Phụng - T.Nghĩa"/>
    <x v="1"/>
    <n v="2023"/>
    <n v="-150000"/>
    <n v="-1.0344827586206897"/>
    <n v="14000"/>
    <n v="10"/>
  </r>
  <r>
    <n v="427"/>
    <s v="KTN3002"/>
    <s v="Kẹo Trang Nghiêm DÂU TẰM hộp 200g x 24 hộp/thùng"/>
    <s v="Hộp"/>
    <n v="145000"/>
    <n v="0"/>
    <n v="10"/>
    <n v="140000"/>
    <n v="-5000"/>
    <d v="2023-10-26T00:00:00"/>
    <s v="5 Phụng - T.Nghĩa"/>
    <x v="1"/>
    <n v="2023"/>
    <n v="-150000"/>
    <n v="-1.0344827586206897"/>
    <n v="14000"/>
    <n v="10"/>
  </r>
  <r>
    <n v="428"/>
    <s v="KTN400"/>
    <s v="Kẹo Trang Nghiêm DÂU TÂY hộp 400g x 24 hộp/thùng"/>
    <s v="Hộp"/>
    <n v="86400"/>
    <n v="0"/>
    <n v="3"/>
    <n v="90000"/>
    <n v="3600"/>
    <d v="2023-10-26T00:00:00"/>
    <s v="5 Phụng - T.Nghĩa"/>
    <x v="1"/>
    <n v="2023"/>
    <n v="-82800"/>
    <n v="-0.95833333333333337"/>
    <n v="30000"/>
    <n v="3"/>
  </r>
  <r>
    <n v="429"/>
    <s v="KTN4001"/>
    <s v="Kẹo Trang Nghiêm DÂU TẰM hộp 400g x 24 hộp/thùng"/>
    <s v="Hộp"/>
    <n v="86400"/>
    <n v="0"/>
    <n v="3"/>
    <n v="90000"/>
    <n v="3600"/>
    <d v="2023-10-26T00:00:00"/>
    <s v="5 Phụng - T.Nghĩa"/>
    <x v="1"/>
    <n v="2023"/>
    <n v="-82800"/>
    <n v="-0.95833333333333337"/>
    <n v="30000"/>
    <n v="3"/>
  </r>
  <r>
    <n v="430"/>
    <s v="KU1509"/>
    <s v="Khăn ướt BBIWINEW (khổ lớn) 150g x 30 gói"/>
    <s v="Gói"/>
    <n v="540000"/>
    <n v="0"/>
    <n v="60"/>
    <n v="1080000"/>
    <n v="540000"/>
    <d v="2023-10-26T00:00:00"/>
    <s v="5 Phụng - T.Nghĩa"/>
    <x v="1"/>
    <n v="2023"/>
    <n v="0"/>
    <n v="0"/>
    <n v="18000"/>
    <n v="60"/>
  </r>
  <r>
    <n v="431"/>
    <s v="KU250"/>
    <s v="Khăn ướt TE Villa 250g x 30 gói"/>
    <s v="Gói"/>
    <n v="231000"/>
    <n v="0"/>
    <n v="30"/>
    <n v="300000"/>
    <n v="69000"/>
    <d v="2023-10-26T00:00:00"/>
    <s v="Chị Lắm - T.Nghĩa"/>
    <x v="1"/>
    <n v="2023"/>
    <n v="-162000"/>
    <n v="-0.70129870129870131"/>
    <n v="10000"/>
    <n v="30"/>
  </r>
  <r>
    <n v="432"/>
    <s v="HTNM"/>
    <s v="Nhang muỗi đen ThaiLan"/>
    <s v="Hộp"/>
    <n v="90000"/>
    <n v="1"/>
    <n v="12"/>
    <n v="133000"/>
    <n v="43000"/>
    <d v="2023-10-26T00:00:00"/>
    <s v="Ngọc Thắm - T.Nghĩa"/>
    <x v="1"/>
    <n v="2023"/>
    <n v="-47000"/>
    <n v="-0.52222222222222225"/>
    <n v="11083.333333333334"/>
    <n v="11"/>
  </r>
  <r>
    <n v="433"/>
    <s v="GC10"/>
    <s v="V/S Bibi không lõi x 10 dây"/>
    <s v="Dây"/>
    <n v="260000"/>
    <n v="0"/>
    <n v="10"/>
    <n v="240000"/>
    <n v="-20000"/>
    <d v="2023-10-27T00:00:00"/>
    <s v="Chị Linh (bán bọc) - HCL"/>
    <x v="1"/>
    <n v="2023"/>
    <n v="-280000"/>
    <n v="-1.0769230769230769"/>
    <n v="24000"/>
    <n v="10"/>
  </r>
  <r>
    <n v="434"/>
    <s v="GC617"/>
    <s v="GVS TiOne hồng 6 cuộn x 12 cây"/>
    <s v="Cây"/>
    <n v="265716"/>
    <n v="0"/>
    <n v="12"/>
    <n v="360000"/>
    <n v="94284"/>
    <d v="2023-10-27T00:00:00"/>
    <s v="5 Hiếu - T.Linh"/>
    <x v="1"/>
    <n v="2023"/>
    <n v="-171432"/>
    <n v="-0.64517003116108929"/>
    <n v="30000"/>
    <n v="12"/>
  </r>
  <r>
    <n v="435"/>
    <s v="HTF3000"/>
    <s v="Nước giặt Fineline tím 3L x 4 bình"/>
    <s v="Bình"/>
    <n v="170000"/>
    <n v="0"/>
    <n v="2"/>
    <n v="240000"/>
    <n v="70000"/>
    <d v="2023-10-27T00:00:00"/>
    <s v="Hồng Loan - P.Trà"/>
    <x v="1"/>
    <n v="2023"/>
    <n v="-100000"/>
    <n v="-0.58823529411764708"/>
    <n v="120000"/>
    <n v="2"/>
  </r>
  <r>
    <n v="436"/>
    <s v="HTF30001"/>
    <s v="Nước giặt Fineline hồng 3L x 4 bình"/>
    <s v="Bình"/>
    <n v="170000"/>
    <n v="0"/>
    <n v="2"/>
    <n v="240000"/>
    <n v="70000"/>
    <d v="2023-10-27T00:00:00"/>
    <s v="Hồng Loan - P.Trà"/>
    <x v="1"/>
    <n v="2023"/>
    <n v="-100000"/>
    <n v="-0.58823529411764708"/>
    <n v="120000"/>
    <n v="2"/>
  </r>
  <r>
    <n v="437"/>
    <s v="KV100"/>
    <s v="Khăn Napkin Toply 100 tờ x 48 gói"/>
    <s v="Gói"/>
    <n v="172800"/>
    <n v="2"/>
    <n v="24"/>
    <n v="268000"/>
    <n v="95200"/>
    <d v="2023-10-27T00:00:00"/>
    <s v="Chị Liên - T.Linh"/>
    <x v="1"/>
    <n v="2023"/>
    <n v="-77600"/>
    <n v="-0.44907407407407407"/>
    <n v="11166.666666666666"/>
    <n v="22"/>
  </r>
  <r>
    <n v="438"/>
    <s v="KDL01"/>
    <s v="Khăn giấy bỏ túi Paseo 9 tờ x 6 gói/cây x 40 cây"/>
    <s v="Cây"/>
    <n v="0"/>
    <n v="0"/>
    <n v="0"/>
    <n v="0"/>
    <n v="0"/>
    <d v="2023-10-27T00:00:00"/>
    <s v="Shop Hope - N.V.Tiếp ( Đập Đá)"/>
    <x v="1"/>
    <n v="2023"/>
    <n v="0"/>
    <n v="0"/>
    <n v="0"/>
    <n v="0"/>
  </r>
  <r>
    <n v="439"/>
    <s v="KR402"/>
    <s v="Khăn giấy rút SSS BiBi 2 lớp x 400gr x 12 gói"/>
    <s v="Gói"/>
    <n v="211200"/>
    <n v="2"/>
    <n v="10"/>
    <n v="184000"/>
    <n v="-27200"/>
    <d v="2023-10-27T00:00:00"/>
    <s v="Quán Cơm Trâm Anh - T.Linh"/>
    <x v="1"/>
    <n v="2023"/>
    <n v="-238400"/>
    <n v="-1.1287878787878789"/>
    <n v="18400"/>
    <n v="8"/>
  </r>
  <r>
    <n v="440"/>
    <s v="HM608"/>
    <s v="Yến sào Seunest CĐ vàng x 6 hộp"/>
    <s v="Hộp"/>
    <n v="300000"/>
    <n v="3"/>
    <n v="3"/>
    <n v="327000"/>
    <n v="27000"/>
    <d v="2023-10-28T00:00:00"/>
    <s v="Chị My (căn tin) - BV HCL"/>
    <x v="1"/>
    <n v="2023"/>
    <n v="-273000"/>
    <n v="-0.91"/>
    <n v="109000"/>
    <n v="0"/>
  </r>
  <r>
    <n v="441"/>
    <s v="KV320"/>
    <s v="Khăn Napkin Fairy 320 x 100 tờ x 48 gói"/>
    <s v="Gói"/>
    <n v="528000"/>
    <n v="6"/>
    <n v="48"/>
    <n v="516000"/>
    <n v="-12000"/>
    <d v="2023-10-28T00:00:00"/>
    <s v="Chị Nga - HCL"/>
    <x v="1"/>
    <n v="2023"/>
    <n v="-540000"/>
    <n v="-1.0227272727272727"/>
    <n v="10750"/>
    <n v="42"/>
  </r>
  <r>
    <n v="442"/>
    <s v="KV1001"/>
    <s v="Khăn Napkin Ruby Gold 100 tờ x 30 gói"/>
    <s v="Gói"/>
    <n v="225000"/>
    <n v="3"/>
    <n v="30"/>
    <n v="300000"/>
    <n v="75000"/>
    <d v="2023-10-28T00:00:00"/>
    <s v="Chị Xuyên - M.Long"/>
    <x v="1"/>
    <n v="2023"/>
    <n v="-150000"/>
    <n v="-0.66666666666666663"/>
    <n v="10000"/>
    <n v="27"/>
  </r>
  <r>
    <n v="443"/>
    <s v="A1K15"/>
    <s v="Kẹo bạc hà (chanh muối) Himalaya 15g x 12 gói x 12 hộp"/>
    <s v="Hộp"/>
    <n v="120756"/>
    <n v="0"/>
    <n v="2"/>
    <n v="108000"/>
    <n v="-12756"/>
    <d v="2023-10-28T00:00:00"/>
    <s v="TT Thu Diễm - T.H.Trung"/>
    <x v="1"/>
    <n v="2023"/>
    <n v="-133512"/>
    <n v="-1.1056345026334096"/>
    <n v="54000"/>
    <n v="2"/>
  </r>
  <r>
    <n v="444"/>
    <s v="KU250"/>
    <s v="Khăn ướt TE Villa 250g x 30 gói"/>
    <s v="Gói"/>
    <n v="231000"/>
    <n v="0"/>
    <n v="30"/>
    <n v="300000"/>
    <n v="69000"/>
    <d v="2023-10-28T00:00:00"/>
    <s v="Chị Đào - T.H.Trung"/>
    <x v="1"/>
    <n v="2023"/>
    <n v="-162000"/>
    <n v="-0.70129870129870131"/>
    <n v="10000"/>
    <n v="30"/>
  </r>
  <r>
    <n v="445"/>
    <s v="BCTEM32"/>
    <s v="BCTE N32 (xe) x 12 x 30 hộp"/>
    <s v="Cây"/>
    <n v="46800"/>
    <n v="0"/>
    <n v="6"/>
    <n v="66000"/>
    <n v="19200"/>
    <d v="2023-10-28T00:00:00"/>
    <s v="TT Đông Nguyên - M.Long"/>
    <x v="1"/>
    <n v="2023"/>
    <n v="-27600"/>
    <n v="-0.58974358974358976"/>
    <n v="11000"/>
    <n v="6"/>
  </r>
  <r>
    <n v="446"/>
    <s v="BCTEM35"/>
    <s v="BCTE N35 (búp bê) x 12 x 30 hộp"/>
    <s v="Cây"/>
    <n v="46800"/>
    <n v="0"/>
    <n v="6"/>
    <n v="66000"/>
    <n v="19200"/>
    <d v="2023-10-28T00:00:00"/>
    <s v="TT Đông Nguyên - M.Long"/>
    <x v="1"/>
    <n v="2023"/>
    <n v="-27600"/>
    <n v="-0.58974358974358976"/>
    <n v="11000"/>
    <n v="6"/>
  </r>
  <r>
    <n v="447"/>
    <s v="BCTEN36"/>
    <s v="BCTE N36 (đồng hồ) x 18 x 20 hộp"/>
    <s v="Cây"/>
    <n v="46800"/>
    <n v="0"/>
    <n v="6"/>
    <n v="66000"/>
    <n v="19200"/>
    <d v="2023-10-28T00:00:00"/>
    <s v="TT Đông Nguyên - M.Long"/>
    <x v="1"/>
    <n v="2023"/>
    <n v="-27600"/>
    <n v="-0.58974358974358976"/>
    <n v="11000"/>
    <n v="6"/>
  </r>
  <r>
    <n v="448"/>
    <s v="A1K15"/>
    <s v="Kẹo bạc hà (chanh muối) Himalaya 15g x 12 gói x 12 hộp"/>
    <s v="Hộp"/>
    <n v="120756"/>
    <n v="0"/>
    <n v="2"/>
    <n v="104000"/>
    <n v="-16756"/>
    <d v="2023-10-28T00:00:00"/>
    <s v="TT Anh Hào - BV HCL"/>
    <x v="1"/>
    <n v="2023"/>
    <n v="-137512"/>
    <n v="-1.138759150684024"/>
    <n v="52000"/>
    <n v="2"/>
  </r>
  <r>
    <n v="449"/>
    <s v="BCA11"/>
    <s v="BC Ion Eco care (NK Hàn Quốc) 48 cây x 2 hộp"/>
    <s v="Cây"/>
    <n v="170200"/>
    <n v="0"/>
    <n v="5"/>
    <n v="150000"/>
    <n v="-20200"/>
    <d v="2023-10-28T00:00:00"/>
    <s v="TT Anh Hào - BV HCL"/>
    <x v="1"/>
    <n v="2023"/>
    <n v="-190400"/>
    <n v="-1.1186839012925969"/>
    <n v="30000"/>
    <n v="5"/>
  </r>
  <r>
    <n v="450"/>
    <s v="BCJEWELL"/>
    <s v="BÀN CHẢI ĐÁNH RĂNG ION - JEWEL"/>
    <s v="Cây"/>
    <n v="212500"/>
    <n v="0"/>
    <n v="5"/>
    <n v="150000"/>
    <n v="-62500"/>
    <d v="2023-10-28T00:00:00"/>
    <s v="TT Anh Hào - BV HCL"/>
    <x v="1"/>
    <n v="2023"/>
    <n v="-275000"/>
    <n v="-1.2941176470588236"/>
    <n v="30000"/>
    <n v="5"/>
  </r>
  <r>
    <n v="451"/>
    <s v="BCN306"/>
    <s v="BC KAKA NANO N306 x 50 cây x 6 hộp"/>
    <s v="Cây"/>
    <n v="275000"/>
    <n v="0"/>
    <n v="50"/>
    <n v="400000"/>
    <n v="125000"/>
    <d v="2023-10-28T00:00:00"/>
    <s v="TT Anh Hào - BV HCL"/>
    <x v="1"/>
    <n v="2023"/>
    <n v="-150000"/>
    <n v="-0.54545454545454541"/>
    <n v="8000"/>
    <n v="50"/>
  </r>
  <r>
    <n v="452"/>
    <s v="BCOCEAN"/>
    <s v="BÀN CHẢI ĐÁNH RĂNG ION - OCEAN"/>
    <s v="Cây"/>
    <n v="240000"/>
    <n v="0"/>
    <n v="5"/>
    <n v="150000"/>
    <n v="-90000"/>
    <d v="2023-10-28T00:00:00"/>
    <s v="TT Anh Hào - BV HCL"/>
    <x v="1"/>
    <n v="2023"/>
    <n v="-330000"/>
    <n v="-1.375"/>
    <n v="30000"/>
    <n v="5"/>
  </r>
  <r>
    <n v="453"/>
    <s v="TBTE180"/>
    <s v="TBTE THÂN NHỰA BABA 180 cây x 12 hộp x 20 block"/>
    <s v="Cây"/>
    <n v="0"/>
    <n v="0"/>
    <n v="0"/>
    <n v="0"/>
    <n v="0"/>
    <d v="2023-10-28T00:00:00"/>
    <s v="TT Anh Hào - BV HCL"/>
    <x v="1"/>
    <n v="2023"/>
    <n v="0"/>
    <n v="0"/>
    <n v="0"/>
    <n v="0"/>
  </r>
  <r>
    <n v="454"/>
    <s v="TBTE20002"/>
    <s v="Tăm bông thân nhựa TE hộp tròn 200 cây x 12 hộp"/>
    <s v="Hộp"/>
    <n v="178500"/>
    <n v="0"/>
    <n v="12"/>
    <n v="192000"/>
    <n v="13500"/>
    <d v="2023-10-28T00:00:00"/>
    <s v="TT Anh Hào - BV HCL"/>
    <x v="1"/>
    <n v="2023"/>
    <n v="-165000"/>
    <n v="-0.92436974789915971"/>
    <n v="16000"/>
    <n v="12"/>
  </r>
  <r>
    <n v="455"/>
    <s v="A1K15"/>
    <s v="Kẹo bạc hà (chanh muối) Himalaya 15g x 12 gói x 12 hộp"/>
    <s v="Hộp"/>
    <n v="60378"/>
    <n v="0"/>
    <n v="1"/>
    <n v="54000"/>
    <n v="-6378"/>
    <d v="2023-10-28T00:00:00"/>
    <s v="TT Mỹ Hạnh - T.H.Trung"/>
    <x v="1"/>
    <n v="2023"/>
    <n v="-66756"/>
    <n v="-1.1056345026334096"/>
    <n v="54000"/>
    <n v="1"/>
  </r>
  <r>
    <n v="456"/>
    <s v="A1K15"/>
    <s v="Kẹo bạc hà (chanh muối) Himalaya 15g x 12 gói x 12 hộp"/>
    <s v="Hộp"/>
    <n v="181134"/>
    <n v="0"/>
    <n v="3"/>
    <n v="156000"/>
    <n v="-25134"/>
    <d v="2023-10-28T00:00:00"/>
    <s v="TT Mỹ Tiên - A.Bình"/>
    <x v="1"/>
    <n v="2023"/>
    <n v="-206268"/>
    <n v="-1.138759150684024"/>
    <n v="52000"/>
    <n v="3"/>
  </r>
  <r>
    <n v="457"/>
    <s v="GC603"/>
    <s v="GVS Ruby Gold 6 cuộn (không lõi) x 12 cây"/>
    <s v="Cây"/>
    <n v="300000"/>
    <n v="0"/>
    <n v="12"/>
    <n v="444000"/>
    <n v="144000"/>
    <d v="2023-10-28T00:00:00"/>
    <s v="Anh Như - Chợ 307"/>
    <x v="1"/>
    <n v="2023"/>
    <n v="-156000"/>
    <n v="-0.52"/>
    <n v="37000"/>
    <n v="12"/>
  </r>
  <r>
    <n v="458"/>
    <s v="GC617"/>
    <s v="GVS TiOne hồng 6 cuộn x 12 cây"/>
    <s v="Cây"/>
    <n v="0"/>
    <n v="2"/>
    <n v="0"/>
    <n v="-63000"/>
    <n v="-63000"/>
    <d v="2023-10-28T00:00:00"/>
    <s v="Anh Như - Chợ 307"/>
    <x v="1"/>
    <n v="2023"/>
    <n v="-63000"/>
    <n v="0"/>
    <n v="0"/>
    <n v="-2"/>
  </r>
  <r>
    <n v="459"/>
    <s v="GC10"/>
    <s v="V/S Bibi không lõi x 10 dây"/>
    <s v="Dây"/>
    <n v="130000"/>
    <n v="0"/>
    <n v="5"/>
    <n v="120000"/>
    <n v="-10000"/>
    <d v="2023-10-28T00:00:00"/>
    <s v="Chị Duyên - HCL (Thanh Mỹ)"/>
    <x v="1"/>
    <n v="2023"/>
    <n v="-140000"/>
    <n v="-1.0769230769230769"/>
    <n v="24000"/>
    <n v="5"/>
  </r>
  <r>
    <n v="460"/>
    <s v="GC603"/>
    <s v="GVS Ruby Gold 6 cuộn (không lõi) x 12 cây"/>
    <s v="Cây"/>
    <n v="300000"/>
    <n v="0"/>
    <n v="12"/>
    <n v="444000"/>
    <n v="144000"/>
    <d v="2023-10-28T00:00:00"/>
    <s v="Mỹ Phương - HCL (Thanh Mỹ)"/>
    <x v="1"/>
    <n v="2023"/>
    <n v="-156000"/>
    <n v="-0.52"/>
    <n v="37000"/>
    <n v="12"/>
  </r>
  <r>
    <n v="461"/>
    <s v="GC617"/>
    <s v="GVS TiOne hồng 6 cuộn x 12 cây"/>
    <s v="Cây"/>
    <n v="0"/>
    <n v="2"/>
    <n v="0"/>
    <n v="-63000"/>
    <n v="-63000"/>
    <d v="2023-10-28T00:00:00"/>
    <s v="Mỹ Phương - HCL (Thanh Mỹ)"/>
    <x v="1"/>
    <n v="2023"/>
    <n v="-63000"/>
    <n v="0"/>
    <n v="0"/>
    <n v="-2"/>
  </r>
  <r>
    <n v="462"/>
    <s v="KU250"/>
    <s v="Khăn ướt TE Villa 250g x 30 gói"/>
    <s v="Gói"/>
    <n v="231000"/>
    <n v="0"/>
    <n v="30"/>
    <n v="300000"/>
    <n v="69000"/>
    <d v="2023-10-28T00:00:00"/>
    <s v="Mỹ Phương - HCL (Thanh Mỹ)"/>
    <x v="1"/>
    <n v="2023"/>
    <n v="-162000"/>
    <n v="-0.70129870129870131"/>
    <n v="10000"/>
    <n v="30"/>
  </r>
  <r>
    <n v="463"/>
    <s v="HM607"/>
    <s v="Yến sào Seunest KĐ xanh x 6 hộp"/>
    <s v="Hộp"/>
    <n v="0"/>
    <n v="3"/>
    <n v="0"/>
    <n v="-327000"/>
    <n v="-327000"/>
    <d v="2023-10-28T00:00:00"/>
    <s v="Chị Oanh - M.Long"/>
    <x v="1"/>
    <n v="2023"/>
    <n v="-327000"/>
    <n v="0"/>
    <n v="0"/>
    <n v="-3"/>
  </r>
  <r>
    <n v="464"/>
    <s v="HM608"/>
    <s v="Yến sào Seunest CĐ vàng x 6 hộp"/>
    <s v="Hộp"/>
    <n v="600000"/>
    <n v="0"/>
    <n v="6"/>
    <n v="1308000"/>
    <n v="708000"/>
    <d v="2023-10-28T00:00:00"/>
    <s v="Chị Oanh - M.Long"/>
    <x v="1"/>
    <n v="2023"/>
    <n v="108000"/>
    <n v="0.18"/>
    <n v="218000"/>
    <n v="6"/>
  </r>
  <r>
    <n v="465"/>
    <s v="HM610"/>
    <s v="Yến sào Finenest CĐ đỏ x 6 hộp"/>
    <s v="Hộp"/>
    <n v="0"/>
    <n v="3"/>
    <n v="0"/>
    <n v="-327000"/>
    <n v="-327000"/>
    <d v="2023-10-28T00:00:00"/>
    <s v="Chị Oanh - M.Long"/>
    <x v="1"/>
    <n v="2023"/>
    <n v="-327000"/>
    <n v="0"/>
    <n v="0"/>
    <n v="-3"/>
  </r>
  <r>
    <n v="466"/>
    <s v="HTD3000"/>
    <s v="Nước giặt D-nee tím 3L x 4 bình"/>
    <s v="Bình"/>
    <n v="170000"/>
    <n v="0"/>
    <n v="2"/>
    <n v="250000"/>
    <n v="80000"/>
    <d v="2023-10-28T00:00:00"/>
    <s v="MP Chị Út - HCL (Thanh Mỹ)"/>
    <x v="1"/>
    <n v="2023"/>
    <n v="-90000"/>
    <n v="-0.52941176470588236"/>
    <n v="125000"/>
    <n v="2"/>
  </r>
  <r>
    <n v="467"/>
    <s v="HTD30001"/>
    <s v="Nước giặt D-nee hồng 3L x 4 bình"/>
    <s v="Bình"/>
    <n v="85000"/>
    <n v="0"/>
    <n v="1"/>
    <n v="125000"/>
    <n v="40000"/>
    <d v="2023-10-28T00:00:00"/>
    <s v="MP Chị Út - HCL (Thanh Mỹ)"/>
    <x v="1"/>
    <n v="2023"/>
    <n v="-45000"/>
    <n v="-0.52941176470588236"/>
    <n v="125000"/>
    <n v="1"/>
  </r>
  <r>
    <n v="468"/>
    <s v="KU250"/>
    <s v="Khăn ướt TE Villa 250g x 30 gói"/>
    <s v="Gói"/>
    <n v="231000"/>
    <n v="0"/>
    <n v="30"/>
    <n v="300000"/>
    <n v="69000"/>
    <d v="2023-10-28T00:00:00"/>
    <s v="MP Chị Út - HCL (Thanh Mỹ)"/>
    <x v="1"/>
    <n v="2023"/>
    <n v="-162000"/>
    <n v="-0.70129870129870131"/>
    <n v="10000"/>
    <n v="30"/>
  </r>
  <r>
    <n v="469"/>
    <s v="KU802"/>
    <s v="Khăn ướt TiOne 80g x 40 gói"/>
    <s v="Gói"/>
    <n v="55000"/>
    <n v="0"/>
    <n v="10"/>
    <n v="60000"/>
    <n v="5000"/>
    <d v="2023-10-28T00:00:00"/>
    <s v="MP Chị Út - HCL (Thanh Mỹ)"/>
    <x v="1"/>
    <n v="2023"/>
    <n v="-50000"/>
    <n v="-0.90909090909090906"/>
    <n v="6000"/>
    <n v="10"/>
  </r>
  <r>
    <n v="470"/>
    <s v="KU250"/>
    <s v="Khăn ướt TE Villa 250g x 30 gói"/>
    <s v="Gói"/>
    <n v="231000"/>
    <n v="0"/>
    <n v="30"/>
    <n v="300000"/>
    <n v="69000"/>
    <d v="2023-10-28T00:00:00"/>
    <s v="Thuận Kiều (nhà may) - Chợ 307"/>
    <x v="1"/>
    <n v="2023"/>
    <n v="-162000"/>
    <n v="-0.70129870129870131"/>
    <n v="10000"/>
    <n v="30"/>
  </r>
  <r>
    <n v="471"/>
    <s v="KU802"/>
    <s v="Khăn ướt TiOne 80g x 40 gói"/>
    <s v="Gói"/>
    <n v="55000"/>
    <n v="0"/>
    <n v="10"/>
    <n v="60000"/>
    <n v="5000"/>
    <d v="2023-10-28T00:00:00"/>
    <s v="Thuận Kiều (nhà may) - Chợ 307"/>
    <x v="1"/>
    <n v="2023"/>
    <n v="-50000"/>
    <n v="-0.90909090909090906"/>
    <n v="6000"/>
    <n v="10"/>
  </r>
  <r>
    <n v="472"/>
    <s v="GC617"/>
    <s v="GVS TiOne hồng 6 cuộn x 12 cây"/>
    <s v="Cây"/>
    <n v="265716"/>
    <n v="2"/>
    <n v="12"/>
    <n v="345000"/>
    <n v="79284"/>
    <d v="2023-10-28T00:00:00"/>
    <s v="TH Ngân (chị Ngân) - T.H.Trung"/>
    <x v="1"/>
    <n v="2023"/>
    <n v="-186432"/>
    <n v="-0.70162127986271061"/>
    <n v="28750"/>
    <n v="10"/>
  </r>
  <r>
    <n v="473"/>
    <s v="HM10"/>
    <s v="Yến sào Finenest nhân sâm x 10 hộp"/>
    <s v="Hộp"/>
    <n v="0"/>
    <n v="6"/>
    <n v="0"/>
    <n v="-654000"/>
    <n v="-654000"/>
    <d v="2023-10-28T00:00:00"/>
    <s v="Cẩm Giang - M.Xương"/>
    <x v="1"/>
    <n v="2023"/>
    <n v="-654000"/>
    <n v="0"/>
    <n v="0"/>
    <n v="-6"/>
  </r>
  <r>
    <n v="474"/>
    <s v="HM110"/>
    <s v="Yến sào Finenest Saffron (hoa nghệ tây) x 10 hộp"/>
    <s v="Hộp"/>
    <n v="0"/>
    <n v="6"/>
    <n v="0"/>
    <n v="-654000"/>
    <n v="-654000"/>
    <d v="2023-10-28T00:00:00"/>
    <s v="Cẩm Giang - M.Xương"/>
    <x v="1"/>
    <n v="2023"/>
    <n v="-654000"/>
    <n v="0"/>
    <n v="0"/>
    <n v="-6"/>
  </r>
  <r>
    <n v="475"/>
    <s v="HM607"/>
    <s v="Yến sào Seunest KĐ xanh x 6 hộp"/>
    <s v="Hộp"/>
    <n v="600000"/>
    <n v="6"/>
    <n v="6"/>
    <n v="654000"/>
    <n v="54000"/>
    <d v="2023-10-28T00:00:00"/>
    <s v="Cẩm Giang - M.Xương"/>
    <x v="1"/>
    <n v="2023"/>
    <n v="-546000"/>
    <n v="-0.91"/>
    <n v="109000"/>
    <n v="0"/>
  </r>
  <r>
    <n v="476"/>
    <s v="HM608"/>
    <s v="Yến sào Seunest CĐ vàng x 6 hộp"/>
    <s v="Hộp"/>
    <n v="600000"/>
    <n v="6"/>
    <n v="6"/>
    <n v="654000"/>
    <n v="54000"/>
    <d v="2023-10-28T00:00:00"/>
    <s v="Cẩm Giang - M.Xương"/>
    <x v="1"/>
    <n v="2023"/>
    <n v="-546000"/>
    <n v="-0.91"/>
    <n v="109000"/>
    <n v="0"/>
  </r>
  <r>
    <n v="477"/>
    <s v="HM610"/>
    <s v="Yến sào Finenest CĐ đỏ x 6 hộp"/>
    <s v="Hộp"/>
    <n v="600000"/>
    <n v="6"/>
    <n v="6"/>
    <n v="654000"/>
    <n v="54000"/>
    <d v="2023-10-28T00:00:00"/>
    <s v="Cẩm Giang - M.Xương"/>
    <x v="1"/>
    <n v="2023"/>
    <n v="-546000"/>
    <n v="-0.91"/>
    <n v="109000"/>
    <n v="0"/>
  </r>
  <r>
    <n v="478"/>
    <s v="HM613"/>
    <s v="HIMA Seunest DTHT có đường 6 lọ x 6 hộp"/>
    <s v="Hộp"/>
    <n v="780000"/>
    <n v="0"/>
    <n v="6"/>
    <n v="1680000"/>
    <n v="900000"/>
    <d v="2023-10-28T00:00:00"/>
    <s v="Cẩm Giang - M.Xương"/>
    <x v="1"/>
    <n v="2023"/>
    <n v="120000"/>
    <n v="0.15384615384615385"/>
    <n v="280000"/>
    <n v="6"/>
  </r>
  <r>
    <n v="479"/>
    <s v="HM614"/>
    <s v="HIMA Seunest Colagen có đường 6 lọ x 6 hộp"/>
    <s v="Hộp"/>
    <n v="780000"/>
    <n v="0"/>
    <n v="6"/>
    <n v="1680000"/>
    <n v="900000"/>
    <d v="2023-10-28T00:00:00"/>
    <s v="Cẩm Giang - M.Xương"/>
    <x v="1"/>
    <n v="2023"/>
    <n v="120000"/>
    <n v="0.15384615384615385"/>
    <n v="280000"/>
    <n v="6"/>
  </r>
  <r>
    <n v="480"/>
    <s v="GC617"/>
    <s v="GVS TiOne hồng 6 cuộn x 12 cây"/>
    <s v="Cây"/>
    <n v="265716"/>
    <n v="2"/>
    <n v="12"/>
    <n v="345000"/>
    <n v="79284"/>
    <d v="2023-10-28T00:00:00"/>
    <s v="Sữa tả Hoàng Trúc - HCL (T.Mỹ)"/>
    <x v="1"/>
    <n v="2023"/>
    <n v="-186432"/>
    <n v="-0.70162127986271061"/>
    <n v="28750"/>
    <n v="10"/>
  </r>
  <r>
    <n v="481"/>
    <s v="HTBTE50"/>
    <s v="Bánh gạo TE Happy Bites Việt Quất 50g x 12 hộp"/>
    <s v="Hộp"/>
    <n v="181200"/>
    <n v="1"/>
    <n v="4"/>
    <n v="158000"/>
    <n v="-23200"/>
    <d v="2023-10-28T00:00:00"/>
    <s v="Sữa tả Hoàng Trúc - HCL (T.Mỹ)"/>
    <x v="1"/>
    <n v="2023"/>
    <n v="-204400"/>
    <n v="-1.1280353200883002"/>
    <n v="39500"/>
    <n v="3"/>
  </r>
  <r>
    <n v="482"/>
    <s v="HTBTE501"/>
    <s v="Bánh gạo TE Happy Bites Táo 50g x 12 hộp"/>
    <s v="Hộp"/>
    <n v="181200"/>
    <n v="0"/>
    <n v="4"/>
    <n v="200000"/>
    <n v="18800"/>
    <d v="2023-10-28T00:00:00"/>
    <s v="Sữa tả Hoàng Trúc - HCL (T.Mỹ)"/>
    <x v="1"/>
    <n v="2023"/>
    <n v="-162400"/>
    <n v="-0.89624724061810157"/>
    <n v="50000"/>
    <n v="4"/>
  </r>
  <r>
    <n v="483"/>
    <s v="HTBTE502"/>
    <s v="Bánh gạo TE Happy Bites Chuối 50g x 12 hộp"/>
    <s v="Hộp"/>
    <n v="181200"/>
    <n v="0"/>
    <n v="4"/>
    <n v="200000"/>
    <n v="18800"/>
    <d v="2023-10-28T00:00:00"/>
    <s v="Sữa tả Hoàng Trúc - HCL (T.Mỹ)"/>
    <x v="1"/>
    <n v="2023"/>
    <n v="-162400"/>
    <n v="-0.89624724061810157"/>
    <n v="50000"/>
    <n v="4"/>
  </r>
  <r>
    <n v="484"/>
    <s v="KDR002"/>
    <s v="Kem đánh răng AquaStar TE cam x 60 hộp"/>
    <s v="Hộp"/>
    <n v="133330"/>
    <n v="0"/>
    <n v="10"/>
    <n v="160000"/>
    <n v="26670"/>
    <d v="2023-10-28T00:00:00"/>
    <s v="Sữa tả Hoàng Trúc - HCL (T.Mỹ)"/>
    <x v="1"/>
    <n v="2023"/>
    <n v="-106660"/>
    <n v="-0.79996999924998125"/>
    <n v="16000"/>
    <n v="10"/>
  </r>
  <r>
    <n v="485"/>
    <s v="KDR003"/>
    <s v="Kem đánh răng AquaStar TE dâu x 60 hộp"/>
    <s v="Hộp"/>
    <n v="106664"/>
    <n v="3"/>
    <n v="8"/>
    <n v="87000"/>
    <n v="-19664"/>
    <d v="2023-10-28T00:00:00"/>
    <s v="Sữa tả Hoàng Trúc - HCL (T.Mỹ)"/>
    <x v="1"/>
    <n v="2023"/>
    <n v="-126328"/>
    <n v="-1.1843546088652217"/>
    <n v="10875"/>
    <n v="5"/>
  </r>
  <r>
    <n v="486"/>
    <s v="HTBSN80"/>
    <s v="Snack bắp Otori vị Phô Mai 80g x 12"/>
    <s v="Lon"/>
    <n v="55440"/>
    <n v="0"/>
    <n v="2"/>
    <n v="64000"/>
    <n v="8560"/>
    <d v="2023-10-28T00:00:00"/>
    <s v="Su Trường - T.H.Trung"/>
    <x v="1"/>
    <n v="2023"/>
    <n v="-46880"/>
    <n v="-0.84559884559884557"/>
    <n v="32000"/>
    <n v="2"/>
  </r>
  <r>
    <n v="487"/>
    <s v="HTBSN90"/>
    <s v="Snack bắp Otori vị Gà cay 90g x 12"/>
    <s v="Lon"/>
    <n v="55440"/>
    <n v="0"/>
    <n v="2"/>
    <n v="64000"/>
    <n v="8560"/>
    <d v="2023-10-28T00:00:00"/>
    <s v="Su Trường - T.H.Trung"/>
    <x v="1"/>
    <n v="2023"/>
    <n v="-46880"/>
    <n v="-0.84559884559884557"/>
    <n v="32000"/>
    <n v="2"/>
  </r>
  <r>
    <n v="488"/>
    <s v="HTBSN902"/>
    <s v="Snack bắp Otori vị Tomyum Kung 90g x 12"/>
    <s v="Lon"/>
    <n v="27720"/>
    <n v="0"/>
    <n v="1"/>
    <n v="32000"/>
    <n v="4280"/>
    <d v="2023-10-28T00:00:00"/>
    <s v="Su Trường - T.H.Trung"/>
    <x v="1"/>
    <n v="2023"/>
    <n v="-23440"/>
    <n v="-0.84559884559884557"/>
    <n v="32000"/>
    <n v="1"/>
  </r>
  <r>
    <n v="489"/>
    <s v="HTBSN903"/>
    <s v="Snack bắp Otori vị Rong Biển 90g x 12"/>
    <s v="Lon"/>
    <n v="27720"/>
    <n v="0"/>
    <n v="1"/>
    <n v="32000"/>
    <n v="4280"/>
    <d v="2023-10-28T00:00:00"/>
    <s v="Su Trường - T.H.Trung"/>
    <x v="1"/>
    <n v="2023"/>
    <n v="-23440"/>
    <n v="-0.84559884559884557"/>
    <n v="32000"/>
    <n v="1"/>
  </r>
  <r>
    <n v="490"/>
    <s v="HTK151"/>
    <s v="Kẹo Tommy trái cây 15g x 12 gói x 12 dây"/>
    <s v="Dây"/>
    <n v="75000"/>
    <n v="0"/>
    <n v="2"/>
    <n v="82000"/>
    <n v="7000"/>
    <d v="2023-10-28T00:00:00"/>
    <s v="Su Trường - T.H.Trung"/>
    <x v="1"/>
    <n v="2023"/>
    <n v="-68000"/>
    <n v="-0.90666666666666662"/>
    <n v="41000"/>
    <n v="2"/>
  </r>
  <r>
    <n v="491"/>
    <s v="KTN3001"/>
    <s v="Kẹo Trang Nghiêm DÂU TÂY hộp 200g x 24 hộp/thùng"/>
    <s v="Hộp"/>
    <n v="58000"/>
    <n v="0"/>
    <n v="4"/>
    <n v="56000"/>
    <n v="-2000"/>
    <d v="2023-10-28T00:00:00"/>
    <s v="Su Trường - T.H.Trung"/>
    <x v="1"/>
    <n v="2023"/>
    <n v="-60000"/>
    <n v="-1.0344827586206897"/>
    <n v="14000"/>
    <n v="4"/>
  </r>
  <r>
    <n v="492"/>
    <s v="KTN3003"/>
    <s v="Kẹo Trang Nghiêm ME ỚT hộp 200g x 24 hộp/thùng"/>
    <s v="Hộp"/>
    <n v="87000"/>
    <n v="0"/>
    <n v="6"/>
    <n v="84000"/>
    <n v="-3000"/>
    <d v="2023-10-28T00:00:00"/>
    <s v="Su Trường - T.H.Trung"/>
    <x v="1"/>
    <n v="2023"/>
    <n v="-90000"/>
    <n v="-1.0344827586206897"/>
    <n v="14000"/>
    <n v="6"/>
  </r>
  <r>
    <n v="493"/>
    <s v="GC106"/>
    <s v="GVS Ruby (HQ) 10 cuộn x 8kg"/>
    <s v="Cây"/>
    <n v="180000"/>
    <n v="0"/>
    <n v="10"/>
    <n v="230000"/>
    <n v="50000"/>
    <d v="2023-10-28T00:00:00"/>
    <s v="Dì 2 - HCL ( Thanh Mỹ)"/>
    <x v="1"/>
    <n v="2023"/>
    <n v="-130000"/>
    <n v="-0.72222222222222221"/>
    <n v="23000"/>
    <n v="10"/>
  </r>
  <r>
    <n v="494"/>
    <s v="HM607"/>
    <s v="Yến sào Seunest KĐ xanh x 6 hộp"/>
    <s v="Hộp"/>
    <n v="600000"/>
    <n v="0"/>
    <n v="6"/>
    <n v="1308000"/>
    <n v="708000"/>
    <d v="2023-10-28T00:00:00"/>
    <s v="Dì 2 - HCL ( Thanh Mỹ)"/>
    <x v="1"/>
    <n v="2023"/>
    <n v="108000"/>
    <n v="0.18"/>
    <n v="218000"/>
    <n v="6"/>
  </r>
  <r>
    <n v="495"/>
    <s v="HM608"/>
    <s v="Yến sào Seunest CĐ vàng x 6 hộp"/>
    <s v="Hộp"/>
    <n v="300000"/>
    <n v="3"/>
    <n v="3"/>
    <n v="327000"/>
    <n v="27000"/>
    <d v="2023-10-28T00:00:00"/>
    <s v="Dì 2 - HCL ( Thanh Mỹ)"/>
    <x v="1"/>
    <n v="2023"/>
    <n v="-273000"/>
    <n v="-0.91"/>
    <n v="109000"/>
    <n v="0"/>
  </r>
  <r>
    <n v="496"/>
    <s v="HM610"/>
    <s v="Yến sào Finenest CĐ đỏ x 6 hộp"/>
    <s v="Hộp"/>
    <n v="0"/>
    <n v="6"/>
    <n v="0"/>
    <n v="-654000"/>
    <n v="-654000"/>
    <d v="2023-10-28T00:00:00"/>
    <s v="Dì 2 - HCL ( Thanh Mỹ)"/>
    <x v="1"/>
    <n v="2023"/>
    <n v="-654000"/>
    <n v="0"/>
    <n v="0"/>
    <n v="-6"/>
  </r>
  <r>
    <n v="497"/>
    <s v="GC603"/>
    <s v="GVS Ruby Gold 6 cuộn (không lõi) x 12 cây"/>
    <s v="Cây"/>
    <n v="300000"/>
    <n v="0"/>
    <n v="12"/>
    <n v="444000"/>
    <n v="144000"/>
    <d v="2023-10-28T00:00:00"/>
    <s v="TH Nguyệt - T.H.Trung"/>
    <x v="1"/>
    <n v="2023"/>
    <n v="-156000"/>
    <n v="-0.52"/>
    <n v="37000"/>
    <n v="12"/>
  </r>
  <r>
    <n v="498"/>
    <s v="GC617"/>
    <s v="GVS TiOne hồng 6 cuộn x 12 cây"/>
    <s v="Cây"/>
    <n v="0"/>
    <n v="2"/>
    <n v="0"/>
    <n v="-63000"/>
    <n v="-63000"/>
    <d v="2023-10-28T00:00:00"/>
    <s v="TH Nguyệt - T.H.Trung"/>
    <x v="1"/>
    <n v="2023"/>
    <n v="-63000"/>
    <n v="0"/>
    <n v="0"/>
    <n v="-2"/>
  </r>
  <r>
    <n v="499"/>
    <s v="GC617"/>
    <s v="GVS TiOne hồng 6 cuộn x 12 cây"/>
    <s v="Cây"/>
    <n v="66429"/>
    <n v="0"/>
    <n v="3"/>
    <n v="90000"/>
    <n v="23571"/>
    <d v="2023-10-28T00:00:00"/>
    <s v="Chị Nương - HCL ( Thanh Mỹ)"/>
    <x v="1"/>
    <n v="2023"/>
    <n v="-42858"/>
    <n v="-0.64517003116108929"/>
    <n v="30000"/>
    <n v="3"/>
  </r>
  <r>
    <n v="500"/>
    <s v="KU250"/>
    <s v="Khăn ướt TE Villa 250g x 30 gói"/>
    <s v="Gói"/>
    <n v="38500"/>
    <n v="0"/>
    <n v="5"/>
    <n v="50000"/>
    <n v="11500"/>
    <d v="2023-10-28T00:00:00"/>
    <s v="Chị Nương - HCL ( Thanh Mỹ)"/>
    <x v="1"/>
    <n v="2023"/>
    <n v="-27000"/>
    <n v="-0.70129870129870131"/>
    <n v="10000"/>
    <n v="5"/>
  </r>
  <r>
    <n v="501"/>
    <s v="KU802"/>
    <s v="Khăn ướt TiOne 80g x 40 gói"/>
    <s v="Gói"/>
    <n v="55000"/>
    <n v="0"/>
    <n v="10"/>
    <n v="60000"/>
    <n v="5000"/>
    <d v="2023-10-28T00:00:00"/>
    <s v="Chị Nương - HCL ( Thanh Mỹ)"/>
    <x v="1"/>
    <n v="2023"/>
    <n v="-50000"/>
    <n v="-0.90909090909090906"/>
    <n v="6000"/>
    <n v="10"/>
  </r>
  <r>
    <n v="502"/>
    <s v="KV1007"/>
    <s v="Khăn Napkin An An 100 tờ x 40 gói"/>
    <s v="Gói"/>
    <n v="67500"/>
    <n v="0"/>
    <n v="10"/>
    <n v="75000"/>
    <n v="7500"/>
    <d v="2023-10-28T00:00:00"/>
    <s v="Chị Nương - HCL ( Thanh Mỹ)"/>
    <x v="1"/>
    <n v="2023"/>
    <n v="-60000"/>
    <n v="-0.88888888888888884"/>
    <n v="7500"/>
    <n v="10"/>
  </r>
  <r>
    <n v="503"/>
    <s v="SBOMGROW900"/>
    <s v="SURE OMEGA-GROW IQ 900G"/>
    <s v="Lon"/>
    <n v="0"/>
    <n v="0"/>
    <n v="0"/>
    <n v="0"/>
    <n v="0"/>
    <d v="2023-11-01T00:00:00"/>
    <s v="TT Hoàng Yến - M.Long"/>
    <x v="2"/>
    <n v="2023"/>
    <n v="0"/>
    <n v="0"/>
    <n v="0"/>
    <n v="0"/>
  </r>
  <r>
    <n v="504"/>
    <s v="BCN193"/>
    <s v="BC KAKA NANO N193 x 30 cây x 10 hộp"/>
    <s v="Cây"/>
    <n v="80000"/>
    <n v="4"/>
    <n v="20"/>
    <n v="217000"/>
    <n v="137000"/>
    <d v="2023-11-02T00:00:00"/>
    <s v="Thu Thủy - P.Mỹ (cầu Trâu Trắng)"/>
    <x v="2"/>
    <n v="2023"/>
    <n v="57000"/>
    <n v="0.71250000000000002"/>
    <n v="10850"/>
    <n v="16"/>
  </r>
  <r>
    <n v="505"/>
    <s v="BCN302"/>
    <s v="BC KAKA NANO N302 x 20 cây x 20 hộp"/>
    <s v="Cây"/>
    <n v="75000"/>
    <n v="4"/>
    <n v="20"/>
    <n v="217000"/>
    <n v="142000"/>
    <d v="2023-11-02T00:00:00"/>
    <s v="Thu Thủy - P.Mỹ (cầu Trâu Trắng)"/>
    <x v="2"/>
    <n v="2023"/>
    <n v="67000"/>
    <n v="0.89333333333333331"/>
    <n v="10850"/>
    <n v="16"/>
  </r>
  <r>
    <n v="506"/>
    <s v="BCN82"/>
    <s v="BC KaKa Nhật N82 bộ 3 cây x 9 bộ x 33 túi"/>
    <s v="Bộ"/>
    <n v="36000"/>
    <n v="1"/>
    <n v="9"/>
    <n v="121500"/>
    <n v="85500"/>
    <d v="2023-11-02T00:00:00"/>
    <s v="Thu Thủy - P.Mỹ (cầu Trâu Trắng)"/>
    <x v="2"/>
    <n v="2023"/>
    <n v="49500"/>
    <n v="1.375"/>
    <n v="13500"/>
    <n v="8"/>
  </r>
  <r>
    <n v="507"/>
    <s v="BCSILISON"/>
    <s v="BÀN CHẢI ĐÁNH RĂNG ION - SILISON NANO"/>
    <s v="Cây"/>
    <n v="1008000"/>
    <n v="4"/>
    <n v="24"/>
    <n v="762000"/>
    <n v="-246000"/>
    <d v="2023-11-02T00:00:00"/>
    <s v="Thu Thủy - P.Mỹ (cầu Trâu Trắng)"/>
    <x v="2"/>
    <n v="2023"/>
    <n v="-1254000"/>
    <n v="-1.2440476190476191"/>
    <n v="31750"/>
    <n v="20"/>
  </r>
  <r>
    <n v="508"/>
    <s v="BCTE001"/>
    <s v="BCTE AquaStar (con chó) x 24 cây"/>
    <s v="Cây"/>
    <n v="93336"/>
    <n v="0"/>
    <n v="8"/>
    <n v="120000"/>
    <n v="26664"/>
    <d v="2023-11-02T00:00:00"/>
    <s v="Thu Thủy - P.Mỹ (cầu Trâu Trắng)"/>
    <x v="2"/>
    <n v="2023"/>
    <n v="-66672"/>
    <n v="-0.71432244793005917"/>
    <n v="15000"/>
    <n v="8"/>
  </r>
  <r>
    <n v="509"/>
    <s v="BCTE002"/>
    <s v="BCTE AquaStar (con kiến) x 24 cây"/>
    <s v="Cây"/>
    <n v="93336"/>
    <n v="0"/>
    <n v="8"/>
    <n v="120000"/>
    <n v="26664"/>
    <d v="2023-11-02T00:00:00"/>
    <s v="Thu Thủy - P.Mỹ (cầu Trâu Trắng)"/>
    <x v="2"/>
    <n v="2023"/>
    <n v="-66672"/>
    <n v="-0.71432244793005917"/>
    <n v="15000"/>
    <n v="8"/>
  </r>
  <r>
    <n v="510"/>
    <s v="BCTE003"/>
    <s v="BCTE AquaStar (con sâu) x 24 cây"/>
    <s v="Cây"/>
    <n v="93336"/>
    <n v="4"/>
    <n v="8"/>
    <n v="69000"/>
    <n v="-24336"/>
    <d v="2023-11-02T00:00:00"/>
    <s v="Thu Thủy - P.Mỹ (cầu Trâu Trắng)"/>
    <x v="2"/>
    <n v="2023"/>
    <n v="-117672"/>
    <n v="-1.2607354075597841"/>
    <n v="8625"/>
    <n v="4"/>
  </r>
  <r>
    <n v="511"/>
    <s v="BCTEM35"/>
    <s v="BCTE N35 (búp bê) x 12 x 30 hộp"/>
    <s v="Cây"/>
    <n v="93600"/>
    <n v="0"/>
    <n v="12"/>
    <n v="150000"/>
    <n v="56400"/>
    <d v="2023-11-02T00:00:00"/>
    <s v="Thu Thủy - P.Mỹ (cầu Trâu Trắng)"/>
    <x v="2"/>
    <n v="2023"/>
    <n v="-37200"/>
    <n v="-0.39743589743589741"/>
    <n v="12500"/>
    <n v="12"/>
  </r>
  <r>
    <n v="512"/>
    <s v="TT01"/>
    <s v="Thanh toán lần 1"/>
    <s v="VNĐ"/>
    <n v="0"/>
    <n v="0"/>
    <n v="0"/>
    <n v="-1053000"/>
    <n v="-1053000"/>
    <d v="2023-11-02T00:00:00"/>
    <s v="Thu Thủy - P.Mỹ (cầu Trâu Trắng)"/>
    <x v="2"/>
    <n v="2023"/>
    <n v="-1053000"/>
    <n v="0"/>
    <n v="0"/>
    <n v="0"/>
  </r>
  <r>
    <n v="513"/>
    <s v="HTNM"/>
    <s v="Nhang muỗi đen ThaiLan"/>
    <s v="Hộp"/>
    <n v="450000"/>
    <n v="0"/>
    <n v="60"/>
    <n v="660000"/>
    <n v="210000"/>
    <d v="2023-11-03T00:00:00"/>
    <s v="MP Út Tuyền - B.Sao"/>
    <x v="2"/>
    <n v="2023"/>
    <n v="-240000"/>
    <n v="-0.53333333333333333"/>
    <n v="11000"/>
    <n v="60"/>
  </r>
  <r>
    <n v="514"/>
    <s v="KV1011"/>
    <s v="Khăn Napkin EMos x 30 gói"/>
    <s v="Gói"/>
    <n v="200010"/>
    <n v="0"/>
    <n v="30"/>
    <n v="225000"/>
    <n v="24990"/>
    <d v="2023-11-03T00:00:00"/>
    <s v="MP Út Tuyền - B.Sao"/>
    <x v="2"/>
    <n v="2023"/>
    <n v="-175020"/>
    <n v="-0.87505624718764063"/>
    <n v="7500"/>
    <n v="30"/>
  </r>
  <r>
    <n v="515"/>
    <s v="T3501"/>
    <s v="Tẩy quần áo màu KIMONO 350ml x 30 chai"/>
    <s v="Chai"/>
    <n v="38335"/>
    <n v="1"/>
    <n v="5"/>
    <n v="62500"/>
    <n v="24165"/>
    <d v="2023-11-03T00:00:00"/>
    <s v="MP Út Tuyền - B.Sao"/>
    <x v="2"/>
    <n v="2023"/>
    <n v="-14170"/>
    <n v="-0.36963610277814007"/>
    <n v="12500"/>
    <n v="4"/>
  </r>
  <r>
    <n v="516"/>
    <s v="KTN80"/>
    <s v="Kẹo Trang Nghiêm DÂU TÂY 80gr x 100 gói/thùng"/>
    <s v="Gói"/>
    <n v="52500"/>
    <n v="0"/>
    <n v="10"/>
    <n v="70000"/>
    <n v="17500"/>
    <d v="2023-11-03T00:00:00"/>
    <s v="Cô Huệ - B.Sao"/>
    <x v="2"/>
    <n v="2023"/>
    <n v="-35000"/>
    <n v="-0.66666666666666663"/>
    <n v="7000"/>
    <n v="10"/>
  </r>
  <r>
    <n v="517"/>
    <s v="KTN802"/>
    <s v="Kẹo Trang Nghiêm ME ỚT 80gr x 100 gói/thùng"/>
    <s v="Gói"/>
    <n v="52500"/>
    <n v="0"/>
    <n v="10"/>
    <n v="70000"/>
    <n v="17500"/>
    <d v="2023-11-03T00:00:00"/>
    <s v="Cô Huệ - B.Sao"/>
    <x v="2"/>
    <n v="2023"/>
    <n v="-35000"/>
    <n v="-0.66666666666666663"/>
    <n v="7000"/>
    <n v="10"/>
  </r>
  <r>
    <n v="518"/>
    <s v="KV1007"/>
    <s v="Khăn Napkin An An 100 tờ x 40 gói"/>
    <s v="Gói"/>
    <n v="67500"/>
    <n v="0"/>
    <n v="10"/>
    <n v="75000"/>
    <n v="7500"/>
    <d v="2023-11-03T00:00:00"/>
    <s v="Cô Huệ - B.Sao"/>
    <x v="2"/>
    <n v="2023"/>
    <n v="-60000"/>
    <n v="-0.88888888888888884"/>
    <n v="7500"/>
    <n v="10"/>
  </r>
  <r>
    <n v="519"/>
    <s v="KV1009"/>
    <s v="Khăn Napkin TiOne Gấu 100 tờ x 48 gói"/>
    <s v="Gói"/>
    <n v="60000"/>
    <n v="0"/>
    <n v="10"/>
    <n v="80000"/>
    <n v="20000"/>
    <d v="2023-11-03T00:00:00"/>
    <s v="Cô Huệ - B.Sao"/>
    <x v="2"/>
    <n v="2023"/>
    <n v="-40000"/>
    <n v="-0.66666666666666663"/>
    <n v="8000"/>
    <n v="10"/>
  </r>
  <r>
    <n v="520"/>
    <s v="SBOMMUM900"/>
    <s v="SURE OMEGA- PRO MUM 900"/>
    <s v="Lon"/>
    <n v="0"/>
    <n v="0"/>
    <n v="0"/>
    <n v="0"/>
    <n v="0"/>
    <d v="2023-11-04T00:00:00"/>
    <s v="TT Hoàng Yến - M.Long"/>
    <x v="2"/>
    <n v="2023"/>
    <n v="0"/>
    <n v="0"/>
    <n v="0"/>
    <n v="0"/>
  </r>
  <r>
    <n v="521"/>
    <s v="HTBTE50"/>
    <s v="Bánh gạo TE Happy Bites Việt Quất 50g x 12 hộp"/>
    <s v="Hộp"/>
    <n v="181200"/>
    <n v="1"/>
    <n v="4"/>
    <n v="157000"/>
    <n v="-24200"/>
    <d v="2023-11-04T00:00:00"/>
    <s v="Mỹ Hạnh - HCL"/>
    <x v="2"/>
    <n v="2023"/>
    <n v="-205400"/>
    <n v="-1.1335540838852096"/>
    <n v="39250"/>
    <n v="3"/>
  </r>
  <r>
    <n v="522"/>
    <s v="HTBTE501"/>
    <s v="Bánh gạo TE Happy Bites Táo 50g x 12 hộp"/>
    <s v="Hộp"/>
    <n v="181200"/>
    <n v="0"/>
    <n v="4"/>
    <n v="200000"/>
    <n v="18800"/>
    <d v="2023-11-04T00:00:00"/>
    <s v="Mỹ Hạnh - HCL"/>
    <x v="2"/>
    <n v="2023"/>
    <n v="-162400"/>
    <n v="-0.89624724061810157"/>
    <n v="50000"/>
    <n v="4"/>
  </r>
  <r>
    <n v="523"/>
    <s v="HTBTE502"/>
    <s v="Bánh gạo TE Happy Bites Chuối 50g x 12 hộp"/>
    <s v="Hộp"/>
    <n v="181200"/>
    <n v="0"/>
    <n v="4"/>
    <n v="200000"/>
    <n v="18800"/>
    <d v="2023-11-04T00:00:00"/>
    <s v="Mỹ Hạnh - HCL"/>
    <x v="2"/>
    <n v="2023"/>
    <n v="-162400"/>
    <n v="-0.89624724061810157"/>
    <n v="50000"/>
    <n v="4"/>
  </r>
  <r>
    <n v="524"/>
    <s v="TNS1"/>
    <s v="Tẩy toilet Nam Sơn NK 100% 1L x 12 chai"/>
    <s v="Chai"/>
    <n v="950040"/>
    <n v="12"/>
    <n v="60"/>
    <n v="1325000"/>
    <n v="374960"/>
    <d v="2023-11-04T00:00:00"/>
    <s v="Minh Hiền (chị Ớ) - B.H.Trung"/>
    <x v="2"/>
    <n v="2023"/>
    <n v="-575080"/>
    <n v="-0.60532188118395014"/>
    <n v="22083.333333333332"/>
    <n v="48"/>
  </r>
  <r>
    <n v="525"/>
    <s v="BCA001"/>
    <s v="BC Ion Exciting lông xoắn kép 24 cây x 1 hộp"/>
    <s v="Cây"/>
    <n v="110400"/>
    <n v="0"/>
    <n v="5"/>
    <n v="105000"/>
    <n v="-5400"/>
    <d v="2023-11-04T00:00:00"/>
    <s v="TT Kim Thoa - M.Long"/>
    <x v="2"/>
    <n v="2023"/>
    <n v="-115800"/>
    <n v="-1.048913043478261"/>
    <n v="21000"/>
    <n v="5"/>
  </r>
  <r>
    <n v="526"/>
    <s v="BCA12"/>
    <s v="BC AquaStar AQ-01 24 cây x 20 hộp"/>
    <s v="Cây"/>
    <n v="156400"/>
    <n v="0"/>
    <n v="10"/>
    <n v="140000"/>
    <n v="-16400"/>
    <d v="2023-11-04T00:00:00"/>
    <s v="TT Kim Thoa - M.Long"/>
    <x v="2"/>
    <n v="2023"/>
    <n v="-172800"/>
    <n v="-1.1048593350383631"/>
    <n v="14000"/>
    <n v="10"/>
  </r>
  <r>
    <n v="527"/>
    <s v="BCUNIQUE"/>
    <s v="BÀN CHẢI ĐÁNH RĂNG ION- UNIQUE"/>
    <s v="Cây"/>
    <n v="160000"/>
    <n v="0"/>
    <n v="5"/>
    <n v="105000"/>
    <n v="-55000"/>
    <d v="2023-11-04T00:00:00"/>
    <s v="TT Kim Thoa - M.Long"/>
    <x v="2"/>
    <n v="2023"/>
    <n v="-215000"/>
    <n v="-1.34375"/>
    <n v="21000"/>
    <n v="5"/>
  </r>
  <r>
    <n v="528"/>
    <s v="KR402"/>
    <s v="Khăn giấy rút SSS BiBi 2 lớp x 400gr x 12 gói"/>
    <s v="Gói"/>
    <n v="126720"/>
    <n v="0"/>
    <n v="6"/>
    <n v="108000"/>
    <n v="-18720"/>
    <d v="2023-11-04T00:00:00"/>
    <s v="TT Kim Thoa - M.Long"/>
    <x v="2"/>
    <n v="2023"/>
    <n v="-145440"/>
    <n v="-1.1477272727272727"/>
    <n v="18000"/>
    <n v="6"/>
  </r>
  <r>
    <n v="529"/>
    <s v="TBTE1001"/>
    <s v="Tăm bông thân nhựa TE túi 100 cây x 24 túi"/>
    <s v="Túi"/>
    <n v="0"/>
    <n v="0"/>
    <n v="0"/>
    <n v="0"/>
    <n v="0"/>
    <d v="2023-11-04T00:00:00"/>
    <s v="TT Kim Thoa - M.Long"/>
    <x v="2"/>
    <n v="2023"/>
    <n v="0"/>
    <n v="0"/>
    <n v="0"/>
    <n v="0"/>
  </r>
  <r>
    <n v="530"/>
    <s v="BSOGI12"/>
    <s v="Bánh SOGI CHOCOLATE 12g x 24 cây x 6 hủ"/>
    <s v="Hủ"/>
    <n v="63000"/>
    <n v="0"/>
    <n v="1"/>
    <n v="73000"/>
    <n v="10000"/>
    <d v="2023-11-04T00:00:00"/>
    <s v="Kim Loan - B.H.Tây"/>
    <x v="2"/>
    <n v="2023"/>
    <n v="-53000"/>
    <n v="-0.84126984126984128"/>
    <n v="73000"/>
    <n v="1"/>
  </r>
  <r>
    <n v="531"/>
    <s v="BSOGI121"/>
    <s v="Bánh SOGI CHOCOLATE WITH STRAWBERRY CREAM 12g x 24 cây x 6 hủ"/>
    <s v="Hủ"/>
    <n v="63000"/>
    <n v="0"/>
    <n v="1"/>
    <n v="73000"/>
    <n v="10000"/>
    <d v="2023-11-04T00:00:00"/>
    <s v="Kim Loan - B.H.Tây"/>
    <x v="2"/>
    <n v="2023"/>
    <n v="-53000"/>
    <n v="-0.84126984126984128"/>
    <n v="73000"/>
    <n v="1"/>
  </r>
  <r>
    <n v="532"/>
    <s v="HM600"/>
    <s v="HIMA Yến Huyết 6 lọ x 6 hộp"/>
    <s v="Hộp"/>
    <n v="0"/>
    <n v="0"/>
    <n v="0"/>
    <n v="0"/>
    <n v="0"/>
    <d v="2023-11-04T00:00:00"/>
    <s v="Phước Hải - A.Bình"/>
    <x v="2"/>
    <n v="2023"/>
    <n v="0"/>
    <n v="0"/>
    <n v="0"/>
    <n v="0"/>
  </r>
  <r>
    <n v="533"/>
    <s v="HM607"/>
    <s v="Yến sào Seunest KĐ xanh x 6 hộp"/>
    <s v="Hộp"/>
    <n v="0"/>
    <n v="0"/>
    <n v="0"/>
    <n v="0"/>
    <n v="0"/>
    <d v="2023-11-04T00:00:00"/>
    <s v="Phước Hải - A.Bình"/>
    <x v="2"/>
    <n v="2023"/>
    <n v="0"/>
    <n v="0"/>
    <n v="0"/>
    <n v="0"/>
  </r>
  <r>
    <n v="534"/>
    <s v="HM608"/>
    <s v="Yến sào Seunest CĐ vàng x 6 hộp"/>
    <s v="Hộp"/>
    <n v="0"/>
    <n v="0"/>
    <n v="0"/>
    <n v="0"/>
    <n v="0"/>
    <d v="2023-11-04T00:00:00"/>
    <s v="Phước Hải - A.Bình"/>
    <x v="2"/>
    <n v="2023"/>
    <n v="0"/>
    <n v="0"/>
    <n v="0"/>
    <n v="0"/>
  </r>
  <r>
    <n v="535"/>
    <s v="HM610"/>
    <s v="Yến sào Finenest CĐ đỏ x 6 hộp"/>
    <s v="Hộp"/>
    <n v="0"/>
    <n v="0"/>
    <n v="0"/>
    <n v="0"/>
    <n v="0"/>
    <d v="2023-11-04T00:00:00"/>
    <s v="Phước Hải - A.Bình"/>
    <x v="2"/>
    <n v="2023"/>
    <n v="0"/>
    <n v="0"/>
    <n v="0"/>
    <n v="0"/>
  </r>
  <r>
    <n v="536"/>
    <s v="BG1000"/>
    <s v="Bột giặt 107 Thái 100% - 1kg x 12 gói/thùng"/>
    <s v="Gói"/>
    <n v="320004"/>
    <n v="6"/>
    <n v="12"/>
    <n v="210000"/>
    <n v="-110004"/>
    <d v="2023-11-04T00:00:00"/>
    <s v="TH Trinh (Mỹ Trinh) - HCL (cuối chợ)"/>
    <x v="2"/>
    <n v="2023"/>
    <n v="-430008"/>
    <n v="-1.3437582030224622"/>
    <n v="17500"/>
    <n v="6"/>
  </r>
  <r>
    <n v="537"/>
    <s v="BG5200"/>
    <s v="Bột giặt Lady 107 -  5,2kg x 3 gói/thùng"/>
    <s v="Gói"/>
    <n v="1058940"/>
    <n v="0"/>
    <n v="9"/>
    <n v="1431000"/>
    <n v="372060"/>
    <d v="2023-11-04T00:00:00"/>
    <s v="TH Trinh (Mỹ Trinh) - HCL (cuối chợ)"/>
    <x v="2"/>
    <n v="2023"/>
    <n v="-686880"/>
    <n v="-0.64864864864864868"/>
    <n v="159000"/>
    <n v="9"/>
  </r>
  <r>
    <n v="538"/>
    <s v="BSOGI12"/>
    <s v="Bánh SOGI CHOCOLATE 12g x 24 cây x 6 hủ"/>
    <s v="Hủ"/>
    <n v="63000"/>
    <n v="0"/>
    <n v="1"/>
    <n v="73000"/>
    <n v="10000"/>
    <d v="2023-11-04T00:00:00"/>
    <s v="TH Hiếu (Ngọc Hiếu) - N.Mỹ"/>
    <x v="2"/>
    <n v="2023"/>
    <n v="-53000"/>
    <n v="-0.84126984126984128"/>
    <n v="73000"/>
    <n v="1"/>
  </r>
  <r>
    <n v="539"/>
    <s v="BSOGI121"/>
    <s v="Bánh SOGI CHOCOLATE WITH STRAWBERRY CREAM 12g x 24 cây x 6 hủ"/>
    <s v="Hủ"/>
    <n v="63000"/>
    <n v="0"/>
    <n v="1"/>
    <n v="73000"/>
    <n v="10000"/>
    <d v="2023-11-04T00:00:00"/>
    <s v="TH Hiếu (Ngọc Hiếu) - N.Mỹ"/>
    <x v="2"/>
    <n v="2023"/>
    <n v="-53000"/>
    <n v="-0.84126984126984128"/>
    <n v="73000"/>
    <n v="1"/>
  </r>
  <r>
    <n v="540"/>
    <s v="HTBX3501"/>
    <s v="Bánh xốp Papang vị Cam 350g x 12"/>
    <s v="Hộp"/>
    <n v="114400"/>
    <n v="0"/>
    <n v="2"/>
    <n v="134000"/>
    <n v="19600"/>
    <d v="2023-11-04T00:00:00"/>
    <s v="TH Hiếu (Ngọc Hiếu) - N.Mỹ"/>
    <x v="2"/>
    <n v="2023"/>
    <n v="-94800"/>
    <n v="-0.82867132867132864"/>
    <n v="67000"/>
    <n v="2"/>
  </r>
  <r>
    <n v="541"/>
    <s v="HTBX3502"/>
    <s v="Bánh xốp Papang vị Sữa 350g x 12"/>
    <s v="Hộp"/>
    <n v="114400"/>
    <n v="0"/>
    <n v="2"/>
    <n v="134000"/>
    <n v="19600"/>
    <d v="2023-11-04T00:00:00"/>
    <s v="TH Hiếu (Ngọc Hiếu) - N.Mỹ"/>
    <x v="2"/>
    <n v="2023"/>
    <n v="-94800"/>
    <n v="-0.82867132867132864"/>
    <n v="67000"/>
    <n v="2"/>
  </r>
  <r>
    <n v="542"/>
    <s v="HTBXG350"/>
    <s v="Bánh xốp Papang vị Chocolate 350g x 12"/>
    <s v="Hộp"/>
    <n v="114400"/>
    <n v="0"/>
    <n v="2"/>
    <n v="134000"/>
    <n v="19600"/>
    <d v="2023-11-04T00:00:00"/>
    <s v="TH Hiếu (Ngọc Hiếu) - N.Mỹ"/>
    <x v="2"/>
    <n v="2023"/>
    <n v="-94800"/>
    <n v="-0.82867132867132864"/>
    <n v="67000"/>
    <n v="2"/>
  </r>
  <r>
    <n v="543"/>
    <s v="KTN2004"/>
    <s v="Kẹo Trang Nghiêm ME ỚT 200gr x 50 gói/thùng"/>
    <s v="Gói"/>
    <n v="122000"/>
    <n v="0"/>
    <n v="10"/>
    <n v="140000"/>
    <n v="18000"/>
    <d v="2023-11-04T00:00:00"/>
    <s v="TH Hiếu (Ngọc Hiếu) - N.Mỹ"/>
    <x v="2"/>
    <n v="2023"/>
    <n v="-104000"/>
    <n v="-0.85245901639344257"/>
    <n v="14000"/>
    <n v="10"/>
  </r>
  <r>
    <n v="544"/>
    <s v="HTBX3501"/>
    <s v="Bánh xốp Papang vị Cam 350g x 12"/>
    <s v="Hộp"/>
    <n v="114400"/>
    <n v="0"/>
    <n v="2"/>
    <n v="134000"/>
    <n v="19600"/>
    <d v="2023-11-04T00:00:00"/>
    <s v="Kim Phụng Điện - HCL"/>
    <x v="2"/>
    <n v="2023"/>
    <n v="-94800"/>
    <n v="-0.82867132867132864"/>
    <n v="67000"/>
    <n v="2"/>
  </r>
  <r>
    <n v="545"/>
    <s v="HTBX3502"/>
    <s v="Bánh xốp Papang vị Sữa 350g x 12"/>
    <s v="Hộp"/>
    <n v="114400"/>
    <n v="0"/>
    <n v="2"/>
    <n v="134000"/>
    <n v="19600"/>
    <d v="2023-11-04T00:00:00"/>
    <s v="Kim Phụng Điện - HCL"/>
    <x v="2"/>
    <n v="2023"/>
    <n v="-94800"/>
    <n v="-0.82867132867132864"/>
    <n v="67000"/>
    <n v="2"/>
  </r>
  <r>
    <n v="546"/>
    <s v="HTBXG350"/>
    <s v="Bánh xốp Papang vị Chocolate 350g x 12"/>
    <s v="Hộp"/>
    <n v="114400"/>
    <n v="0"/>
    <n v="2"/>
    <n v="134000"/>
    <n v="19600"/>
    <d v="2023-11-04T00:00:00"/>
    <s v="Kim Phụng Điện - HCL"/>
    <x v="2"/>
    <n v="2023"/>
    <n v="-94800"/>
    <n v="-0.82867132867132864"/>
    <n v="67000"/>
    <n v="2"/>
  </r>
  <r>
    <n v="547"/>
    <s v="GC10"/>
    <s v="V/S Bibi không lõi x 10 dây"/>
    <s v="Dây"/>
    <n v="0"/>
    <n v="0"/>
    <n v="0"/>
    <n v="0"/>
    <n v="0"/>
    <d v="2023-11-04T00:00:00"/>
    <s v="Thế Giới Con Cưng - HCL"/>
    <x v="2"/>
    <n v="2023"/>
    <n v="0"/>
    <n v="0"/>
    <n v="0"/>
    <n v="0"/>
  </r>
  <r>
    <n v="548"/>
    <s v="GC109"/>
    <s v="GVS Toply 10 cuộn x 10 cây"/>
    <s v="Cây"/>
    <n v="0"/>
    <n v="0"/>
    <n v="0"/>
    <n v="0"/>
    <n v="0"/>
    <d v="2023-11-04T00:00:00"/>
    <s v="Thế Giới Con Cưng - HCL"/>
    <x v="2"/>
    <n v="2023"/>
    <n v="0"/>
    <n v="0"/>
    <n v="0"/>
    <n v="0"/>
  </r>
  <r>
    <n v="549"/>
    <s v="HTBTE50"/>
    <s v="Bánh gạo TE Happy Bites Việt Quất 50g x 12 hộp"/>
    <s v="Hộp"/>
    <n v="543600"/>
    <n v="0"/>
    <n v="12"/>
    <n v="600000"/>
    <n v="56400"/>
    <d v="2023-11-04T00:00:00"/>
    <s v="Thế Giới Con Cưng - HCL"/>
    <x v="2"/>
    <n v="2023"/>
    <n v="-487200"/>
    <n v="-0.89624724061810157"/>
    <n v="50000"/>
    <n v="12"/>
  </r>
  <r>
    <n v="550"/>
    <s v="HTBTE501"/>
    <s v="Bánh gạo TE Happy Bites Táo 50g x 12 hộp"/>
    <s v="Hộp"/>
    <n v="815400"/>
    <n v="0"/>
    <n v="18"/>
    <n v="900000"/>
    <n v="84600"/>
    <d v="2023-11-04T00:00:00"/>
    <s v="Thế Giới Con Cưng - HCL"/>
    <x v="2"/>
    <n v="2023"/>
    <n v="-730800"/>
    <n v="-0.89624724061810157"/>
    <n v="50000"/>
    <n v="18"/>
  </r>
  <r>
    <n v="551"/>
    <s v="HTBTE502"/>
    <s v="Bánh gạo TE Happy Bites Chuối 50g x 12 hộp"/>
    <s v="Hộp"/>
    <n v="815400"/>
    <n v="0"/>
    <n v="18"/>
    <n v="900000"/>
    <n v="84600"/>
    <d v="2023-11-04T00:00:00"/>
    <s v="Thế Giới Con Cưng - HCL"/>
    <x v="2"/>
    <n v="2023"/>
    <n v="-730800"/>
    <n v="-0.89624724061810157"/>
    <n v="50000"/>
    <n v="18"/>
  </r>
  <r>
    <n v="552"/>
    <s v="KMQCL"/>
    <s v="Quạt SENKO 1638 chân lỡ"/>
    <s v="Cây"/>
    <n v="0"/>
    <n v="1"/>
    <n v="0"/>
    <n v="-282000"/>
    <n v="-282000"/>
    <d v="2023-11-04T00:00:00"/>
    <s v="Thế Giới Con Cưng - HCL"/>
    <x v="2"/>
    <n v="2023"/>
    <n v="-282000"/>
    <n v="0"/>
    <n v="0"/>
    <n v="-1"/>
  </r>
  <r>
    <n v="553"/>
    <s v="HTBX288"/>
    <s v="Bánh xốp Uni Chocolate 288g x 12"/>
    <s v="Hộp"/>
    <n v="125400"/>
    <n v="0"/>
    <n v="3"/>
    <n v="147000"/>
    <n v="21600"/>
    <d v="2023-11-04T00:00:00"/>
    <s v="CH sữa tả Quý Ngọc - B.H.Trung"/>
    <x v="2"/>
    <n v="2023"/>
    <n v="-103800"/>
    <n v="-0.82775119617224879"/>
    <n v="49000"/>
    <n v="3"/>
  </r>
  <r>
    <n v="554"/>
    <s v="HTBX2881"/>
    <s v="Bánh xốp Uni Vanila 288g x 12"/>
    <s v="Hộp"/>
    <n v="125400"/>
    <n v="0"/>
    <n v="3"/>
    <n v="147000"/>
    <n v="21600"/>
    <d v="2023-11-04T00:00:00"/>
    <s v="CH sữa tả Quý Ngọc - B.H.Trung"/>
    <x v="2"/>
    <n v="2023"/>
    <n v="-103800"/>
    <n v="-0.82775119617224879"/>
    <n v="49000"/>
    <n v="3"/>
  </r>
  <r>
    <n v="555"/>
    <s v="HM10"/>
    <s v="Yến sào Finenest nhân sâm x 10 hộp"/>
    <s v="Hộp"/>
    <n v="0"/>
    <n v="6"/>
    <n v="0"/>
    <n v="-654000"/>
    <n v="-654000"/>
    <d v="2023-11-04T00:00:00"/>
    <s v="Khải Vân - HCL"/>
    <x v="2"/>
    <n v="2023"/>
    <n v="-654000"/>
    <n v="0"/>
    <n v="0"/>
    <n v="-6"/>
  </r>
  <r>
    <n v="556"/>
    <s v="HM608"/>
    <s v="Yến sào Seunest CĐ vàng x 6 hộp"/>
    <s v="Hộp"/>
    <n v="600000"/>
    <n v="0"/>
    <n v="6"/>
    <n v="1308000"/>
    <n v="708000"/>
    <d v="2023-11-04T00:00:00"/>
    <s v="Khải Vân - HCL"/>
    <x v="2"/>
    <n v="2023"/>
    <n v="108000"/>
    <n v="0.18"/>
    <n v="218000"/>
    <n v="6"/>
  </r>
  <r>
    <n v="557"/>
    <s v="HM10"/>
    <s v="Yến sào Finenest nhân sâm x 10 hộp"/>
    <s v="Hộp"/>
    <n v="0"/>
    <n v="3"/>
    <n v="0"/>
    <n v="-327000"/>
    <n v="-327000"/>
    <d v="2023-11-04T00:00:00"/>
    <s v="Kim Thúy - HCL"/>
    <x v="2"/>
    <n v="2023"/>
    <n v="-327000"/>
    <n v="0"/>
    <n v="0"/>
    <n v="-3"/>
  </r>
  <r>
    <n v="558"/>
    <s v="HM608"/>
    <s v="Yến sào Seunest CĐ vàng x 6 hộp"/>
    <s v="Hộp"/>
    <n v="300000"/>
    <n v="0"/>
    <n v="3"/>
    <n v="654000"/>
    <n v="354000"/>
    <d v="2023-11-04T00:00:00"/>
    <s v="Kim Thúy - HCL"/>
    <x v="2"/>
    <n v="2023"/>
    <n v="54000"/>
    <n v="0.18"/>
    <n v="218000"/>
    <n v="3"/>
  </r>
  <r>
    <n v="559"/>
    <s v="HTK151"/>
    <s v="Kẹo Tommy trái cây 15g x 12 gói x 12 dây"/>
    <s v="Dây"/>
    <n v="150000"/>
    <n v="0"/>
    <n v="4"/>
    <n v="168000"/>
    <n v="18000"/>
    <d v="2023-11-04T00:00:00"/>
    <s v="Kim Thúy - HCL"/>
    <x v="2"/>
    <n v="2023"/>
    <n v="-132000"/>
    <n v="-0.88"/>
    <n v="42000"/>
    <n v="4"/>
  </r>
  <r>
    <n v="560"/>
    <s v="KTN2004"/>
    <s v="Kẹo Trang Nghiêm ME ỚT 200gr x 50 gói/thùng"/>
    <s v="Gói"/>
    <n v="122000"/>
    <n v="0"/>
    <n v="10"/>
    <n v="140000"/>
    <n v="18000"/>
    <d v="2023-11-04T00:00:00"/>
    <s v="Kim Thúy - HCL"/>
    <x v="2"/>
    <n v="2023"/>
    <n v="-104000"/>
    <n v="-0.85245901639344257"/>
    <n v="14000"/>
    <n v="10"/>
  </r>
  <r>
    <n v="561"/>
    <s v="BSOGI12"/>
    <s v="Bánh SOGI CHOCOLATE 12g x 24 cây x 6 hủ"/>
    <s v="Hủ"/>
    <n v="63000"/>
    <n v="0"/>
    <n v="1"/>
    <n v="72000"/>
    <n v="9000"/>
    <d v="2023-11-04T00:00:00"/>
    <s v="Thuận Tài - B.H.Trung "/>
    <x v="2"/>
    <n v="2023"/>
    <n v="-54000"/>
    <n v="-0.8571428571428571"/>
    <n v="72000"/>
    <n v="1"/>
  </r>
  <r>
    <n v="562"/>
    <s v="CG50"/>
    <s v="Chân gà cay ăn liền ZL FOOD loại 50g x 30 x 7 túi"/>
    <s v="Cái"/>
    <n v="165000"/>
    <n v="0"/>
    <n v="30"/>
    <n v="200000"/>
    <n v="35000"/>
    <d v="2023-11-04T00:00:00"/>
    <s v="Thuận Tài - B.H.Trung "/>
    <x v="2"/>
    <n v="2023"/>
    <n v="-130000"/>
    <n v="-0.78787878787878785"/>
    <n v="6666.666666666667"/>
    <n v="30"/>
  </r>
  <r>
    <n v="563"/>
    <s v="HTBX3501"/>
    <s v="Bánh xốp Papang vị Cam 350g x 12"/>
    <s v="Hộp"/>
    <n v="114400"/>
    <n v="0"/>
    <n v="2"/>
    <n v="134000"/>
    <n v="19600"/>
    <d v="2023-11-04T00:00:00"/>
    <s v="Tuấn Kiệt - M.Long"/>
    <x v="2"/>
    <n v="2023"/>
    <n v="-94800"/>
    <n v="-0.82867132867132864"/>
    <n v="67000"/>
    <n v="2"/>
  </r>
  <r>
    <n v="564"/>
    <s v="HTBX3502"/>
    <s v="Bánh xốp Papang vị Sữa 350g x 12"/>
    <s v="Hộp"/>
    <n v="114400"/>
    <n v="0"/>
    <n v="2"/>
    <n v="134000"/>
    <n v="19600"/>
    <d v="2023-11-04T00:00:00"/>
    <s v="Tuấn Kiệt - M.Long"/>
    <x v="2"/>
    <n v="2023"/>
    <n v="-94800"/>
    <n v="-0.82867132867132864"/>
    <n v="67000"/>
    <n v="2"/>
  </r>
  <r>
    <n v="565"/>
    <s v="HTBXG350"/>
    <s v="Bánh xốp Papang vị Chocolate 350g x 12"/>
    <s v="Hộp"/>
    <n v="57200"/>
    <n v="0"/>
    <n v="1"/>
    <n v="67000"/>
    <n v="9800"/>
    <d v="2023-11-04T00:00:00"/>
    <s v="Tuấn Kiệt - M.Long"/>
    <x v="2"/>
    <n v="2023"/>
    <n v="-47400"/>
    <n v="-0.82867132867132864"/>
    <n v="67000"/>
    <n v="1"/>
  </r>
  <r>
    <n v="566"/>
    <s v="HTKCF140"/>
    <s v="Kẹo Cafe United 140g X 24 gói"/>
    <s v="Gói"/>
    <n v="0"/>
    <n v="0"/>
    <n v="0"/>
    <n v="0"/>
    <n v="0"/>
    <d v="2023-11-04T00:00:00"/>
    <s v="Tuấn Kiệt - M.Long"/>
    <x v="2"/>
    <n v="2023"/>
    <n v="0"/>
    <n v="0"/>
    <n v="0"/>
    <n v="0"/>
  </r>
  <r>
    <n v="567"/>
    <s v="SBOMGROW900"/>
    <s v="SURE OMEGA-GROW IQ 900G"/>
    <s v="Lon"/>
    <n v="2548800"/>
    <n v="0"/>
    <n v="12"/>
    <n v="2865600"/>
    <n v="316800"/>
    <d v="2023-11-06T00:00:00"/>
    <s v="TT Hoàng Yến - M.Long"/>
    <x v="2"/>
    <n v="2023"/>
    <n v="-2232000"/>
    <n v="-0.87570621468926557"/>
    <n v="238800"/>
    <n v="12"/>
  </r>
  <r>
    <n v="568"/>
    <s v="KR1001"/>
    <s v="Khăn giấy rút lụa SSS BiBi 2 lớp x 1kg x 10 gói"/>
    <s v="Gói"/>
    <n v="3360000"/>
    <n v="0"/>
    <n v="70"/>
    <n v="2912000"/>
    <n v="-448000"/>
    <d v="2023-11-06T00:00:00"/>
    <s v="Hoàng Huyên - M.Long"/>
    <x v="2"/>
    <n v="2023"/>
    <n v="-3808000"/>
    <n v="-1.1333333333333333"/>
    <n v="41600"/>
    <n v="70"/>
  </r>
  <r>
    <n v="569"/>
    <s v="HTBD12"/>
    <s v="Bánh đũa Gap Dâu tây 12g x 12 hộp x 12"/>
    <s v="Hộp"/>
    <n v="42084"/>
    <n v="0"/>
    <n v="1"/>
    <n v="48000"/>
    <n v="5916"/>
    <d v="2023-11-06T00:00:00"/>
    <s v="Thế giới sữa Tony - T.Nghĩa"/>
    <x v="2"/>
    <n v="2023"/>
    <n v="-36168"/>
    <n v="-0.85942400912460792"/>
    <n v="48000"/>
    <n v="1"/>
  </r>
  <r>
    <n v="570"/>
    <s v="HTBD121"/>
    <s v="Bánh đũa Gap Sô cô la 12g x 12 hộp x 12"/>
    <s v="Hộp"/>
    <n v="42084"/>
    <n v="0"/>
    <n v="1"/>
    <n v="48000"/>
    <n v="5916"/>
    <d v="2023-11-06T00:00:00"/>
    <s v="Thế giới sữa Tony - T.Nghĩa"/>
    <x v="2"/>
    <n v="2023"/>
    <n v="-36168"/>
    <n v="-0.85942400912460792"/>
    <n v="48000"/>
    <n v="1"/>
  </r>
  <r>
    <n v="571"/>
    <s v="HTBD122"/>
    <s v="Bánh đũa Gap Sữa 12g x 12 hộp x 12"/>
    <s v="Hộp"/>
    <n v="0"/>
    <n v="0"/>
    <n v="0"/>
    <n v="0"/>
    <n v="0"/>
    <d v="2023-11-06T00:00:00"/>
    <s v="Thế giới sữa Tony - T.Nghĩa"/>
    <x v="2"/>
    <n v="2023"/>
    <n v="0"/>
    <n v="0"/>
    <n v="0"/>
    <n v="0"/>
  </r>
  <r>
    <n v="572"/>
    <s v="HTBTE501"/>
    <s v="Bánh gạo TE Happy Bites Táo 50g x 12 hộp"/>
    <s v="Hộp"/>
    <n v="271800"/>
    <n v="0"/>
    <n v="6"/>
    <n v="300000"/>
    <n v="28200"/>
    <d v="2023-11-06T00:00:00"/>
    <s v="Thế giới sữa Tony - T.Nghĩa"/>
    <x v="2"/>
    <n v="2023"/>
    <n v="-243600"/>
    <n v="-0.89624724061810157"/>
    <n v="50000"/>
    <n v="6"/>
  </r>
  <r>
    <n v="573"/>
    <s v="HTBTE502"/>
    <s v="Bánh gạo TE Happy Bites Chuối 50g x 12 hộp"/>
    <s v="Hộp"/>
    <n v="271800"/>
    <n v="1"/>
    <n v="6"/>
    <n v="300000"/>
    <n v="28200"/>
    <d v="2023-11-06T00:00:00"/>
    <s v="Thế giới sữa Tony - T.Nghĩa"/>
    <x v="2"/>
    <n v="2023"/>
    <n v="-243600"/>
    <n v="-0.89624724061810157"/>
    <n v="50000"/>
    <n v="5"/>
  </r>
  <r>
    <n v="574"/>
    <s v="HTKD802"/>
    <s v="Kẹo dẻo YOYO Assorted Mix (Thập cẩm) 80g x 24 gói"/>
    <s v="Gói"/>
    <n v="78320"/>
    <n v="0"/>
    <n v="5"/>
    <n v="92500"/>
    <n v="14180"/>
    <d v="2023-11-06T00:00:00"/>
    <s v="Thế giới sữa Tony - T.Nghĩa"/>
    <x v="2"/>
    <n v="2023"/>
    <n v="-64140"/>
    <n v="-0.81894790602655776"/>
    <n v="18500"/>
    <n v="5"/>
  </r>
  <r>
    <n v="575"/>
    <s v="HTCTBC180"/>
    <s v="Cốc thả bồn cầu 180g x 24 hũ"/>
    <s v="Hủ"/>
    <n v="0"/>
    <n v="0"/>
    <n v="0"/>
    <n v="0"/>
    <n v="0"/>
    <d v="2023-11-09T00:00:00"/>
    <s v="Thanh Tâm - Ngã 4"/>
    <x v="2"/>
    <n v="2023"/>
    <n v="0"/>
    <n v="0"/>
    <n v="0"/>
    <n v="0"/>
  </r>
  <r>
    <n v="576"/>
    <s v="KTN80"/>
    <s v="Kẹo Trang Nghiêm DÂU TÂY 80gr x 100 gói/thùng"/>
    <s v="Gói"/>
    <n v="26250"/>
    <n v="0"/>
    <n v="5"/>
    <n v="35000"/>
    <n v="8750"/>
    <d v="2023-11-09T00:00:00"/>
    <s v="Thanh Tâm - Ngã 4"/>
    <x v="2"/>
    <n v="2023"/>
    <n v="-17500"/>
    <n v="-0.66666666666666663"/>
    <n v="7000"/>
    <n v="5"/>
  </r>
  <r>
    <n v="577"/>
    <s v="KTN801"/>
    <s v="Kẹo Trang Nghiêm DÂU TẰM 80gr x 100 gói/thùng"/>
    <s v="Gói"/>
    <n v="26250"/>
    <n v="0"/>
    <n v="5"/>
    <n v="35000"/>
    <n v="8750"/>
    <d v="2023-11-09T00:00:00"/>
    <s v="Thanh Tâm - Ngã 4"/>
    <x v="2"/>
    <n v="2023"/>
    <n v="-17500"/>
    <n v="-0.66666666666666663"/>
    <n v="7000"/>
    <n v="5"/>
  </r>
  <r>
    <n v="578"/>
    <s v="KTN802"/>
    <s v="Kẹo Trang Nghiêm ME ỚT 80gr x 100 gói/thùng"/>
    <s v="Gói"/>
    <n v="26250"/>
    <n v="0"/>
    <n v="5"/>
    <n v="35000"/>
    <n v="8750"/>
    <d v="2023-11-09T00:00:00"/>
    <s v="Thanh Tâm - Ngã 4"/>
    <x v="2"/>
    <n v="2023"/>
    <n v="-17500"/>
    <n v="-0.66666666666666663"/>
    <n v="7000"/>
    <n v="5"/>
  </r>
  <r>
    <n v="579"/>
    <s v="BWW18"/>
    <s v="Bánh quy WINWIN - Hương vị BẮP (943) 8 gói x 180g x 24 hộp"/>
    <s v="Hộp"/>
    <n v="82500"/>
    <n v="0"/>
    <n v="3"/>
    <n v="84000"/>
    <n v="1500"/>
    <d v="2023-11-09T00:00:00"/>
    <s v="Thế giới sữa Tony - T.Nghĩa"/>
    <x v="2"/>
    <n v="2023"/>
    <n v="-81000"/>
    <n v="-0.98181818181818181"/>
    <n v="28000"/>
    <n v="3"/>
  </r>
  <r>
    <n v="580"/>
    <s v="BWW181"/>
    <s v="Bánh quy WINWIN - Hương vị HẢI SẢN (997) 8 gói x 18g x 24 hộp"/>
    <s v="Hộp"/>
    <n v="82500"/>
    <n v="0"/>
    <n v="3"/>
    <n v="84000"/>
    <n v="1500"/>
    <d v="2023-11-09T00:00:00"/>
    <s v="Thế giới sữa Tony - T.Nghĩa"/>
    <x v="2"/>
    <n v="2023"/>
    <n v="-81000"/>
    <n v="-0.98181818181818181"/>
    <n v="28000"/>
    <n v="3"/>
  </r>
  <r>
    <n v="581"/>
    <s v="BWW202"/>
    <s v="Bánh quy WINWIN - Khoai tây vị BBQ (908) 8 gói x 20g x 24 hộp"/>
    <s v="Hộp"/>
    <n v="82500"/>
    <n v="0"/>
    <n v="3"/>
    <n v="84000"/>
    <n v="1500"/>
    <d v="2023-11-09T00:00:00"/>
    <s v="Thế giới sữa Tony - T.Nghĩa"/>
    <x v="2"/>
    <n v="2023"/>
    <n v="-81000"/>
    <n v="-0.98181818181818181"/>
    <n v="28000"/>
    <n v="3"/>
  </r>
  <r>
    <n v="582"/>
    <s v="BWW203"/>
    <s v="Bánh quy WINWIN - Khoai tây vị RAU CẢI (910) 8 gói x 20g x 24 hộp"/>
    <s v="Hộp"/>
    <n v="82500"/>
    <n v="0"/>
    <n v="3"/>
    <n v="84000"/>
    <n v="1500"/>
    <d v="2023-11-09T00:00:00"/>
    <s v="Thế giới sữa Tony - T.Nghĩa"/>
    <x v="2"/>
    <n v="2023"/>
    <n v="-81000"/>
    <n v="-0.98181818181818181"/>
    <n v="28000"/>
    <n v="3"/>
  </r>
  <r>
    <n v="583"/>
    <s v="CG50"/>
    <s v="Chân gà cay ăn liền ZL FOOD loại 50g x 30 x 7 túi"/>
    <s v="Cái"/>
    <n v="165000"/>
    <n v="0"/>
    <n v="30"/>
    <n v="195000"/>
    <n v="30000"/>
    <d v="2023-11-09T00:00:00"/>
    <s v="Thế giới sữa Tony - T.Nghĩa"/>
    <x v="2"/>
    <n v="2023"/>
    <n v="-135000"/>
    <n v="-0.81818181818181823"/>
    <n v="6500"/>
    <n v="30"/>
  </r>
  <r>
    <n v="584"/>
    <s v="HTBD121"/>
    <s v="Bánh đũa Gap Sô cô la 12g x 12 hộp x 12"/>
    <s v="Hộp"/>
    <n v="42084"/>
    <n v="0"/>
    <n v="1"/>
    <n v="48000"/>
    <n v="5916"/>
    <d v="2023-11-09T00:00:00"/>
    <s v="Thế giới sữa Tony - T.Nghĩa"/>
    <x v="2"/>
    <n v="2023"/>
    <n v="-36168"/>
    <n v="-0.85942400912460792"/>
    <n v="48000"/>
    <n v="1"/>
  </r>
  <r>
    <n v="585"/>
    <s v="KGC10"/>
    <s v="KHÔ GÀ CAY - 10 GR x 500 gói"/>
    <s v="Gói"/>
    <n v="90000"/>
    <n v="0"/>
    <n v="25"/>
    <n v="100000"/>
    <n v="10000"/>
    <d v="2023-11-09T00:00:00"/>
    <s v="Thế giới sữa Tony - T.Nghĩa"/>
    <x v="2"/>
    <n v="2023"/>
    <n v="-80000"/>
    <n v="-0.88888888888888884"/>
    <n v="4000"/>
    <n v="25"/>
  </r>
  <r>
    <n v="586"/>
    <s v="JA1KG"/>
    <s v="Javel 1L x 12 chai"/>
    <s v="Chai"/>
    <n v="450000"/>
    <n v="12"/>
    <n v="60"/>
    <n v="650000"/>
    <n v="200000"/>
    <d v="2023-11-09T00:00:00"/>
    <s v="5 Phụng - T.Nghĩa"/>
    <x v="2"/>
    <n v="2023"/>
    <n v="-250000"/>
    <n v="-0.55555555555555558"/>
    <n v="10833.333333333334"/>
    <n v="48"/>
  </r>
  <r>
    <n v="587"/>
    <s v="BC32C189"/>
    <s v="BC ThaiLan ống 30 cây x 15 hũ"/>
    <s v="Hủ"/>
    <n v="230000"/>
    <n v="0"/>
    <n v="2"/>
    <n v="390000"/>
    <n v="160000"/>
    <d v="2023-11-09T00:00:00"/>
    <s v="Chị Nhung - T.Nghĩa"/>
    <x v="2"/>
    <n v="2023"/>
    <n v="-70000"/>
    <n v="-0.30434782608695654"/>
    <n v="195000"/>
    <n v="2"/>
  </r>
  <r>
    <n v="588"/>
    <s v="CG50"/>
    <s v="Chân gà cay ăn liền ZL FOOD loại 50g x 30 x 7 túi"/>
    <s v="Cái"/>
    <n v="165000"/>
    <n v="0"/>
    <n v="30"/>
    <n v="180000"/>
    <n v="15000"/>
    <d v="2023-11-09T00:00:00"/>
    <s v="Chị Nhung - T.Nghĩa"/>
    <x v="2"/>
    <n v="2023"/>
    <n v="-150000"/>
    <n v="-0.90909090909090906"/>
    <n v="6000"/>
    <n v="30"/>
  </r>
  <r>
    <n v="589"/>
    <s v="HTK151"/>
    <s v="Kẹo Tommy trái cây 15g x 12 gói x 12 dây"/>
    <s v="Dây"/>
    <n v="75000"/>
    <n v="0"/>
    <n v="2"/>
    <n v="82000"/>
    <n v="7000"/>
    <d v="2023-11-09T00:00:00"/>
    <s v="Chị Nhung - T.Nghĩa"/>
    <x v="2"/>
    <n v="2023"/>
    <n v="-68000"/>
    <n v="-0.90666666666666662"/>
    <n v="41000"/>
    <n v="2"/>
  </r>
  <r>
    <n v="590"/>
    <s v="KMQ"/>
    <s v="Quạt chân cao"/>
    <s v="Cây"/>
    <n v="0"/>
    <n v="1"/>
    <n v="0"/>
    <n v="0"/>
    <n v="0"/>
    <d v="2023-11-09T00:00:00"/>
    <s v="Chị Nhung - T.Nghĩa"/>
    <x v="2"/>
    <n v="2023"/>
    <n v="0"/>
    <n v="0"/>
    <n v="0"/>
    <n v="-1"/>
  </r>
  <r>
    <n v="591"/>
    <s v="VMS002"/>
    <s v="VM Kẹo Thạch 500g (500g x 20 túi)"/>
    <s v="Túi"/>
    <n v="46562"/>
    <n v="0"/>
    <n v="2"/>
    <n v="63000"/>
    <n v="16438"/>
    <d v="2023-11-09T00:00:00"/>
    <s v="Chị Nhung - T.Nghĩa"/>
    <x v="2"/>
    <n v="2023"/>
    <n v="-30124"/>
    <n v="-0.64696533654052657"/>
    <n v="31500"/>
    <n v="2"/>
  </r>
  <r>
    <n v="592"/>
    <s v="CG50"/>
    <s v="Chân gà cay ăn liền ZL FOOD loại 50g x 30 x 7 túi"/>
    <s v="Cái"/>
    <n v="82500"/>
    <n v="0"/>
    <n v="15"/>
    <n v="97500"/>
    <n v="15000"/>
    <d v="2023-11-09T00:00:00"/>
    <s v="An Nhiên - T.Nghĩa"/>
    <x v="2"/>
    <n v="2023"/>
    <n v="-67500"/>
    <n v="-0.81818181818181823"/>
    <n v="6500"/>
    <n v="15"/>
  </r>
  <r>
    <n v="593"/>
    <s v="CG501"/>
    <s v="Chân gà cay ăn liền ZL FOOD Acao 50g x 30 x 7 túi"/>
    <s v="Cái"/>
    <n v="82500"/>
    <n v="0"/>
    <n v="15"/>
    <n v="97500"/>
    <n v="15000"/>
    <d v="2023-11-09T00:00:00"/>
    <s v="An Nhiên - T.Nghĩa"/>
    <x v="2"/>
    <n v="2023"/>
    <n v="-67500"/>
    <n v="-0.81818181818181823"/>
    <n v="6500"/>
    <n v="15"/>
  </r>
  <r>
    <n v="594"/>
    <s v="KR1500"/>
    <s v="Khăn rút TiOne treo tường 1500 tờ x 15 gói"/>
    <s v="Gói"/>
    <n v="57000"/>
    <n v="0"/>
    <n v="3"/>
    <n v="84000"/>
    <n v="27000"/>
    <d v="2023-11-09T00:00:00"/>
    <s v="Ngọc Thắm - T.Nghĩa"/>
    <x v="2"/>
    <n v="2023"/>
    <n v="-30000"/>
    <n v="-0.52631578947368418"/>
    <n v="28000"/>
    <n v="3"/>
  </r>
  <r>
    <n v="595"/>
    <s v="KU1509"/>
    <s v="Khăn ướt BBIWINEW (khổ lớn) 150g x 30 gói"/>
    <s v="Gói"/>
    <n v="90000"/>
    <n v="0"/>
    <n v="10"/>
    <n v="130000"/>
    <n v="40000"/>
    <d v="2023-11-09T00:00:00"/>
    <s v="Ngọc Thắm - T.Nghĩa"/>
    <x v="2"/>
    <n v="2023"/>
    <n v="-50000"/>
    <n v="-0.55555555555555558"/>
    <n v="13000"/>
    <n v="10"/>
  </r>
  <r>
    <n v="596"/>
    <s v="KV1001"/>
    <s v="Khăn Napkin Ruby Gold 100 tờ x 30 gói"/>
    <s v="Gói"/>
    <n v="75000"/>
    <n v="0"/>
    <n v="10"/>
    <n v="90000"/>
    <n v="15000"/>
    <d v="2023-11-09T00:00:00"/>
    <s v="Ngọc Thắm - T.Nghĩa"/>
    <x v="2"/>
    <n v="2023"/>
    <n v="-60000"/>
    <n v="-0.8"/>
    <n v="9000"/>
    <n v="10"/>
  </r>
  <r>
    <n v="597"/>
    <s v="KV1007"/>
    <s v="Khăn Napkin An An 100 tờ x 40 gói"/>
    <s v="Gói"/>
    <n v="270000"/>
    <n v="0"/>
    <n v="40"/>
    <n v="300000"/>
    <n v="30000"/>
    <d v="2023-11-09T00:00:00"/>
    <s v="Ngọc Thắm - T.Nghĩa"/>
    <x v="2"/>
    <n v="2023"/>
    <n v="-240000"/>
    <n v="-0.88888888888888884"/>
    <n v="7500"/>
    <n v="40"/>
  </r>
  <r>
    <n v="598"/>
    <s v="KU250"/>
    <s v="Khăn ướt TE Villa 250g x 30 gói"/>
    <s v="Gói"/>
    <n v="231000"/>
    <n v="0"/>
    <n v="30"/>
    <n v="300000"/>
    <n v="69000"/>
    <d v="2023-11-10T00:00:00"/>
    <s v="Nhung Nhựt - N.V.Tiếp"/>
    <x v="2"/>
    <n v="2023"/>
    <n v="-162000"/>
    <n v="-0.70129870129870131"/>
    <n v="10000"/>
    <n v="30"/>
  </r>
  <r>
    <n v="599"/>
    <s v="KV100"/>
    <s v="Khăn Napkin Toply 100 tờ x 48 gói"/>
    <s v="Gói"/>
    <n v="0"/>
    <n v="0"/>
    <n v="0"/>
    <n v="0"/>
    <n v="0"/>
    <d v="2023-11-10T00:00:00"/>
    <s v="Phượng Loan - N.V.Tiếp"/>
    <x v="2"/>
    <n v="2023"/>
    <n v="0"/>
    <n v="0"/>
    <n v="0"/>
    <n v="0"/>
  </r>
  <r>
    <n v="600"/>
    <s v="KV320"/>
    <s v="Khăn Napkin Fairy 320 x 100 tờ x 48 gói"/>
    <s v="Gói"/>
    <n v="264000"/>
    <n v="0"/>
    <n v="24"/>
    <n v="240000"/>
    <n v="-24000"/>
    <d v="2023-11-10T00:00:00"/>
    <s v="Phượng Loan - N.V.Tiếp"/>
    <x v="2"/>
    <n v="2023"/>
    <n v="-288000"/>
    <n v="-1.0909090909090908"/>
    <n v="10000"/>
    <n v="24"/>
  </r>
  <r>
    <n v="601"/>
    <s v="KV1002"/>
    <s v="Khăn Napkin TiOne nâu 100 tờ x 30 gói"/>
    <s v="Gói"/>
    <n v="1296000"/>
    <n v="0"/>
    <n v="180"/>
    <n v="1692000"/>
    <n v="396000"/>
    <d v="2023-11-10T00:00:00"/>
    <s v="Căn tin BV Phổi( Chị Duyên) - BV phổi"/>
    <x v="2"/>
    <n v="2023"/>
    <n v="-900000"/>
    <n v="-0.69444444444444442"/>
    <n v="9400"/>
    <n v="180"/>
  </r>
  <r>
    <n v="602"/>
    <s v="BSOGI12"/>
    <s v="Bánh SOGI CHOCOLATE 12g x 24 cây x 6 hủ"/>
    <s v="Hủ"/>
    <n v="63000"/>
    <n v="0"/>
    <n v="1"/>
    <n v="73000"/>
    <n v="10000"/>
    <d v="2023-11-10T00:00:00"/>
    <s v="Bảo Trân (Chị Trâm) - P.Thịnh"/>
    <x v="2"/>
    <n v="2023"/>
    <n v="-53000"/>
    <n v="-0.84126984126984128"/>
    <n v="73000"/>
    <n v="1"/>
  </r>
  <r>
    <n v="603"/>
    <s v="HTK151"/>
    <s v="Kẹo Tommy trái cây 15g x 12 gói x 12 dây"/>
    <s v="Dây"/>
    <n v="75000"/>
    <n v="0"/>
    <n v="2"/>
    <n v="84000"/>
    <n v="9000"/>
    <d v="2023-11-10T00:00:00"/>
    <s v="Bảo Trân (Chị Trâm) - P.Thịnh"/>
    <x v="2"/>
    <n v="2023"/>
    <n v="-66000"/>
    <n v="-0.88"/>
    <n v="42000"/>
    <n v="2"/>
  </r>
  <r>
    <n v="604"/>
    <s v="KDL03"/>
    <s v="Khăn giấy bỏ túi Jembo 10 gói x 30 cây"/>
    <s v="Cây"/>
    <n v="225000"/>
    <n v="0"/>
    <n v="30"/>
    <n v="285000"/>
    <n v="60000"/>
    <d v="2023-11-10T00:00:00"/>
    <s v="Shop Hope - N.V.Tiếp ( Đập Đá)"/>
    <x v="2"/>
    <n v="2023"/>
    <n v="-165000"/>
    <n v="-0.73333333333333328"/>
    <n v="9500"/>
    <n v="30"/>
  </r>
  <r>
    <n v="605"/>
    <s v="KU20"/>
    <s v="Khăn ướt Anpa 20g x 120 gói"/>
    <s v="Gói"/>
    <n v="104400"/>
    <n v="0"/>
    <n v="36"/>
    <n v="144000"/>
    <n v="39600"/>
    <d v="2023-11-10T00:00:00"/>
    <s v="Ngọc Hạnh - P.Thịnh"/>
    <x v="2"/>
    <n v="2023"/>
    <n v="-64800"/>
    <n v="-0.62068965517241381"/>
    <n v="4000"/>
    <n v="36"/>
  </r>
  <r>
    <n v="606"/>
    <s v="GC616"/>
    <s v="GVS Panda 6 cuộn cao x 12 cuộn x 12kg"/>
    <s v="Cây"/>
    <n v="64000"/>
    <n v="0"/>
    <n v="2"/>
    <n v="80000"/>
    <n v="16000"/>
    <d v="2023-11-10T00:00:00"/>
    <s v="Thanh Thúy - P.Trà"/>
    <x v="2"/>
    <n v="2023"/>
    <n v="-48000"/>
    <n v="-0.75"/>
    <n v="40000"/>
    <n v="2"/>
  </r>
  <r>
    <n v="607"/>
    <s v="NSSK555"/>
    <s v="Saka 555ml x 24 chai"/>
    <s v="Thùng"/>
    <n v="156000"/>
    <n v="0"/>
    <n v="2"/>
    <n v="172000"/>
    <n v="16000"/>
    <d v="2023-11-10T00:00:00"/>
    <s v="Thanh Thúy - P.Trà"/>
    <x v="2"/>
    <n v="2023"/>
    <n v="-140000"/>
    <n v="-0.89743589743589747"/>
    <n v="86000"/>
    <n v="2"/>
  </r>
  <r>
    <n v="608"/>
    <s v="HM608"/>
    <s v="Yến sào Seunest CĐ vàng x 6 hộp"/>
    <s v="Hộp"/>
    <n v="600000"/>
    <n v="0"/>
    <n v="6"/>
    <n v="1308000"/>
    <n v="708000"/>
    <d v="2023-11-11T00:00:00"/>
    <s v="Thái Nguyên - T.Linh"/>
    <x v="2"/>
    <n v="2023"/>
    <n v="108000"/>
    <n v="0.18"/>
    <n v="218000"/>
    <n v="6"/>
  </r>
  <r>
    <n v="609"/>
    <s v="HM610"/>
    <s v="Yến sào Finenest CĐ đỏ x 6 hộp"/>
    <s v="Hộp"/>
    <n v="0"/>
    <n v="6"/>
    <n v="0"/>
    <n v="-654000"/>
    <n v="-654000"/>
    <d v="2023-11-11T00:00:00"/>
    <s v="Thái Nguyên - T.Linh"/>
    <x v="2"/>
    <n v="2023"/>
    <n v="-654000"/>
    <n v="0"/>
    <n v="0"/>
    <n v="-6"/>
  </r>
  <r>
    <n v="610"/>
    <s v="KU250"/>
    <s v="Khăn ướt TE Villa 250g x 30 gói"/>
    <s v="Gói"/>
    <n v="231000"/>
    <n v="0"/>
    <n v="30"/>
    <n v="300000"/>
    <n v="69000"/>
    <d v="2023-11-11T00:00:00"/>
    <s v="Thái Nguyên - T.Linh"/>
    <x v="2"/>
    <n v="2023"/>
    <n v="-162000"/>
    <n v="-0.70129870129870131"/>
    <n v="10000"/>
    <n v="30"/>
  </r>
  <r>
    <n v="611"/>
    <s v="BC32C189"/>
    <s v="BC ThaiLan ống 30 cây x 15 hũ"/>
    <s v="Hủ"/>
    <n v="115000"/>
    <n v="0"/>
    <n v="1"/>
    <n v="150000"/>
    <n v="35000"/>
    <d v="2023-11-13T00:00:00"/>
    <s v="Mỹ Hạnh - HCL"/>
    <x v="2"/>
    <n v="2023"/>
    <n v="-80000"/>
    <n v="-0.69565217391304346"/>
    <n v="150000"/>
    <n v="1"/>
  </r>
  <r>
    <n v="612"/>
    <s v="BCTE001"/>
    <s v="BCTE AquaStar (con chó) x 24 cây"/>
    <s v="Cây"/>
    <n v="93336"/>
    <n v="0"/>
    <n v="8"/>
    <n v="112000"/>
    <n v="18664"/>
    <d v="2023-11-13T00:00:00"/>
    <s v="Mỹ Hạnh - HCL"/>
    <x v="2"/>
    <n v="2023"/>
    <n v="-74672"/>
    <n v="-0.80003428473472182"/>
    <n v="14000"/>
    <n v="8"/>
  </r>
  <r>
    <n v="613"/>
    <s v="BCTE002"/>
    <s v="BCTE AquaStar (con kiến) x 24 cây"/>
    <s v="Cây"/>
    <n v="93336"/>
    <n v="0"/>
    <n v="8"/>
    <n v="112000"/>
    <n v="18664"/>
    <d v="2023-11-13T00:00:00"/>
    <s v="Mỹ Hạnh - HCL"/>
    <x v="2"/>
    <n v="2023"/>
    <n v="-74672"/>
    <n v="-0.80003428473472182"/>
    <n v="14000"/>
    <n v="8"/>
  </r>
  <r>
    <n v="614"/>
    <s v="BCTE003"/>
    <s v="BCTE AquaStar (con sâu) x 24 cây"/>
    <s v="Cây"/>
    <n v="93336"/>
    <n v="4"/>
    <n v="8"/>
    <n v="64000"/>
    <n v="-29336"/>
    <d v="2023-11-13T00:00:00"/>
    <s v="Mỹ Hạnh - HCL"/>
    <x v="2"/>
    <n v="2023"/>
    <n v="-122672"/>
    <n v="-1.3143053055626983"/>
    <n v="8000"/>
    <n v="4"/>
  </r>
  <r>
    <n v="615"/>
    <s v="KDR002"/>
    <s v="Kem đánh răng AquaStar TE cam x 60 hộp"/>
    <s v="Hộp"/>
    <n v="66665"/>
    <n v="2"/>
    <n v="5"/>
    <n v="54000"/>
    <n v="-12665"/>
    <d v="2023-11-13T00:00:00"/>
    <s v="Mỹ Hạnh - HCL"/>
    <x v="2"/>
    <n v="2023"/>
    <n v="-79330"/>
    <n v="-1.1899797494937374"/>
    <n v="10800"/>
    <n v="3"/>
  </r>
  <r>
    <n v="616"/>
    <s v="KDR003"/>
    <s v="Kem đánh răng AquaStar TE dâu x 60 hộp"/>
    <s v="Hộp"/>
    <n v="66665"/>
    <n v="0"/>
    <n v="5"/>
    <n v="80000"/>
    <n v="13335"/>
    <d v="2023-11-13T00:00:00"/>
    <s v="Mỹ Hạnh - HCL"/>
    <x v="2"/>
    <n v="2023"/>
    <n v="-53330"/>
    <n v="-0.79996999924998125"/>
    <n v="16000"/>
    <n v="5"/>
  </r>
  <r>
    <n v="617"/>
    <s v="KV1001"/>
    <s v="Khăn Napkin Ruby Gold 100 tờ x 30 gói"/>
    <s v="Gói"/>
    <n v="450000"/>
    <n v="0"/>
    <n v="60"/>
    <n v="480000"/>
    <n v="30000"/>
    <d v="2023-11-13T00:00:00"/>
    <s v="Mỹ Hạnh - HCL"/>
    <x v="2"/>
    <n v="2023"/>
    <n v="-420000"/>
    <n v="-0.93333333333333335"/>
    <n v="8000"/>
    <n v="60"/>
  </r>
  <r>
    <n v="618"/>
    <s v="HM600"/>
    <s v="HIMA Yến Huyết 6 lọ x 6 hộp"/>
    <s v="Hộp"/>
    <n v="1215000"/>
    <n v="0"/>
    <n v="6"/>
    <n v="1620000"/>
    <n v="405000"/>
    <d v="2023-11-13T00:00:00"/>
    <s v="Minh Hiền (chị Ớ) - B.H.Trung"/>
    <x v="2"/>
    <n v="2023"/>
    <n v="-810000"/>
    <n v="-0.66666666666666663"/>
    <n v="270000"/>
    <n v="6"/>
  </r>
  <r>
    <n v="619"/>
    <s v="HM601"/>
    <s v="HIMA DAILY (new) 6 lọ x 6 hộp"/>
    <s v="Hộp"/>
    <n v="1152000"/>
    <n v="0"/>
    <n v="6"/>
    <n v="1440000"/>
    <n v="288000"/>
    <d v="2023-11-13T00:00:00"/>
    <s v="Minh Hiền (chị Ớ) - B.H.Trung"/>
    <x v="2"/>
    <n v="2023"/>
    <n v="-864000"/>
    <n v="-0.75"/>
    <n v="240000"/>
    <n v="6"/>
  </r>
  <r>
    <n v="620"/>
    <s v="HM607"/>
    <s v="Yến sào Seunest KĐ xanh x 6 hộp"/>
    <s v="Hộp"/>
    <n v="0"/>
    <n v="6"/>
    <n v="0"/>
    <n v="-654000"/>
    <n v="-654000"/>
    <d v="2023-11-13T00:00:00"/>
    <s v="Minh Hiền (chị Ớ) - B.H.Trung"/>
    <x v="2"/>
    <n v="2023"/>
    <n v="-654000"/>
    <n v="0"/>
    <n v="0"/>
    <n v="-6"/>
  </r>
  <r>
    <n v="621"/>
    <s v="HM608"/>
    <s v="Yến sào Seunest CĐ vàng x 6 hộp"/>
    <s v="Hộp"/>
    <n v="0"/>
    <n v="3"/>
    <n v="0"/>
    <n v="-327000"/>
    <n v="-327000"/>
    <d v="2023-11-13T00:00:00"/>
    <s v="Minh Hiền (chị Ớ) - B.H.Trung"/>
    <x v="2"/>
    <n v="2023"/>
    <n v="-327000"/>
    <n v="0"/>
    <n v="0"/>
    <n v="-3"/>
  </r>
  <r>
    <n v="622"/>
    <s v="HM609"/>
    <s v="HIMA Hoa Hồng 35% yến 6 lọ x 6 hộp"/>
    <s v="Hộp"/>
    <n v="900000"/>
    <n v="0"/>
    <n v="6"/>
    <n v="1308000"/>
    <n v="408000"/>
    <d v="2023-11-13T00:00:00"/>
    <s v="Minh Hiền (chị Ớ) - B.H.Trung"/>
    <x v="2"/>
    <n v="2023"/>
    <n v="-492000"/>
    <n v="-0.54666666666666663"/>
    <n v="218000"/>
    <n v="6"/>
  </r>
  <r>
    <n v="623"/>
    <s v="TBTE20002"/>
    <s v="Tăm bông thân nhựa TE hộp tròn 200 cây x 12 hộp"/>
    <s v="Hộp"/>
    <n v="535500"/>
    <n v="6"/>
    <n v="36"/>
    <n v="525000"/>
    <n v="-10500"/>
    <d v="2023-11-13T00:00:00"/>
    <s v="Chị Nga - HCL"/>
    <x v="2"/>
    <n v="2023"/>
    <n v="-546000"/>
    <n v="-1.0196078431372548"/>
    <n v="14583.333333333334"/>
    <n v="30"/>
  </r>
  <r>
    <n v="624"/>
    <s v="KU600"/>
    <s v="Khăn ướt Anpa Nano bạc 600gr x 30 gói"/>
    <s v="Gói"/>
    <n v="175000"/>
    <n v="2"/>
    <n v="10"/>
    <n v="167000"/>
    <n v="-8000"/>
    <d v="2023-11-13T00:00:00"/>
    <s v="Chị Sương (Thu Sương) - A.Bình"/>
    <x v="2"/>
    <n v="2023"/>
    <n v="-183000"/>
    <n v="-1.0457142857142858"/>
    <n v="16700"/>
    <n v="8"/>
  </r>
  <r>
    <n v="625"/>
    <s v="HTBD12"/>
    <s v="Bánh đũa Gap Dâu tây 12g x 12 hộp x 12"/>
    <s v="Hộp"/>
    <n v="42084"/>
    <n v="0"/>
    <n v="1"/>
    <n v="48000"/>
    <n v="5916"/>
    <d v="2023-11-13T00:00:00"/>
    <s v="Chị Đẹp - T.H.Trung"/>
    <x v="2"/>
    <n v="2023"/>
    <n v="-36168"/>
    <n v="-0.85942400912460792"/>
    <n v="48000"/>
    <n v="1"/>
  </r>
  <r>
    <n v="626"/>
    <s v="KV1007"/>
    <s v="Khăn Napkin An An 100 tờ x 40 gói"/>
    <s v="Gói"/>
    <n v="195750"/>
    <n v="0"/>
    <n v="29"/>
    <n v="217500"/>
    <n v="21750"/>
    <d v="2023-11-13T00:00:00"/>
    <s v="Chị Đẹp - T.H.Trung"/>
    <x v="2"/>
    <n v="2023"/>
    <n v="-174000"/>
    <n v="-0.88888888888888884"/>
    <n v="7500"/>
    <n v="29"/>
  </r>
  <r>
    <n v="627"/>
    <s v="KH1802"/>
    <s v="Khăn hộp Hà Nội 180 tờ x 2 lớp x 36 hộp"/>
    <s v="Hộp"/>
    <n v="692064"/>
    <n v="0"/>
    <n v="36"/>
    <n v="648000"/>
    <n v="-44064"/>
    <d v="2023-11-13T00:00:00"/>
    <s v="Mỹ Nhân - N.Mỹ"/>
    <x v="2"/>
    <n v="2023"/>
    <n v="-736128"/>
    <n v="-1.0636704119850187"/>
    <n v="18000"/>
    <n v="36"/>
  </r>
  <r>
    <n v="628"/>
    <s v="KV1009"/>
    <s v="Khăn Napkin TiOne Gấu 100 tờ x 48 gói"/>
    <s v="Gói"/>
    <n v="576000"/>
    <n v="0"/>
    <n v="96"/>
    <n v="720000"/>
    <n v="144000"/>
    <d v="2023-11-13T00:00:00"/>
    <s v="Chị Đào - T.H.Trung"/>
    <x v="2"/>
    <n v="2023"/>
    <n v="-432000"/>
    <n v="-0.75"/>
    <n v="7500"/>
    <n v="96"/>
  </r>
  <r>
    <n v="629"/>
    <s v="HM607"/>
    <s v="Yến sào Seunest KĐ xanh x 6 hộp"/>
    <s v="Hộp"/>
    <n v="600000"/>
    <n v="6"/>
    <n v="6"/>
    <n v="654000"/>
    <n v="54000"/>
    <d v="2023-11-13T00:00:00"/>
    <s v="Phước Hải - A.Bình"/>
    <x v="2"/>
    <n v="2023"/>
    <n v="-546000"/>
    <n v="-0.91"/>
    <n v="109000"/>
    <n v="0"/>
  </r>
  <r>
    <n v="630"/>
    <s v="HM608"/>
    <s v="Yến sào Seunest CĐ vàng x 6 hộp"/>
    <s v="Hộp"/>
    <n v="600000"/>
    <n v="6"/>
    <n v="6"/>
    <n v="654000"/>
    <n v="54000"/>
    <d v="2023-11-13T00:00:00"/>
    <s v="Phước Hải - A.Bình"/>
    <x v="2"/>
    <n v="2023"/>
    <n v="-546000"/>
    <n v="-0.91"/>
    <n v="109000"/>
    <n v="0"/>
  </r>
  <r>
    <n v="631"/>
    <s v="BC32C189"/>
    <s v="BC ThaiLan ống 30 cây x 15 hũ"/>
    <s v="Hủ"/>
    <n v="230000"/>
    <n v="0"/>
    <n v="2"/>
    <n v="390000"/>
    <n v="160000"/>
    <d v="2023-11-13T00:00:00"/>
    <s v="Trung Phụng - T.H.Trung"/>
    <x v="2"/>
    <n v="2023"/>
    <n v="-70000"/>
    <n v="-0.30434782608695654"/>
    <n v="195000"/>
    <n v="2"/>
  </r>
  <r>
    <n v="632"/>
    <s v="HM607"/>
    <s v="Yến sào Seunest KĐ xanh x 6 hộp"/>
    <s v="Hộp"/>
    <n v="0"/>
    <n v="3"/>
    <n v="0"/>
    <n v="-327000"/>
    <n v="-327000"/>
    <d v="2023-11-13T00:00:00"/>
    <s v="Trung Phụng - T.H.Trung"/>
    <x v="2"/>
    <n v="2023"/>
    <n v="-327000"/>
    <n v="0"/>
    <n v="0"/>
    <n v="-3"/>
  </r>
  <r>
    <n v="633"/>
    <s v="HM608"/>
    <s v="Yến sào Seunest CĐ vàng x 6 hộp"/>
    <s v="Hộp"/>
    <n v="600000"/>
    <n v="3"/>
    <n v="6"/>
    <n v="981000"/>
    <n v="381000"/>
    <d v="2023-11-13T00:00:00"/>
    <s v="Trung Phụng - T.H.Trung"/>
    <x v="2"/>
    <n v="2023"/>
    <n v="-219000"/>
    <n v="-0.36499999999999999"/>
    <n v="163500"/>
    <n v="3"/>
  </r>
  <r>
    <n v="634"/>
    <s v="KDL03"/>
    <s v="Khăn giấy bỏ túi Jembo 10 gói x 30 cây"/>
    <s v="Cây"/>
    <n v="75000"/>
    <n v="0"/>
    <n v="10"/>
    <n v="95000"/>
    <n v="20000"/>
    <d v="2023-11-13T00:00:00"/>
    <s v="Trung Phụng - T.H.Trung"/>
    <x v="2"/>
    <n v="2023"/>
    <n v="-55000"/>
    <n v="-0.73333333333333328"/>
    <n v="9500"/>
    <n v="10"/>
  </r>
  <r>
    <n v="635"/>
    <s v="KMQ"/>
    <s v="Quạt chân cao"/>
    <s v="Cây"/>
    <n v="0"/>
    <n v="1"/>
    <n v="0"/>
    <n v="0"/>
    <n v="0"/>
    <d v="2023-11-13T00:00:00"/>
    <s v="Trung Phụng - T.H.Trung"/>
    <x v="2"/>
    <n v="2023"/>
    <n v="0"/>
    <n v="0"/>
    <n v="0"/>
    <n v="-1"/>
  </r>
  <r>
    <n v="636"/>
    <s v="BCN189"/>
    <s v="BC KAKA NANO N189 x 30 x 10 hộp"/>
    <s v="Cây"/>
    <n v="144000"/>
    <n v="0"/>
    <n v="30"/>
    <n v="210000"/>
    <n v="66000"/>
    <d v="2023-11-13T00:00:00"/>
    <s v="TH Trinh (Mỹ Trinh) - HCL (cuối chợ)"/>
    <x v="2"/>
    <n v="2023"/>
    <n v="-78000"/>
    <n v="-0.54166666666666663"/>
    <n v="7000"/>
    <n v="30"/>
  </r>
  <r>
    <n v="637"/>
    <s v="GC605"/>
    <s v="GVS Ruby 6 cuộn Mèo (không lõi) x 10 cây"/>
    <s v="Cây"/>
    <n v="290000"/>
    <n v="1"/>
    <n v="10"/>
    <n v="355000"/>
    <n v="65000"/>
    <d v="2023-11-13T00:00:00"/>
    <s v="Út Bông - T.H.Trung"/>
    <x v="2"/>
    <n v="2023"/>
    <n v="-225000"/>
    <n v="-0.77586206896551724"/>
    <n v="35500"/>
    <n v="9"/>
  </r>
  <r>
    <n v="638"/>
    <s v="KU250"/>
    <s v="Khăn ướt TE Villa 250g x 30 gói"/>
    <s v="Gói"/>
    <n v="77000"/>
    <n v="0"/>
    <n v="10"/>
    <n v="100000"/>
    <n v="23000"/>
    <d v="2023-11-13T00:00:00"/>
    <s v="Út Bông - T.H.Trung"/>
    <x v="2"/>
    <n v="2023"/>
    <n v="-54000"/>
    <n v="-0.70129870129870131"/>
    <n v="10000"/>
    <n v="10"/>
  </r>
  <r>
    <n v="639"/>
    <s v="HM607"/>
    <s v="Yến sào Seunest KĐ xanh x 6 hộp"/>
    <s v="Hộp"/>
    <n v="1800000"/>
    <n v="0"/>
    <n v="18"/>
    <n v="3924000"/>
    <n v="2124000"/>
    <d v="2023-11-13T00:00:00"/>
    <s v="Kim Hiếu - HCL (X.Quýt)"/>
    <x v="2"/>
    <n v="2023"/>
    <n v="324000"/>
    <n v="0.18"/>
    <n v="218000"/>
    <n v="18"/>
  </r>
  <r>
    <n v="640"/>
    <s v="HM608"/>
    <s v="Yến sào Seunest CĐ vàng x 6 hộp"/>
    <s v="Hộp"/>
    <n v="0"/>
    <n v="18"/>
    <n v="0"/>
    <n v="-1962000"/>
    <n v="-1962000"/>
    <d v="2023-11-13T00:00:00"/>
    <s v="Kim Hiếu - HCL (X.Quýt)"/>
    <x v="2"/>
    <n v="2023"/>
    <n v="-1962000"/>
    <n v="0"/>
    <n v="0"/>
    <n v="-18"/>
  </r>
  <r>
    <n v="641"/>
    <s v="BSOGI12"/>
    <s v="Bánh SOGI CHOCOLATE 12g x 24 cây x 6 hủ"/>
    <s v="Hủ"/>
    <n v="63000"/>
    <n v="0"/>
    <n v="1"/>
    <n v="73000"/>
    <n v="10000"/>
    <d v="2023-11-13T00:00:00"/>
    <s v="Tố Quyên - T.H.Trung"/>
    <x v="2"/>
    <n v="2023"/>
    <n v="-53000"/>
    <n v="-0.84126984126984128"/>
    <n v="73000"/>
    <n v="1"/>
  </r>
  <r>
    <n v="642"/>
    <s v="KTN2002"/>
    <s v="Kẹo Trang Nghiêm DÂU TÂY 200gr x 50 gói/thùng"/>
    <s v="Gói"/>
    <n v="61000"/>
    <n v="0"/>
    <n v="5"/>
    <n v="70000"/>
    <n v="9000"/>
    <d v="2023-11-13T00:00:00"/>
    <s v="Tố Quyên - T.H.Trung"/>
    <x v="2"/>
    <n v="2023"/>
    <n v="-52000"/>
    <n v="-0.85245901639344257"/>
    <n v="14000"/>
    <n v="5"/>
  </r>
  <r>
    <n v="643"/>
    <s v="KTN2003"/>
    <s v="Kẹo Trang Nghiêm DÂU TẰM 200gr x 50 gói/thùng"/>
    <s v="Gói"/>
    <n v="61000"/>
    <n v="0"/>
    <n v="5"/>
    <n v="70000"/>
    <n v="9000"/>
    <d v="2023-11-13T00:00:00"/>
    <s v="Tố Quyên - T.H.Trung"/>
    <x v="2"/>
    <n v="2023"/>
    <n v="-52000"/>
    <n v="-0.85245901639344257"/>
    <n v="14000"/>
    <n v="5"/>
  </r>
  <r>
    <n v="644"/>
    <s v="KTN2004"/>
    <s v="Kẹo Trang Nghiêm ME ỚT 200gr x 50 gói/thùng"/>
    <s v="Gói"/>
    <n v="12200"/>
    <n v="0"/>
    <n v="1"/>
    <n v="14000"/>
    <n v="1800"/>
    <d v="2023-11-13T00:00:00"/>
    <s v="Tố Quyên - T.H.Trung"/>
    <x v="2"/>
    <n v="2023"/>
    <n v="-10400"/>
    <n v="-0.85245901639344257"/>
    <n v="14000"/>
    <n v="1"/>
  </r>
  <r>
    <n v="645"/>
    <s v="KTN3001"/>
    <s v="Kẹo Trang Nghiêm DÂU TÂY hộp 200g x 24 hộp/thùng"/>
    <s v="Hộp"/>
    <n v="174000"/>
    <n v="0"/>
    <n v="12"/>
    <n v="168000"/>
    <n v="-6000"/>
    <d v="2023-11-13T00:00:00"/>
    <s v="Anh Như - Chợ 307"/>
    <x v="2"/>
    <n v="2023"/>
    <n v="-180000"/>
    <n v="-1.0344827586206897"/>
    <n v="14000"/>
    <n v="12"/>
  </r>
  <r>
    <n v="646"/>
    <s v="GC10"/>
    <s v="V/S Bibi không lõi x 10 dây"/>
    <s v="Dây"/>
    <n v="130000"/>
    <n v="0"/>
    <n v="5"/>
    <n v="120000"/>
    <n v="-10000"/>
    <d v="2023-11-13T00:00:00"/>
    <s v="Chị Duyên - HCL (Thanh Mỹ)"/>
    <x v="2"/>
    <n v="2023"/>
    <n v="-140000"/>
    <n v="-1.0769230769230769"/>
    <n v="24000"/>
    <n v="5"/>
  </r>
  <r>
    <n v="647"/>
    <s v="GC605"/>
    <s v="GVS Ruby 6 cuộn Mèo (không lõi) x 10 cây"/>
    <s v="Cây"/>
    <n v="174000"/>
    <n v="0"/>
    <n v="6"/>
    <n v="210000"/>
    <n v="36000"/>
    <d v="2023-11-13T00:00:00"/>
    <s v="Chị Duyên - HCL (Thanh Mỹ)"/>
    <x v="2"/>
    <n v="2023"/>
    <n v="-138000"/>
    <n v="-0.7931034482758621"/>
    <n v="35000"/>
    <n v="6"/>
  </r>
  <r>
    <n v="648"/>
    <s v="KR402"/>
    <s v="Khăn giấy rút SSS BiBi 2 lớp x 400gr x 12 gói"/>
    <s v="Gói"/>
    <n v="211200"/>
    <n v="2"/>
    <n v="10"/>
    <n v="180000"/>
    <n v="-31200"/>
    <d v="2023-11-13T00:00:00"/>
    <s v="Chị Phượng - HCL (Thanh Mỹ)"/>
    <x v="2"/>
    <n v="2023"/>
    <n v="-242400"/>
    <n v="-1.1477272727272727"/>
    <n v="18000"/>
    <n v="8"/>
  </r>
  <r>
    <n v="649"/>
    <s v="KU250"/>
    <s v="Khăn ướt TE Villa 250g x 30 gói"/>
    <s v="Gói"/>
    <n v="154000"/>
    <n v="0"/>
    <n v="20"/>
    <n v="200000"/>
    <n v="46000"/>
    <d v="2023-11-13T00:00:00"/>
    <s v="Anh Dũng - HCL (Thanh Mỹ)"/>
    <x v="2"/>
    <n v="2023"/>
    <n v="-108000"/>
    <n v="-0.70129870129870131"/>
    <n v="10000"/>
    <n v="20"/>
  </r>
  <r>
    <n v="650"/>
    <s v="KV1011"/>
    <s v="Khăn Napkin EMos x 30 gói"/>
    <s v="Gói"/>
    <n v="66670"/>
    <n v="0"/>
    <n v="10"/>
    <n v="75000"/>
    <n v="8330"/>
    <d v="2023-11-13T00:00:00"/>
    <s v="Anh Dũng - HCL (Thanh Mỹ)"/>
    <x v="2"/>
    <n v="2023"/>
    <n v="-58340"/>
    <n v="-0.87505624718764063"/>
    <n v="7500"/>
    <n v="10"/>
  </r>
  <r>
    <n v="651"/>
    <s v="KU250"/>
    <s v="Khăn ướt TE Villa 250g x 30 gói"/>
    <s v="Gói"/>
    <n v="231000"/>
    <n v="0"/>
    <n v="30"/>
    <n v="330000"/>
    <n v="99000"/>
    <d v="2023-11-13T00:00:00"/>
    <s v="TH Ngân (chị Ngân) - T.H.Trung"/>
    <x v="2"/>
    <n v="2023"/>
    <n v="-132000"/>
    <n v="-0.5714285714285714"/>
    <n v="11000"/>
    <n v="30"/>
  </r>
  <r>
    <n v="652"/>
    <s v="KV1001"/>
    <s v="Khăn Napkin Ruby Gold 100 tờ x 30 gói"/>
    <s v="Gói"/>
    <n v="0"/>
    <n v="3"/>
    <n v="0"/>
    <n v="-3000"/>
    <n v="-3000"/>
    <d v="2023-11-13T00:00:00"/>
    <s v="TH Ngân (chị Ngân) - T.H.Trung"/>
    <x v="2"/>
    <n v="2023"/>
    <n v="-3000"/>
    <n v="0"/>
    <n v="0"/>
    <n v="-3"/>
  </r>
  <r>
    <n v="653"/>
    <s v="TNS1"/>
    <s v="Tẩy toilet Nam Sơn NK 100% 1L x 12 chai"/>
    <s v="Chai"/>
    <n v="190008"/>
    <n v="0"/>
    <n v="12"/>
    <n v="270000"/>
    <n v="79992"/>
    <d v="2023-11-13T00:00:00"/>
    <s v="TH Ngân (chị Ngân) - T.H.Trung"/>
    <x v="2"/>
    <n v="2023"/>
    <n v="-110016"/>
    <n v="-0.57900719969685488"/>
    <n v="22500"/>
    <n v="12"/>
  </r>
  <r>
    <n v="654"/>
    <s v="GC1023"/>
    <s v="V/S Bibi có lõi x 10 dây"/>
    <s v="Dây"/>
    <n v="294000"/>
    <n v="2"/>
    <n v="12"/>
    <n v="288000"/>
    <n v="-6000"/>
    <d v="2023-11-13T00:00:00"/>
    <s v="Chị Tuyết - HCL (N.Mỹ)"/>
    <x v="2"/>
    <n v="2023"/>
    <n v="-300000"/>
    <n v="-1.0204081632653061"/>
    <n v="24000"/>
    <n v="10"/>
  </r>
  <r>
    <n v="655"/>
    <s v="KMQCL"/>
    <s v="Quạt SENKO 1638 chân lỡ"/>
    <s v="Cây"/>
    <n v="0"/>
    <n v="1"/>
    <n v="0"/>
    <n v="-281000"/>
    <n v="-281000"/>
    <d v="2023-11-13T00:00:00"/>
    <s v="Cẩm Giang - M.Xương"/>
    <x v="2"/>
    <n v="2023"/>
    <n v="-281000"/>
    <n v="0"/>
    <n v="0"/>
    <n v="-1"/>
  </r>
  <r>
    <n v="656"/>
    <s v="KU600"/>
    <s v="Khăn ướt Anpa Nano bạc 600gr x 30 gói"/>
    <s v="Gói"/>
    <n v="1575000"/>
    <n v="0"/>
    <n v="90"/>
    <n v="1800000"/>
    <n v="225000"/>
    <d v="2023-11-13T00:00:00"/>
    <s v="Cẩm Giang - M.Xương"/>
    <x v="2"/>
    <n v="2023"/>
    <n v="-1350000"/>
    <n v="-0.8571428571428571"/>
    <n v="20000"/>
    <n v="90"/>
  </r>
  <r>
    <n v="657"/>
    <s v="KV1011"/>
    <s v="Khăn Napkin EMos x 30 gói"/>
    <s v="Gói"/>
    <n v="0"/>
    <n v="0"/>
    <n v="0"/>
    <n v="0"/>
    <n v="0"/>
    <d v="2023-11-13T00:00:00"/>
    <s v="Chị Nguyệt - T.H.Trung"/>
    <x v="2"/>
    <n v="2023"/>
    <n v="0"/>
    <n v="0"/>
    <n v="0"/>
    <n v="0"/>
  </r>
  <r>
    <n v="658"/>
    <s v="TNS1"/>
    <s v="Tẩy toilet Nam Sơn NK 100% 1L x 12 chai"/>
    <s v="Chai"/>
    <n v="190008"/>
    <n v="0"/>
    <n v="12"/>
    <n v="264000"/>
    <n v="73992"/>
    <d v="2023-11-13T00:00:00"/>
    <s v="Diễm Lộc - HCL ( Thanh Mỹ)"/>
    <x v="2"/>
    <n v="2023"/>
    <n v="-116016"/>
    <n v="-0.61058481748136917"/>
    <n v="22000"/>
    <n v="12"/>
  </r>
  <r>
    <n v="659"/>
    <s v="GC605"/>
    <s v="GVS Ruby 6 cuộn Mèo (không lõi) x 10 cây"/>
    <s v="Cây"/>
    <n v="290000"/>
    <n v="1"/>
    <n v="10"/>
    <n v="355000"/>
    <n v="65000"/>
    <d v="2023-11-13T00:00:00"/>
    <s v="Nhà Sách Hùng Quyến - HCL ( Thanh Mỹ)"/>
    <x v="2"/>
    <n v="2023"/>
    <n v="-225000"/>
    <n v="-0.77586206896551724"/>
    <n v="35500"/>
    <n v="9"/>
  </r>
  <r>
    <n v="660"/>
    <s v="KV100"/>
    <s v="Khăn Napkin Toply 100 tờ x 48 gói"/>
    <s v="Gói"/>
    <n v="345600"/>
    <n v="4"/>
    <n v="48"/>
    <n v="536000"/>
    <n v="190400"/>
    <d v="2023-11-14T00:00:00"/>
    <s v="Chị Nga - HCL"/>
    <x v="2"/>
    <n v="2023"/>
    <n v="-155200"/>
    <n v="-0.44907407407407407"/>
    <n v="11166.666666666666"/>
    <n v="44"/>
  </r>
  <r>
    <n v="661"/>
    <s v="KV100"/>
    <s v="Khăn Napkin Toply 100 tờ x 48 gói"/>
    <s v="Gói"/>
    <n v="691200"/>
    <n v="0"/>
    <n v="96"/>
    <n v="1017600"/>
    <n v="326400"/>
    <d v="2023-11-14T00:00:00"/>
    <s v="Thanh Trang - HCL"/>
    <x v="2"/>
    <n v="2023"/>
    <n v="-364800"/>
    <n v="-0.52777777777777779"/>
    <n v="10600"/>
    <n v="96"/>
  </r>
  <r>
    <n v="662"/>
    <s v="KV100"/>
    <s v="Khăn Napkin Toply 100 tờ x 48 gói"/>
    <s v="Gói"/>
    <n v="0"/>
    <n v="0"/>
    <n v="0"/>
    <n v="0"/>
    <n v="0"/>
    <d v="2023-11-14T00:00:00"/>
    <s v="Mai Trinh (chị Trinh) - HCL"/>
    <x v="2"/>
    <n v="2023"/>
    <n v="0"/>
    <n v="0"/>
    <n v="0"/>
    <n v="0"/>
  </r>
  <r>
    <n v="663"/>
    <s v="HM608"/>
    <s v="Yến sào Seunest CĐ vàng x 6 hộp"/>
    <s v="Hộp"/>
    <n v="600000"/>
    <n v="6"/>
    <n v="6"/>
    <n v="654000"/>
    <n v="54000"/>
    <d v="2023-11-14T00:00:00"/>
    <s v="Ngọc Lợi - N.Mỹ ( Cầu Cần Lố 3)"/>
    <x v="2"/>
    <n v="2023"/>
    <n v="-546000"/>
    <n v="-0.91"/>
    <n v="109000"/>
    <n v="0"/>
  </r>
  <r>
    <n v="664"/>
    <s v="KV1007"/>
    <s v="Khăn Napkin An An 100 tờ x 40 gói"/>
    <s v="Gói"/>
    <n v="270000"/>
    <n v="0"/>
    <n v="40"/>
    <n v="320000"/>
    <n v="50000"/>
    <d v="2023-11-14T00:00:00"/>
    <s v="Ngọc Lợi - N.Mỹ ( Cầu Cần Lố 3)"/>
    <x v="2"/>
    <n v="2023"/>
    <n v="-220000"/>
    <n v="-0.81481481481481477"/>
    <n v="8000"/>
    <n v="40"/>
  </r>
  <r>
    <n v="665"/>
    <s v="KV60"/>
    <s v="Khăn Napkin Ruby hồng 64 gói"/>
    <s v="Gói"/>
    <n v="0"/>
    <n v="0"/>
    <n v="0"/>
    <n v="0"/>
    <n v="0"/>
    <d v="2023-11-15T00:00:00"/>
    <s v="Chị Thủy (đồ nhựa) - T.H.Trung"/>
    <x v="2"/>
    <n v="2023"/>
    <n v="0"/>
    <n v="0"/>
    <n v="0"/>
    <n v="0"/>
  </r>
  <r>
    <n v="666"/>
    <s v="KV1007"/>
    <s v="Khăn Napkin An An 100 tờ x 40 gói"/>
    <s v="Gói"/>
    <n v="0"/>
    <n v="0"/>
    <n v="0"/>
    <n v="0"/>
    <n v="0"/>
    <d v="2023-11-15T00:00:00"/>
    <s v="Chị Lan - T.H.Trung"/>
    <x v="2"/>
    <n v="2023"/>
    <n v="0"/>
    <n v="0"/>
    <n v="0"/>
    <n v="0"/>
  </r>
  <r>
    <n v="667"/>
    <s v="BCAKIRA"/>
    <s v="BÀN CHẢI ĐÁNH RĂNG ION - AKIRA Hộp"/>
    <s v="Cây"/>
    <n v="672000"/>
    <n v="2"/>
    <n v="12"/>
    <n v="441600"/>
    <n v="-230400"/>
    <d v="2023-11-16T00:00:00"/>
    <s v="Thông Thảo - P.Mỹ (QL30)"/>
    <x v="2"/>
    <n v="2023"/>
    <n v="-902400"/>
    <n v="-1.3428571428571427"/>
    <n v="36800"/>
    <n v="10"/>
  </r>
  <r>
    <n v="668"/>
    <s v="BCHARU"/>
    <s v="BÀN CHẢI ĐÁNH RĂNG ION - HARU"/>
    <s v="Cây"/>
    <n v="330000"/>
    <n v="1"/>
    <n v="6"/>
    <n v="217000"/>
    <n v="-113000"/>
    <d v="2023-11-16T00:00:00"/>
    <s v="Thông Thảo - P.Mỹ (QL30)"/>
    <x v="2"/>
    <n v="2023"/>
    <n v="-443000"/>
    <n v="-1.3424242424242425"/>
    <n v="36166.666666666664"/>
    <n v="5"/>
  </r>
  <r>
    <n v="669"/>
    <s v="KTN2004"/>
    <s v="Kẹo Trang Nghiêm ME ỚT 200gr x 50 gói/thùng"/>
    <s v="Gói"/>
    <n v="122000"/>
    <n v="0"/>
    <n v="10"/>
    <n v="140000"/>
    <n v="18000"/>
    <d v="2023-11-17T00:00:00"/>
    <s v="Phượng Loan - N.V.Tiếp"/>
    <x v="2"/>
    <n v="2023"/>
    <n v="-104000"/>
    <n v="-0.85245901639344257"/>
    <n v="14000"/>
    <n v="10"/>
  </r>
  <r>
    <n v="670"/>
    <s v="KU250"/>
    <s v="Khăn ướt TE Villa 250g x 30 gói"/>
    <s v="Gói"/>
    <n v="77000"/>
    <n v="0"/>
    <n v="10"/>
    <n v="100000"/>
    <n v="23000"/>
    <d v="2023-11-17T00:00:00"/>
    <s v="Phượng Loan - N.V.Tiếp"/>
    <x v="2"/>
    <n v="2023"/>
    <n v="-54000"/>
    <n v="-0.70129870129870131"/>
    <n v="10000"/>
    <n v="10"/>
  </r>
  <r>
    <n v="671"/>
    <s v="KU700"/>
    <s v="Khăn ướt Anpa Nano 700gr x 24 gói"/>
    <s v="Gói"/>
    <n v="504000"/>
    <n v="0"/>
    <n v="24"/>
    <n v="480000"/>
    <n v="-24000"/>
    <d v="2023-11-17T00:00:00"/>
    <s v="Kim Phụng Điện - HCL"/>
    <x v="2"/>
    <n v="2023"/>
    <n v="-528000"/>
    <n v="-1.0476190476190477"/>
    <n v="20000"/>
    <n v="24"/>
  </r>
  <r>
    <n v="672"/>
    <s v="KR1001"/>
    <s v="Khăn giấy rút lụa SSS BiBi 2 lớp x 1kg x 10 gói"/>
    <s v="Gói"/>
    <n v="240000"/>
    <n v="1"/>
    <n v="5"/>
    <n v="217000"/>
    <n v="-23000"/>
    <d v="2023-11-18T00:00:00"/>
    <s v="TT Kim Thoa - M.Long"/>
    <x v="2"/>
    <n v="2023"/>
    <n v="-263000"/>
    <n v="-1.0958333333333334"/>
    <n v="43400"/>
    <n v="4"/>
  </r>
  <r>
    <n v="673"/>
    <s v="KTN2001"/>
    <s v="Kẹo Trang Nghiêm ME CAM THẢO 200gr x 50 gói/thùng"/>
    <s v="Gói"/>
    <n v="122000"/>
    <n v="0"/>
    <n v="10"/>
    <n v="130000"/>
    <n v="8000"/>
    <d v="2023-11-18T00:00:00"/>
    <s v="TT Kim Thoa - M.Long"/>
    <x v="2"/>
    <n v="2023"/>
    <n v="-114000"/>
    <n v="-0.93442622950819676"/>
    <n v="13000"/>
    <n v="10"/>
  </r>
  <r>
    <n v="674"/>
    <s v="TBTE1001"/>
    <s v="Tăm bông thân nhựa TE túi 100 cây x 24 túi"/>
    <s v="Túi"/>
    <n v="126000"/>
    <n v="0"/>
    <n v="24"/>
    <n v="144000"/>
    <n v="18000"/>
    <d v="2023-11-18T00:00:00"/>
    <s v="TT Kim Thoa - M.Long"/>
    <x v="2"/>
    <n v="2023"/>
    <n v="-108000"/>
    <n v="-0.8571428571428571"/>
    <n v="6000"/>
    <n v="24"/>
  </r>
  <r>
    <n v="675"/>
    <s v="GC100"/>
    <s v="GVS cuộn trắng rẻ (xá) x 10 cây"/>
    <s v="Bao"/>
    <n v="57000"/>
    <n v="0"/>
    <n v="1"/>
    <n v="70000"/>
    <n v="13000"/>
    <d v="2023-11-18T00:00:00"/>
    <s v="TT Ngọc Trinh - B.H.Trung"/>
    <x v="2"/>
    <n v="2023"/>
    <n v="-44000"/>
    <n v="-0.77192982456140347"/>
    <n v="70000"/>
    <n v="1"/>
  </r>
  <r>
    <n v="676"/>
    <s v="HTBG145"/>
    <s v="Bánh gạo Bin Bin Tuyết Cay 145g x 20 gói"/>
    <s v="Gói"/>
    <n v="31328"/>
    <n v="0"/>
    <n v="1"/>
    <n v="37000"/>
    <n v="5672"/>
    <d v="2023-11-18T00:00:00"/>
    <s v="TT Ngọc Trinh - B.H.Trung"/>
    <x v="2"/>
    <n v="2023"/>
    <n v="-25656"/>
    <n v="-0.81894790602655776"/>
    <n v="37000"/>
    <n v="1"/>
  </r>
  <r>
    <n v="677"/>
    <s v="HTBG1502"/>
    <s v="Bánh gạo Bin Bin Rong Biển 150g x 20 gói"/>
    <s v="Gói"/>
    <n v="27720"/>
    <n v="0"/>
    <n v="1"/>
    <n v="32000"/>
    <n v="4280"/>
    <d v="2023-11-18T00:00:00"/>
    <s v="TT Ngọc Trinh - B.H.Trung"/>
    <x v="2"/>
    <n v="2023"/>
    <n v="-23440"/>
    <n v="-0.84559884559884557"/>
    <n v="32000"/>
    <n v="1"/>
  </r>
  <r>
    <n v="678"/>
    <s v="HTKSB90"/>
    <s v="Kẹo Sữa bò Sakara 90g x 24 gói"/>
    <s v="Gói"/>
    <n v="75328"/>
    <n v="0"/>
    <n v="4"/>
    <n v="90000"/>
    <n v="14672"/>
    <d v="2023-11-18T00:00:00"/>
    <s v="TT Ngọc Trinh - B.H.Trung"/>
    <x v="2"/>
    <n v="2023"/>
    <n v="-60656"/>
    <n v="-0.80522514868309258"/>
    <n v="22500"/>
    <n v="4"/>
  </r>
  <r>
    <n v="679"/>
    <s v="KU801"/>
    <s v="Khăn ướt Baby (đỏ) 80g x 50 gói"/>
    <s v="Gói"/>
    <n v="40000"/>
    <n v="0"/>
    <n v="10"/>
    <n v="60000"/>
    <n v="20000"/>
    <d v="2023-11-18T00:00:00"/>
    <s v="TT Ngọc Trinh - B.H.Trung"/>
    <x v="2"/>
    <n v="2023"/>
    <n v="-20000"/>
    <n v="-0.5"/>
    <n v="6000"/>
    <n v="10"/>
  </r>
  <r>
    <n v="680"/>
    <s v="A1K15"/>
    <s v="Kẹo bạc hà (chanh muối) Himalaya 15g x 12 gói x 12 hộp"/>
    <s v="Hộp"/>
    <n v="301890"/>
    <n v="1"/>
    <n v="5"/>
    <n v="275000"/>
    <n v="-26890"/>
    <d v="2023-11-18T00:00:00"/>
    <s v="TT Ngọc Hạnh - Đ.Mối"/>
    <x v="2"/>
    <n v="2023"/>
    <n v="-328780"/>
    <n v="-1.0890721786081023"/>
    <n v="55000"/>
    <n v="4"/>
  </r>
  <r>
    <n v="681"/>
    <s v="KU1506"/>
    <s v="Khăn ướt Lovely (khổ lớn) 150g x 30 gói"/>
    <s v="Gói"/>
    <n v="285000"/>
    <n v="0"/>
    <n v="30"/>
    <n v="420000"/>
    <n v="135000"/>
    <d v="2023-11-18T00:00:00"/>
    <s v="TT Ngọc Hạnh - Đ.Mối"/>
    <x v="2"/>
    <n v="2023"/>
    <n v="-150000"/>
    <n v="-0.52631578947368418"/>
    <n v="14000"/>
    <n v="30"/>
  </r>
  <r>
    <n v="682"/>
    <s v="KU203"/>
    <s v="Khăn ướt TiOne 20g x 100 gói"/>
    <s v="Gói"/>
    <n v="25000"/>
    <n v="0"/>
    <n v="10"/>
    <n v="40000"/>
    <n v="15000"/>
    <d v="2023-11-18T00:00:00"/>
    <s v="TT Ngọc Hạnh - Đ.Mối"/>
    <x v="2"/>
    <n v="2023"/>
    <n v="-10000"/>
    <n v="-0.4"/>
    <n v="4000"/>
    <n v="10"/>
  </r>
  <r>
    <n v="683"/>
    <s v="TB20001"/>
    <s v="Tăm bông thân gỗ hộp 200 cây x 12 hộp"/>
    <s v="Hộp"/>
    <n v="299250"/>
    <n v="3"/>
    <n v="18"/>
    <n v="370300"/>
    <n v="71050"/>
    <d v="2023-11-18T00:00:00"/>
    <s v="TT Ngọc Hạnh - Đ.Mối"/>
    <x v="2"/>
    <n v="2023"/>
    <n v="-228200"/>
    <n v="-0.76257309941520468"/>
    <n v="20572.222222222223"/>
    <n v="15"/>
  </r>
  <r>
    <n v="684"/>
    <s v="TBTE1001"/>
    <s v="Tăm bông thân nhựa TE túi 100 cây x 24 túi"/>
    <s v="Túi"/>
    <n v="378000"/>
    <n v="12"/>
    <n v="72"/>
    <n v="432000"/>
    <n v="54000"/>
    <d v="2023-11-18T00:00:00"/>
    <s v="TT Ngọc Hạnh - Đ.Mối"/>
    <x v="2"/>
    <n v="2023"/>
    <n v="-324000"/>
    <n v="-0.8571428571428571"/>
    <n v="6000"/>
    <n v="60"/>
  </r>
  <r>
    <n v="685"/>
    <s v="TBTE20002"/>
    <s v="Tăm bông thân nhựa TE hộp tròn 200 cây x 12 hộp"/>
    <s v="Hộp"/>
    <n v="178500"/>
    <n v="2"/>
    <n v="12"/>
    <n v="185200"/>
    <n v="6700"/>
    <d v="2023-11-18T00:00:00"/>
    <s v="TT Ngọc Hạnh - Đ.Mối"/>
    <x v="2"/>
    <n v="2023"/>
    <n v="-171800"/>
    <n v="-0.96246498599439778"/>
    <n v="15433.333333333334"/>
    <n v="10"/>
  </r>
  <r>
    <n v="686"/>
    <s v="TBTE20003"/>
    <s v="Tăm bông thân giấy TE hộp chữ nhật 200 cây x 12 hộp"/>
    <s v="Hộp"/>
    <n v="346500"/>
    <n v="3"/>
    <n v="18"/>
    <n v="370300"/>
    <n v="23800"/>
    <d v="2023-11-18T00:00:00"/>
    <s v="TT Ngọc Hạnh - Đ.Mối"/>
    <x v="2"/>
    <n v="2023"/>
    <n v="-322700"/>
    <n v="-0.93131313131313131"/>
    <n v="20572.222222222223"/>
    <n v="15"/>
  </r>
  <r>
    <n v="687"/>
    <s v="GC106"/>
    <s v="GVS Ruby (HQ) 10 cuộn x 8kg"/>
    <s v="Cây"/>
    <n v="180000"/>
    <n v="0"/>
    <n v="10"/>
    <n v="220000"/>
    <n v="40000"/>
    <d v="2023-11-18T00:00:00"/>
    <s v="Chị Thắm (Hồng Thắm) - B.H.Tây"/>
    <x v="2"/>
    <n v="2023"/>
    <n v="-140000"/>
    <n v="-0.77777777777777779"/>
    <n v="22000"/>
    <n v="10"/>
  </r>
  <r>
    <n v="688"/>
    <s v="HMK1"/>
    <s v="Yến sào Finenest kids xanh 1 lọ x 60 hộp"/>
    <s v="Hộp"/>
    <n v="384000"/>
    <n v="8"/>
    <n v="24"/>
    <n v="630000"/>
    <n v="246000"/>
    <d v="2023-11-18T00:00:00"/>
    <s v="Kim Hường - B.H.Tây"/>
    <x v="2"/>
    <n v="2023"/>
    <n v="-138000"/>
    <n v="-0.359375"/>
    <n v="26250"/>
    <n v="16"/>
  </r>
  <r>
    <n v="689"/>
    <s v="HTBTE50"/>
    <s v="Bánh gạo TE Happy Bites Việt Quất 50g x 12 hộp"/>
    <s v="Hộp"/>
    <n v="181200"/>
    <n v="1"/>
    <n v="4"/>
    <n v="156000"/>
    <n v="-25200"/>
    <d v="2023-11-18T00:00:00"/>
    <s v="TT Đông Nguyên - M.Long"/>
    <x v="2"/>
    <n v="2023"/>
    <n v="-206400"/>
    <n v="-1.1390728476821192"/>
    <n v="39000"/>
    <n v="3"/>
  </r>
  <r>
    <n v="690"/>
    <s v="HTBTE501"/>
    <s v="Bánh gạo TE Happy Bites Táo 50g x 12 hộp"/>
    <s v="Hộp"/>
    <n v="181200"/>
    <n v="0"/>
    <n v="4"/>
    <n v="200000"/>
    <n v="18800"/>
    <d v="2023-11-18T00:00:00"/>
    <s v="TT Đông Nguyên - M.Long"/>
    <x v="2"/>
    <n v="2023"/>
    <n v="-162400"/>
    <n v="-0.89624724061810157"/>
    <n v="50000"/>
    <n v="4"/>
  </r>
  <r>
    <n v="691"/>
    <s v="HTBTE502"/>
    <s v="Bánh gạo TE Happy Bites Chuối 50g x 12 hộp"/>
    <s v="Hộp"/>
    <n v="181200"/>
    <n v="0"/>
    <n v="4"/>
    <n v="200000"/>
    <n v="18800"/>
    <d v="2023-11-18T00:00:00"/>
    <s v="TT Đông Nguyên - M.Long"/>
    <x v="2"/>
    <n v="2023"/>
    <n v="-162400"/>
    <n v="-0.89624724061810157"/>
    <n v="50000"/>
    <n v="4"/>
  </r>
  <r>
    <n v="692"/>
    <s v="KV100"/>
    <s v="Khăn Napkin Toply 100 tờ x 48 gói"/>
    <s v="Gói"/>
    <n v="345600"/>
    <n v="4"/>
    <n v="48"/>
    <n v="536000"/>
    <n v="190400"/>
    <d v="2023-11-18T00:00:00"/>
    <s v="Như Ý - M.Trắng"/>
    <x v="2"/>
    <n v="2023"/>
    <n v="-155200"/>
    <n v="-0.44907407407407407"/>
    <n v="11166.666666666666"/>
    <n v="44"/>
  </r>
  <r>
    <n v="693"/>
    <s v="HM601"/>
    <s v="HIMA DAILY (new) 6 lọ x 6 hộp"/>
    <s v="Hộp"/>
    <n v="1152000"/>
    <n v="0"/>
    <n v="6"/>
    <n v="1440000"/>
    <n v="288000"/>
    <d v="2023-11-18T00:00:00"/>
    <s v="Phước Hải - A.Bình"/>
    <x v="2"/>
    <n v="2023"/>
    <n v="-864000"/>
    <n v="-0.75"/>
    <n v="240000"/>
    <n v="6"/>
  </r>
  <r>
    <n v="694"/>
    <s v="KMQCL"/>
    <s v="Quạt SENKO 1638 chân lỡ"/>
    <s v="Cây"/>
    <n v="0"/>
    <n v="1"/>
    <n v="0"/>
    <n v="-281000"/>
    <n v="-281000"/>
    <d v="2023-11-18T00:00:00"/>
    <s v="Phước Hải - A.Bình"/>
    <x v="2"/>
    <n v="2023"/>
    <n v="-281000"/>
    <n v="0"/>
    <n v="0"/>
    <n v="-1"/>
  </r>
  <r>
    <n v="695"/>
    <s v="KTN2001"/>
    <s v="Kẹo Trang Nghiêm ME CAM THẢO 200gr x 50 gói/thùng"/>
    <s v="Gói"/>
    <n v="122000"/>
    <n v="0"/>
    <n v="10"/>
    <n v="125000"/>
    <n v="3000"/>
    <d v="2023-11-18T00:00:00"/>
    <s v="Phước Hải - A.Bình"/>
    <x v="2"/>
    <n v="2023"/>
    <n v="-119000"/>
    <n v="-0.97540983606557374"/>
    <n v="12500"/>
    <n v="10"/>
  </r>
  <r>
    <n v="696"/>
    <s v="KTN2002"/>
    <s v="Kẹo Trang Nghiêm DÂU TÂY 200gr x 50 gói/thùng"/>
    <s v="Gói"/>
    <n v="122000"/>
    <n v="0"/>
    <n v="10"/>
    <n v="125000"/>
    <n v="3000"/>
    <d v="2023-11-18T00:00:00"/>
    <s v="Phước Hải - A.Bình"/>
    <x v="2"/>
    <n v="2023"/>
    <n v="-119000"/>
    <n v="-0.97540983606557374"/>
    <n v="12500"/>
    <n v="10"/>
  </r>
  <r>
    <n v="697"/>
    <s v="KTN2003"/>
    <s v="Kẹo Trang Nghiêm DÂU TẰM 200gr x 50 gói/thùng"/>
    <s v="Gói"/>
    <n v="122000"/>
    <n v="0"/>
    <n v="10"/>
    <n v="125000"/>
    <n v="3000"/>
    <d v="2023-11-18T00:00:00"/>
    <s v="Phước Hải - A.Bình"/>
    <x v="2"/>
    <n v="2023"/>
    <n v="-119000"/>
    <n v="-0.97540983606557374"/>
    <n v="12500"/>
    <n v="10"/>
  </r>
  <r>
    <n v="698"/>
    <s v="KTN2004"/>
    <s v="Kẹo Trang Nghiêm ME ỚT 200gr x 50 gói/thùng"/>
    <s v="Gói"/>
    <n v="122000"/>
    <n v="0"/>
    <n v="10"/>
    <n v="125000"/>
    <n v="3000"/>
    <d v="2023-11-18T00:00:00"/>
    <s v="Phước Hải - A.Bình"/>
    <x v="2"/>
    <n v="2023"/>
    <n v="-119000"/>
    <n v="-0.97540983606557374"/>
    <n v="12500"/>
    <n v="10"/>
  </r>
  <r>
    <n v="699"/>
    <s v="KR1001"/>
    <s v="Khăn giấy rút lụa SSS BiBi 2 lớp x 1kg x 10 gói"/>
    <s v="Gói"/>
    <n v="480000"/>
    <n v="2"/>
    <n v="10"/>
    <n v="434000"/>
    <n v="-46000"/>
    <d v="2023-11-18T00:00:00"/>
    <s v="Thanh Nhã - M.Long"/>
    <x v="2"/>
    <n v="2023"/>
    <n v="-526000"/>
    <n v="-1.0958333333333334"/>
    <n v="43400"/>
    <n v="8"/>
  </r>
  <r>
    <n v="700"/>
    <s v="GC605"/>
    <s v="GVS Ruby 6 cuộn Mèo (không lõi) x 10 cây"/>
    <s v="Cây"/>
    <n v="290000"/>
    <n v="1"/>
    <n v="10"/>
    <n v="355000"/>
    <n v="65000"/>
    <d v="2023-11-18T00:00:00"/>
    <s v="MP Nhanh - M.Hiệp"/>
    <x v="2"/>
    <n v="2023"/>
    <n v="-225000"/>
    <n v="-0.77586206896551724"/>
    <n v="35500"/>
    <n v="9"/>
  </r>
  <r>
    <n v="701"/>
    <s v="KV1001"/>
    <s v="Khăn Napkin Ruby Gold 100 tờ x 30 gói"/>
    <s v="Gói"/>
    <n v="1125000"/>
    <n v="30"/>
    <n v="150"/>
    <n v="1350000"/>
    <n v="225000"/>
    <d v="2023-11-18T00:00:00"/>
    <s v="MP Nhanh - M.Hiệp"/>
    <x v="2"/>
    <n v="2023"/>
    <n v="-900000"/>
    <n v="-0.8"/>
    <n v="9000"/>
    <n v="120"/>
  </r>
  <r>
    <n v="702"/>
    <s v="GC605"/>
    <s v="GVS Ruby 6 cuộn Mèo (không lõi) x 10 cây"/>
    <s v="Cây"/>
    <n v="290000"/>
    <n v="1"/>
    <n v="10"/>
    <n v="355000"/>
    <n v="65000"/>
    <d v="2023-11-18T00:00:00"/>
    <s v="TT Nguyễn Thị Định - M.Xương"/>
    <x v="2"/>
    <n v="2023"/>
    <n v="-225000"/>
    <n v="-0.77586206896551724"/>
    <n v="35500"/>
    <n v="9"/>
  </r>
  <r>
    <n v="703"/>
    <s v="KT50-4"/>
    <s v="Khẩu trang y tế 4 lớp MEDICAL MASK 50 x 50 hộp"/>
    <s v="Hộp"/>
    <n v="160000"/>
    <n v="0"/>
    <n v="10"/>
    <n v="180000"/>
    <n v="20000"/>
    <d v="2023-11-18T00:00:00"/>
    <s v="TT Nguyễn Thị Định - M.Xương"/>
    <x v="2"/>
    <n v="2023"/>
    <n v="-140000"/>
    <n v="-0.875"/>
    <n v="18000"/>
    <n v="10"/>
  </r>
  <r>
    <n v="704"/>
    <s v="KU1505"/>
    <s v="Khăn ướt TE TiOne 150g x 30 gói"/>
    <s v="Gói"/>
    <n v="100000"/>
    <n v="2"/>
    <n v="10"/>
    <n v="150000"/>
    <n v="50000"/>
    <d v="2023-11-18T00:00:00"/>
    <s v="TT Kim Dung - M.Hiệp"/>
    <x v="2"/>
    <n v="2023"/>
    <n v="-50000"/>
    <n v="-0.5"/>
    <n v="15000"/>
    <n v="8"/>
  </r>
  <r>
    <n v="705"/>
    <s v="KV100"/>
    <s v="Khăn Napkin Toply 100 tờ x 48 gói"/>
    <s v="Gói"/>
    <n v="0"/>
    <n v="0"/>
    <n v="0"/>
    <n v="0"/>
    <n v="0"/>
    <d v="2023-11-18T00:00:00"/>
    <s v="Thế Giới Con Cưng - HCL"/>
    <x v="2"/>
    <n v="2023"/>
    <n v="0"/>
    <n v="0"/>
    <n v="0"/>
    <n v="0"/>
  </r>
  <r>
    <n v="706"/>
    <s v="TBTE20003"/>
    <s v="Tăm bông thân giấy TE hộp chữ nhật 200 cây x 12 hộp"/>
    <s v="Hộp"/>
    <n v="231000"/>
    <n v="2"/>
    <n v="12"/>
    <n v="288000"/>
    <n v="57000"/>
    <d v="2023-11-18T00:00:00"/>
    <s v="Thế Giới Con Cưng - HCL"/>
    <x v="2"/>
    <n v="2023"/>
    <n v="-174000"/>
    <n v="-0.75324675324675328"/>
    <n v="24000"/>
    <n v="10"/>
  </r>
  <r>
    <n v="707"/>
    <s v="KU100"/>
    <s v="Khăn ướt Begin 100 tờ x 20 gói"/>
    <s v="Gói"/>
    <n v="102000"/>
    <n v="0"/>
    <n v="6"/>
    <n v="144000"/>
    <n v="42000"/>
    <d v="2023-11-18T00:00:00"/>
    <s v="Vương Quốc Sữa - B.H.Trung"/>
    <x v="2"/>
    <n v="2023"/>
    <n v="-60000"/>
    <n v="-0.58823529411764708"/>
    <n v="24000"/>
    <n v="6"/>
  </r>
  <r>
    <n v="708"/>
    <s v="BCN198"/>
    <s v="BC KAKA NANO N198 x 20 x 15 hộp"/>
    <s v="Cây"/>
    <n v="135000"/>
    <n v="0"/>
    <n v="30"/>
    <n v="300000"/>
    <n v="165000"/>
    <d v="2023-11-18T00:00:00"/>
    <s v="Trinh Nữ - M.Trắng"/>
    <x v="2"/>
    <n v="2023"/>
    <n v="30000"/>
    <n v="0.22222222222222221"/>
    <n v="10000"/>
    <n v="30"/>
  </r>
  <r>
    <n v="709"/>
    <s v="GC100"/>
    <s v="GVS cuộn trắng rẻ (xá) x 10 cây"/>
    <s v="Bao"/>
    <n v="57000"/>
    <n v="0"/>
    <n v="1"/>
    <n v="75000"/>
    <n v="18000"/>
    <d v="2023-11-18T00:00:00"/>
    <s v="Trinh Nữ - M.Trắng"/>
    <x v="2"/>
    <n v="2023"/>
    <n v="-39000"/>
    <n v="-0.68421052631578949"/>
    <n v="75000"/>
    <n v="1"/>
  </r>
  <r>
    <n v="710"/>
    <s v="GC606"/>
    <s v="GVS TiOne Gấu 6 cuộn x 12 cây"/>
    <s v="Cây"/>
    <n v="155004"/>
    <n v="0"/>
    <n v="6"/>
    <n v="222000"/>
    <n v="66996"/>
    <d v="2023-11-18T00:00:00"/>
    <s v="Trinh Nữ - M.Trắng"/>
    <x v="2"/>
    <n v="2023"/>
    <n v="-88008"/>
    <n v="-0.56777889602848963"/>
    <n v="37000"/>
    <n v="6"/>
  </r>
  <r>
    <n v="711"/>
    <s v="GC617"/>
    <s v="GVS TiOne hồng 6 cuộn x 12 cây"/>
    <s v="Cây"/>
    <n v="0"/>
    <n v="1"/>
    <n v="0"/>
    <n v="-31000"/>
    <n v="-31000"/>
    <d v="2023-11-18T00:00:00"/>
    <s v="Trinh Nữ - M.Trắng"/>
    <x v="2"/>
    <n v="2023"/>
    <n v="-31000"/>
    <n v="0"/>
    <n v="0"/>
    <n v="-1"/>
  </r>
  <r>
    <n v="712"/>
    <s v="KKDN300"/>
    <s v="Khăn khô đa năng 300gr x 30 gói"/>
    <s v="Gói"/>
    <n v="1069200"/>
    <n v="3"/>
    <n v="27"/>
    <n v="1069200"/>
    <n v="0"/>
    <d v="2023-11-18T00:00:00"/>
    <s v="Thế Giới Con Cưng - B.H.Tây"/>
    <x v="2"/>
    <n v="2023"/>
    <n v="-1069200"/>
    <n v="-1"/>
    <n v="39600"/>
    <n v="24"/>
  </r>
  <r>
    <n v="713"/>
    <s v="GC100"/>
    <s v="GVS cuộn trắng rẻ (xá) x 10 cây"/>
    <s v="Bao"/>
    <n v="114000"/>
    <n v="0"/>
    <n v="2"/>
    <n v="140000"/>
    <n v="26000"/>
    <d v="2023-11-18T00:00:00"/>
    <s v="Tuấn Kiệt - M.Long"/>
    <x v="2"/>
    <n v="2023"/>
    <n v="-88000"/>
    <n v="-0.77192982456140347"/>
    <n v="70000"/>
    <n v="2"/>
  </r>
  <r>
    <n v="714"/>
    <s v="HTBG145"/>
    <s v="Bánh gạo Bin Bin Tuyết Cay 145g x 20 gói"/>
    <s v="Gói"/>
    <n v="156640"/>
    <n v="0"/>
    <n v="5"/>
    <n v="175000"/>
    <n v="18360"/>
    <d v="2023-11-18T00:00:00"/>
    <s v="Tuấn Kiệt - M.Long"/>
    <x v="2"/>
    <n v="2023"/>
    <n v="-138280"/>
    <n v="-0.88278855975485193"/>
    <n v="35000"/>
    <n v="5"/>
  </r>
  <r>
    <n v="715"/>
    <s v="HTBG1502"/>
    <s v="Bánh gạo Bin Bin Rong Biển 150g x 20 gói"/>
    <s v="Gói"/>
    <n v="138600"/>
    <n v="0"/>
    <n v="5"/>
    <n v="160000"/>
    <n v="21400"/>
    <d v="2023-11-18T00:00:00"/>
    <s v="Tuấn Kiệt - M.Long"/>
    <x v="2"/>
    <n v="2023"/>
    <n v="-117200"/>
    <n v="-0.84559884559884557"/>
    <n v="32000"/>
    <n v="5"/>
  </r>
  <r>
    <n v="716"/>
    <s v="NSSK555"/>
    <s v="Saka 555ml x 24 chai"/>
    <s v="Thùng"/>
    <n v="156000"/>
    <n v="0"/>
    <n v="2"/>
    <n v="156000"/>
    <n v="0"/>
    <d v="2023-11-18T00:00:00"/>
    <s v="Tuấn Kiệt - M.Long"/>
    <x v="2"/>
    <n v="2023"/>
    <n v="-156000"/>
    <n v="-1"/>
    <n v="78000"/>
    <n v="2"/>
  </r>
  <r>
    <n v="717"/>
    <s v="KR1001"/>
    <s v="Khăn giấy rút lụa SSS BiBi 2 lớp x 1kg x 10 gói"/>
    <s v="Gói"/>
    <n v="960000"/>
    <n v="2"/>
    <n v="20"/>
    <n v="954000"/>
    <n v="-6000"/>
    <d v="2023-11-18T00:00:00"/>
    <s v="Quán bê thui Cảnh Nhớ - HCL "/>
    <x v="2"/>
    <n v="2023"/>
    <n v="-966000"/>
    <n v="-1.0062500000000001"/>
    <n v="47700"/>
    <n v="18"/>
  </r>
  <r>
    <n v="718"/>
    <s v="TT01"/>
    <s v="Thanh toán lần 1"/>
    <s v="VNĐ"/>
    <n v="0"/>
    <n v="0"/>
    <n v="0"/>
    <n v="-940000"/>
    <n v="-940000"/>
    <d v="2023-11-18T00:00:00"/>
    <s v="Quán bê thui Cảnh Nhớ - HCL "/>
    <x v="2"/>
    <n v="2023"/>
    <n v="-940000"/>
    <n v="0"/>
    <n v="0"/>
    <n v="0"/>
  </r>
  <r>
    <n v="719"/>
    <s v="HM608"/>
    <s v="Yến sào Seunest CĐ vàng x 6 hộp"/>
    <s v="Hộp"/>
    <n v="600000"/>
    <n v="6"/>
    <n v="6"/>
    <n v="654000"/>
    <n v="54000"/>
    <d v="2023-11-20T00:00:00"/>
    <s v="Chị Bích - T.Linh"/>
    <x v="2"/>
    <n v="2023"/>
    <n v="-546000"/>
    <n v="-0.91"/>
    <n v="109000"/>
    <n v="0"/>
  </r>
  <r>
    <n v="720"/>
    <s v="HM607"/>
    <s v="Yến sào Seunest KĐ xanh x 6 hộp"/>
    <s v="Hộp"/>
    <n v="0"/>
    <n v="12"/>
    <n v="0"/>
    <n v="-1308000"/>
    <n v="-1308000"/>
    <d v="2023-11-20T00:00:00"/>
    <s v="TT Huệ Long - T.H.Trung"/>
    <x v="2"/>
    <n v="2023"/>
    <n v="-1308000"/>
    <n v="0"/>
    <n v="0"/>
    <n v="-12"/>
  </r>
  <r>
    <n v="721"/>
    <s v="HM608"/>
    <s v="Yến sào Seunest CĐ vàng x 6 hộp"/>
    <s v="Hộp"/>
    <n v="1200000"/>
    <n v="0"/>
    <n v="12"/>
    <n v="2616000"/>
    <n v="1416000"/>
    <d v="2023-11-20T00:00:00"/>
    <s v="TT Huệ Long - T.H.Trung"/>
    <x v="2"/>
    <n v="2023"/>
    <n v="216000"/>
    <n v="0.18"/>
    <n v="218000"/>
    <n v="12"/>
  </r>
  <r>
    <n v="722"/>
    <s v="HM610"/>
    <s v="Yến sào Finenest CĐ đỏ x 6 hộp"/>
    <s v="Hộp"/>
    <n v="600000"/>
    <n v="6"/>
    <n v="6"/>
    <n v="654000"/>
    <n v="54000"/>
    <d v="2023-11-20T00:00:00"/>
    <s v="TT Huệ Long - T.H.Trung"/>
    <x v="2"/>
    <n v="2023"/>
    <n v="-546000"/>
    <n v="-0.91"/>
    <n v="109000"/>
    <n v="0"/>
  </r>
  <r>
    <n v="723"/>
    <s v="KV60"/>
    <s v="Khăn Napkin Ruby hồng 64 gói"/>
    <s v="Gói"/>
    <n v="0"/>
    <n v="0"/>
    <n v="0"/>
    <n v="0"/>
    <n v="0"/>
    <d v="2023-11-20T00:00:00"/>
    <s v="Chị Thủy (đồ nhựa) - T.H.Trung"/>
    <x v="2"/>
    <n v="2023"/>
    <n v="0"/>
    <n v="0"/>
    <n v="0"/>
    <n v="0"/>
  </r>
  <r>
    <n v="724"/>
    <s v="HM608"/>
    <s v="Yến sào Seunest CĐ vàng x 6 hộp"/>
    <s v="Hộp"/>
    <n v="600000"/>
    <n v="0"/>
    <n v="6"/>
    <n v="1308000"/>
    <n v="708000"/>
    <d v="2023-11-20T00:00:00"/>
    <s v="Shop Thảo Tâm - A.Bình"/>
    <x v="2"/>
    <n v="2023"/>
    <n v="108000"/>
    <n v="0.18"/>
    <n v="218000"/>
    <n v="6"/>
  </r>
  <r>
    <n v="725"/>
    <s v="HM610"/>
    <s v="Yến sào Finenest CĐ đỏ x 6 hộp"/>
    <s v="Hộp"/>
    <n v="0"/>
    <n v="6"/>
    <n v="0"/>
    <n v="-654000"/>
    <n v="-654000"/>
    <d v="2023-11-20T00:00:00"/>
    <s v="Shop Thảo Tâm - A.Bình"/>
    <x v="2"/>
    <n v="2023"/>
    <n v="-654000"/>
    <n v="0"/>
    <n v="0"/>
    <n v="-6"/>
  </r>
  <r>
    <n v="726"/>
    <s v="HTBSN903"/>
    <s v="Snack bắp Otori vị Rong Biển 90g x 12"/>
    <s v="Lon"/>
    <n v="332640"/>
    <n v="0"/>
    <n v="12"/>
    <n v="384000"/>
    <n v="51360"/>
    <d v="2023-11-20T00:00:00"/>
    <s v="Shop Thảo Tâm - A.Bình"/>
    <x v="2"/>
    <n v="2023"/>
    <n v="-281280"/>
    <n v="-0.84559884559884557"/>
    <n v="32000"/>
    <n v="12"/>
  </r>
  <r>
    <n v="727"/>
    <s v="KV100"/>
    <s v="Khăn Napkin Toply 100 tờ x 48 gói"/>
    <s v="Gói"/>
    <n v="345600"/>
    <n v="4"/>
    <n v="48"/>
    <n v="536000"/>
    <n v="190400"/>
    <d v="2023-11-20T00:00:00"/>
    <s v="Thế Giới Con Cưng - HCL"/>
    <x v="2"/>
    <n v="2023"/>
    <n v="-155200"/>
    <n v="-0.44907407407407407"/>
    <n v="11166.666666666666"/>
    <n v="44"/>
  </r>
  <r>
    <n v="728"/>
    <s v="HM110"/>
    <s v="Yến sào Finenest Saffron (hoa nghệ tây) x 10 hộp"/>
    <s v="Hộp"/>
    <n v="0"/>
    <n v="3"/>
    <n v="0"/>
    <n v="-327000"/>
    <n v="-327000"/>
    <d v="2023-11-20T00:00:00"/>
    <s v="Phúc Nguyên - B.Sao"/>
    <x v="2"/>
    <n v="2023"/>
    <n v="-327000"/>
    <n v="0"/>
    <n v="0"/>
    <n v="-3"/>
  </r>
  <r>
    <n v="729"/>
    <s v="HM607"/>
    <s v="Yến sào Seunest KĐ xanh x 6 hộp"/>
    <s v="Hộp"/>
    <n v="100000"/>
    <n v="0"/>
    <n v="1"/>
    <n v="218000"/>
    <n v="118000"/>
    <d v="2023-11-20T00:00:00"/>
    <s v="Phúc Nguyên - B.Sao"/>
    <x v="2"/>
    <n v="2023"/>
    <n v="18000"/>
    <n v="0.18"/>
    <n v="218000"/>
    <n v="1"/>
  </r>
  <r>
    <n v="730"/>
    <s v="HM608"/>
    <s v="Yến sào Seunest CĐ vàng x 6 hộp"/>
    <s v="Hộp"/>
    <n v="100000"/>
    <n v="0"/>
    <n v="1"/>
    <n v="218000"/>
    <n v="118000"/>
    <d v="2023-11-20T00:00:00"/>
    <s v="Phúc Nguyên - B.Sao"/>
    <x v="2"/>
    <n v="2023"/>
    <n v="18000"/>
    <n v="0.18"/>
    <n v="218000"/>
    <n v="1"/>
  </r>
  <r>
    <n v="731"/>
    <s v="HM610"/>
    <s v="Yến sào Finenest CĐ đỏ x 6 hộp"/>
    <s v="Hộp"/>
    <n v="100000"/>
    <n v="0"/>
    <n v="1"/>
    <n v="218000"/>
    <n v="118000"/>
    <d v="2023-11-20T00:00:00"/>
    <s v="Phúc Nguyên - B.Sao"/>
    <x v="2"/>
    <n v="2023"/>
    <n v="18000"/>
    <n v="0.18"/>
    <n v="218000"/>
    <n v="1"/>
  </r>
  <r>
    <n v="732"/>
    <s v="HM608"/>
    <s v="Yến sào Seunest CĐ vàng x 6 hộp"/>
    <s v="Hộp"/>
    <n v="900000"/>
    <n v="3"/>
    <n v="9"/>
    <n v="1635000"/>
    <n v="735000"/>
    <d v="2023-11-20T00:00:00"/>
    <s v="Tú Anh - T.Nghĩa"/>
    <x v="2"/>
    <n v="2023"/>
    <n v="-165000"/>
    <n v="-0.18333333333333332"/>
    <n v="181666.66666666666"/>
    <n v="6"/>
  </r>
  <r>
    <n v="733"/>
    <s v="HM610"/>
    <s v="Yến sào Finenest CĐ đỏ x 6 hộp"/>
    <s v="Hộp"/>
    <n v="0"/>
    <n v="6"/>
    <n v="0"/>
    <n v="-654000"/>
    <n v="-654000"/>
    <d v="2023-11-20T00:00:00"/>
    <s v="Tú Anh - T.Nghĩa"/>
    <x v="2"/>
    <n v="2023"/>
    <n v="-654000"/>
    <n v="0"/>
    <n v="0"/>
    <n v="-6"/>
  </r>
  <r>
    <n v="734"/>
    <s v="HTBSN80"/>
    <s v="Snack bắp Otori vị Phô Mai 8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35"/>
    <s v="HTBSN90"/>
    <s v="Snack bắp Otori vị Gà cay 9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36"/>
    <s v="HTBSN901"/>
    <s v="Snack bắp Otori vị Mực nướng 9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37"/>
    <s v="HTBSN902"/>
    <s v="Snack bắp Otori vị Tomyum Kung 9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38"/>
    <s v="HTBSN903"/>
    <s v="Snack bắp Otori vị Rong Biển 9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39"/>
    <s v="HTBSN904"/>
    <s v="Snack bắp Otori vị Dừa 80g x 12"/>
    <s v="Lon"/>
    <n v="55440"/>
    <n v="0"/>
    <n v="2"/>
    <n v="60000"/>
    <n v="4560"/>
    <d v="2023-11-20T00:00:00"/>
    <s v="Kim Thủy - Chợ 307"/>
    <x v="2"/>
    <n v="2023"/>
    <n v="-50880"/>
    <n v="-0.91774891774891776"/>
    <n v="30000"/>
    <n v="2"/>
  </r>
  <r>
    <n v="740"/>
    <s v="HTBSN80"/>
    <s v="Snack bắp Otori vị Phô Mai 80g x 12"/>
    <s v="Lon"/>
    <n v="55440"/>
    <n v="0"/>
    <n v="2"/>
    <n v="64000"/>
    <n v="8560"/>
    <d v="2023-11-20T00:00:00"/>
    <s v="Thuận Kiều (nhà may) - Chợ 307"/>
    <x v="2"/>
    <n v="2023"/>
    <n v="-46880"/>
    <n v="-0.84559884559884557"/>
    <n v="32000"/>
    <n v="2"/>
  </r>
  <r>
    <n v="741"/>
    <s v="HTBSN90"/>
    <s v="Snack bắp Otori vị Gà cay 90g x 12"/>
    <s v="Lon"/>
    <n v="55440"/>
    <n v="0"/>
    <n v="2"/>
    <n v="64000"/>
    <n v="8560"/>
    <d v="2023-11-20T00:00:00"/>
    <s v="Thuận Kiều (nhà may) - Chợ 307"/>
    <x v="2"/>
    <n v="2023"/>
    <n v="-46880"/>
    <n v="-0.84559884559884557"/>
    <n v="32000"/>
    <n v="2"/>
  </r>
  <r>
    <n v="742"/>
    <s v="HTBSN901"/>
    <s v="Snack bắp Otori vị Mực nướng 90g x 12"/>
    <s v="Lon"/>
    <n v="55440"/>
    <n v="0"/>
    <n v="2"/>
    <n v="64000"/>
    <n v="8560"/>
    <d v="2023-11-20T00:00:00"/>
    <s v="Thuận Kiều (nhà may) - Chợ 307"/>
    <x v="2"/>
    <n v="2023"/>
    <n v="-46880"/>
    <n v="-0.84559884559884557"/>
    <n v="32000"/>
    <n v="2"/>
  </r>
  <r>
    <n v="743"/>
    <s v="HTBSN902"/>
    <s v="Snack bắp Otori vị Tomyum Kung 90g x 12"/>
    <s v="Lon"/>
    <n v="55440"/>
    <n v="0"/>
    <n v="2"/>
    <n v="64000"/>
    <n v="8560"/>
    <d v="2023-11-20T00:00:00"/>
    <s v="Thuận Kiều (nhà may) - Chợ 307"/>
    <x v="2"/>
    <n v="2023"/>
    <n v="-46880"/>
    <n v="-0.84559884559884557"/>
    <n v="32000"/>
    <n v="2"/>
  </r>
  <r>
    <n v="744"/>
    <s v="HTBSN903"/>
    <s v="Snack bắp Otori vị Rong Biển 90g x 12"/>
    <s v="Lon"/>
    <n v="55440"/>
    <n v="0"/>
    <n v="2"/>
    <n v="64000"/>
    <n v="8560"/>
    <d v="2023-11-20T00:00:00"/>
    <s v="Thuận Kiều (nhà may) - Chợ 307"/>
    <x v="2"/>
    <n v="2023"/>
    <n v="-46880"/>
    <n v="-0.84559884559884557"/>
    <n v="32000"/>
    <n v="2"/>
  </r>
  <r>
    <n v="745"/>
    <s v="HM8"/>
    <s v="Khánh Hòa SmileNest Vàng ( CĐ) 6 lọ x 8 hộp"/>
    <s v="Hộp"/>
    <n v="392000"/>
    <n v="0"/>
    <n v="4"/>
    <n v="960000"/>
    <n v="568000"/>
    <d v="2023-11-22T00:00:00"/>
    <s v="Nhung Nhựt - N.V.Tiếp"/>
    <x v="2"/>
    <n v="2023"/>
    <n v="176000"/>
    <n v="0.44897959183673469"/>
    <n v="240000"/>
    <n v="4"/>
  </r>
  <r>
    <n v="746"/>
    <s v="HM801"/>
    <s v="Khánh Hòa SmileNest Đỏ ( Canxi) 6 lọ x 8 hộp"/>
    <s v="Hộp"/>
    <n v="392000"/>
    <n v="0"/>
    <n v="4"/>
    <n v="960000"/>
    <n v="568000"/>
    <d v="2023-11-22T00:00:00"/>
    <s v="Nhung Nhựt - N.V.Tiếp"/>
    <x v="2"/>
    <n v="2023"/>
    <n v="176000"/>
    <n v="0.44897959183673469"/>
    <n v="240000"/>
    <n v="4"/>
  </r>
  <r>
    <n v="747"/>
    <s v="HMK1"/>
    <s v="Yến sào Finenest kids xanh 1 lọ x 60 hộp"/>
    <s v="Hộp"/>
    <n v="80000"/>
    <n v="3"/>
    <n v="5"/>
    <n v="111000"/>
    <n v="31000"/>
    <d v="2023-11-22T00:00:00"/>
    <s v="Thái Nguyên - T.Linh"/>
    <x v="2"/>
    <n v="2023"/>
    <n v="-49000"/>
    <n v="-0.61250000000000004"/>
    <n v="22200"/>
    <n v="2"/>
  </r>
  <r>
    <n v="748"/>
    <s v="HMK102"/>
    <s v="Yến sào Nicenest Kids đỏ 1 lọ x 60 hộp"/>
    <s v="Hộp"/>
    <n v="80000"/>
    <n v="2"/>
    <n v="5"/>
    <n v="137000"/>
    <n v="57000"/>
    <d v="2023-11-22T00:00:00"/>
    <s v="Thái Nguyên - T.Linh"/>
    <x v="2"/>
    <n v="2023"/>
    <n v="-23000"/>
    <n v="-0.28749999999999998"/>
    <n v="27400"/>
    <n v="3"/>
  </r>
  <r>
    <n v="749"/>
    <s v="HM8"/>
    <s v="Khánh Hòa SmileNest Vàng ( CĐ) 6 lọ x 8 hộp"/>
    <s v="Hộp"/>
    <n v="392000"/>
    <n v="0"/>
    <n v="4"/>
    <n v="960000"/>
    <n v="568000"/>
    <d v="2023-11-22T00:00:00"/>
    <s v="Tuấn Quyên - P.Thịnh"/>
    <x v="2"/>
    <n v="2023"/>
    <n v="176000"/>
    <n v="0.44897959183673469"/>
    <n v="240000"/>
    <n v="4"/>
  </r>
  <r>
    <n v="750"/>
    <s v="HM801"/>
    <s v="Khánh Hòa SmileNest Đỏ ( Canxi) 6 lọ x 8 hộp"/>
    <s v="Hộp"/>
    <n v="392000"/>
    <n v="0"/>
    <n v="4"/>
    <n v="960000"/>
    <n v="568000"/>
    <d v="2023-11-22T00:00:00"/>
    <s v="Tuấn Quyên - P.Thịnh"/>
    <x v="2"/>
    <n v="2023"/>
    <n v="176000"/>
    <n v="0.44897959183673469"/>
    <n v="240000"/>
    <n v="4"/>
  </r>
  <r>
    <n v="751"/>
    <s v="KTN2002"/>
    <s v="Kẹo Trang Nghiêm DÂU TÂY 200gr x 50 gói/thùng"/>
    <s v="Gói"/>
    <n v="61000"/>
    <n v="0"/>
    <n v="5"/>
    <n v="70000"/>
    <n v="9000"/>
    <d v="2023-11-22T00:00:00"/>
    <s v="Tuấn Quyên - P.Thịnh"/>
    <x v="2"/>
    <n v="2023"/>
    <n v="-52000"/>
    <n v="-0.85245901639344257"/>
    <n v="14000"/>
    <n v="5"/>
  </r>
  <r>
    <n v="752"/>
    <s v="KTN2003"/>
    <s v="Kẹo Trang Nghiêm DÂU TẰM 200gr x 50 gói/thùng"/>
    <s v="Gói"/>
    <n v="61000"/>
    <n v="0"/>
    <n v="5"/>
    <n v="70000"/>
    <n v="9000"/>
    <d v="2023-11-22T00:00:00"/>
    <s v="Tuấn Quyên - P.Thịnh"/>
    <x v="2"/>
    <n v="2023"/>
    <n v="-52000"/>
    <n v="-0.85245901639344257"/>
    <n v="14000"/>
    <n v="5"/>
  </r>
  <r>
    <n v="753"/>
    <s v="GC603"/>
    <s v="GVS Ruby Gold 6 cuộn (không lõi) x 12 cây"/>
    <s v="Cây"/>
    <n v="300000"/>
    <n v="1"/>
    <n v="12"/>
    <n v="410000"/>
    <n v="110000"/>
    <d v="2023-11-22T00:00:00"/>
    <s v="Chị Tuyết - HCL (N.Mỹ)"/>
    <x v="2"/>
    <n v="2023"/>
    <n v="-190000"/>
    <n v="-0.6333333333333333"/>
    <n v="34166.666666666664"/>
    <n v="11"/>
  </r>
  <r>
    <n v="754"/>
    <s v="KR1500"/>
    <s v="Khăn rút TiOne treo tường 1500 tờ x 15 gói"/>
    <s v="Gói"/>
    <n v="285000"/>
    <n v="0"/>
    <n v="15"/>
    <n v="375000"/>
    <n v="90000"/>
    <d v="2023-11-22T00:00:00"/>
    <s v="Chị Tuyết - HCL (N.Mỹ)"/>
    <x v="2"/>
    <n v="2023"/>
    <n v="-195000"/>
    <n v="-0.68421052631578949"/>
    <n v="25000"/>
    <n v="15"/>
  </r>
  <r>
    <n v="755"/>
    <s v="HM608"/>
    <s v="Yến sào Seunest CĐ vàng x 6 hộp"/>
    <s v="Hộp"/>
    <n v="600000"/>
    <n v="0"/>
    <n v="6"/>
    <n v="1308000"/>
    <n v="708000"/>
    <d v="2023-11-22T00:00:00"/>
    <s v="Ngọc Thu - P.Thịnh"/>
    <x v="2"/>
    <n v="2023"/>
    <n v="108000"/>
    <n v="0.18"/>
    <n v="218000"/>
    <n v="6"/>
  </r>
  <r>
    <n v="756"/>
    <s v="HM610"/>
    <s v="Yến sào Finenest CĐ đỏ x 6 hộp"/>
    <s v="Hộp"/>
    <n v="0"/>
    <n v="6"/>
    <n v="0"/>
    <n v="-654000"/>
    <n v="-654000"/>
    <d v="2023-11-22T00:00:00"/>
    <s v="Ngọc Thu - P.Thịnh"/>
    <x v="2"/>
    <n v="2023"/>
    <n v="-654000"/>
    <n v="0"/>
    <n v="0"/>
    <n v="-6"/>
  </r>
  <r>
    <n v="757"/>
    <s v="KU250"/>
    <s v="Khăn ướt TE Villa 250g x 30 gói"/>
    <s v="Gói"/>
    <n v="1155000"/>
    <n v="0"/>
    <n v="150"/>
    <n v="1350000"/>
    <n v="195000"/>
    <d v="2023-11-22T00:00:00"/>
    <s v="Ngọc Thu - P.Thịnh"/>
    <x v="2"/>
    <n v="2023"/>
    <n v="-960000"/>
    <n v="-0.83116883116883122"/>
    <n v="9000"/>
    <n v="150"/>
  </r>
  <r>
    <n v="758"/>
    <s v="GC603"/>
    <s v="GVS Ruby Gold 6 cuộn (không lõi) x 12 cây"/>
    <s v="Cây"/>
    <n v="300000"/>
    <n v="0"/>
    <n v="12"/>
    <n v="408000"/>
    <n v="108000"/>
    <d v="2023-11-23T00:00:00"/>
    <s v="Thông Thảo - P.Mỹ (QL30)"/>
    <x v="2"/>
    <n v="2023"/>
    <n v="-192000"/>
    <n v="-0.64"/>
    <n v="34000"/>
    <n v="12"/>
  </r>
  <r>
    <n v="759"/>
    <s v="KV1001"/>
    <s v="Khăn Napkin Ruby Gold 100 tờ x 30 gói"/>
    <s v="Gói"/>
    <n v="450000"/>
    <n v="0"/>
    <n v="60"/>
    <n v="540000"/>
    <n v="90000"/>
    <d v="2023-11-23T00:00:00"/>
    <s v="Thông Thảo - P.Mỹ (QL30)"/>
    <x v="2"/>
    <n v="2023"/>
    <n v="-360000"/>
    <n v="-0.8"/>
    <n v="9000"/>
    <n v="60"/>
  </r>
  <r>
    <n v="760"/>
    <s v="BG5200"/>
    <s v="Bột giặt Lady 107 -  5,2kg x 3 gói/thùng"/>
    <s v="Gói"/>
    <n v="1411920"/>
    <n v="0"/>
    <n v="12"/>
    <n v="1908000"/>
    <n v="496080"/>
    <d v="2023-11-24T00:00:00"/>
    <s v="Thu Thủy - P.Mỹ (cầu Trâu Trắng)"/>
    <x v="2"/>
    <n v="2023"/>
    <n v="-915840"/>
    <n v="-0.64864864864864868"/>
    <n v="159000"/>
    <n v="12"/>
  </r>
  <r>
    <n v="761"/>
    <s v="TNS1"/>
    <s v="Tẩy toilet Nam Sơn NK 100% 1L x 12 chai"/>
    <s v="Chai"/>
    <n v="0"/>
    <n v="12"/>
    <n v="0"/>
    <n v="-318000"/>
    <n v="-318000"/>
    <d v="2023-11-24T00:00:00"/>
    <s v="Thu Thủy - P.Mỹ (cầu Trâu Trắng)"/>
    <x v="2"/>
    <n v="2023"/>
    <n v="-318000"/>
    <n v="0"/>
    <n v="0"/>
    <n v="-12"/>
  </r>
  <r>
    <n v="762"/>
    <s v="TT01"/>
    <s v="Thanh toán lần 1"/>
    <s v="VNĐ"/>
    <n v="0"/>
    <n v="0"/>
    <n v="0"/>
    <n v="-908000"/>
    <n v="-908000"/>
    <d v="2023-11-24T00:00:00"/>
    <s v="Thu Thủy - P.Mỹ (cầu Trâu Trắng)"/>
    <x v="2"/>
    <n v="2023"/>
    <n v="-908000"/>
    <n v="0"/>
    <n v="0"/>
    <n v="0"/>
  </r>
  <r>
    <n v="763"/>
    <s v="KV100"/>
    <s v="Khăn Napkin Toply 100 tờ x 48 gói"/>
    <s v="Gói"/>
    <n v="172800"/>
    <n v="2"/>
    <n v="24"/>
    <n v="268000"/>
    <n v="95200"/>
    <d v="2023-11-24T00:00:00"/>
    <s v="Phượng Loan - N.V.Tiếp"/>
    <x v="2"/>
    <n v="2023"/>
    <n v="-77600"/>
    <n v="-0.44907407407407407"/>
    <n v="11166.666666666666"/>
    <n v="22"/>
  </r>
  <r>
    <n v="764"/>
    <s v="GC617"/>
    <s v="GVS TiOne hồng 6 cuộn x 12 cây"/>
    <s v="Cây"/>
    <n v="265716"/>
    <n v="0"/>
    <n v="12"/>
    <n v="360000"/>
    <n v="94284"/>
    <d v="2023-11-24T00:00:00"/>
    <s v="Căn tin BV Phổi( Chị Duyên) - BV phổi"/>
    <x v="2"/>
    <n v="2023"/>
    <n v="-171432"/>
    <n v="-0.64517003116108929"/>
    <n v="30000"/>
    <n v="12"/>
  </r>
  <r>
    <n v="765"/>
    <s v="KV1002"/>
    <s v="Khăn Napkin TiOne nâu 100 tờ x 30 gói"/>
    <s v="Gói"/>
    <n v="648000"/>
    <n v="0"/>
    <n v="90"/>
    <n v="846000"/>
    <n v="198000"/>
    <d v="2023-11-24T00:00:00"/>
    <s v="Căn tin BV Phổi( Chị Duyên) - BV phổi"/>
    <x v="2"/>
    <n v="2023"/>
    <n v="-450000"/>
    <n v="-0.69444444444444442"/>
    <n v="9400"/>
    <n v="90"/>
  </r>
  <r>
    <n v="766"/>
    <s v="HM608"/>
    <s v="Yến sào Seunest CĐ vàng x 6 hộp"/>
    <s v="Hộp"/>
    <n v="0"/>
    <n v="0"/>
    <n v="0"/>
    <n v="0"/>
    <n v="0"/>
    <d v="2023-11-25T00:00:00"/>
    <s v="Minh Hiền (chị Ớ) - B.H.Trung"/>
    <x v="2"/>
    <n v="2023"/>
    <n v="0"/>
    <n v="0"/>
    <n v="0"/>
    <n v="0"/>
  </r>
  <r>
    <n v="767"/>
    <s v="HM610"/>
    <s v="Yến sào Finenest CĐ đỏ x 6 hộp"/>
    <s v="Hộp"/>
    <n v="0"/>
    <n v="0"/>
    <n v="0"/>
    <n v="0"/>
    <n v="0"/>
    <d v="2023-11-25T00:00:00"/>
    <s v="Minh Hiền (chị Ớ) - B.H.Trung"/>
    <x v="2"/>
    <n v="2023"/>
    <n v="0"/>
    <n v="0"/>
    <n v="0"/>
    <n v="0"/>
  </r>
  <r>
    <n v="768"/>
    <s v="JA1KG"/>
    <s v="Javel 1L x 12 chai"/>
    <s v="Chai"/>
    <n v="0"/>
    <n v="36"/>
    <n v="0"/>
    <n v="-468000"/>
    <n v="-468000"/>
    <d v="2023-11-25T00:00:00"/>
    <s v="Minh Hiền (chị Ớ) - B.H.Trung"/>
    <x v="2"/>
    <n v="2023"/>
    <n v="-468000"/>
    <n v="0"/>
    <n v="0"/>
    <n v="-36"/>
  </r>
  <r>
    <n v="769"/>
    <s v="NGT3600"/>
    <s v="Nước giặt Kimono (đen) 3,6kg x 5 túi"/>
    <s v="Túi"/>
    <n v="370000"/>
    <n v="0"/>
    <n v="5"/>
    <n v="675000"/>
    <n v="305000"/>
    <d v="2023-11-25T00:00:00"/>
    <s v="Minh Hiền (chị Ớ) - B.H.Trung"/>
    <x v="2"/>
    <n v="2023"/>
    <n v="-65000"/>
    <n v="-0.17567567567567569"/>
    <n v="135000"/>
    <n v="5"/>
  </r>
  <r>
    <n v="770"/>
    <s v="NGT36001"/>
    <s v="Nước giặt Kimono (tím) 3,6kg x 5 túi"/>
    <s v="Túi"/>
    <n v="740000"/>
    <n v="0"/>
    <n v="10"/>
    <n v="1350000"/>
    <n v="610000"/>
    <d v="2023-11-25T00:00:00"/>
    <s v="Minh Hiền (chị Ớ) - B.H.Trung"/>
    <x v="2"/>
    <n v="2023"/>
    <n v="-130000"/>
    <n v="-0.17567567567567569"/>
    <n v="135000"/>
    <n v="10"/>
  </r>
  <r>
    <n v="771"/>
    <s v="GC10"/>
    <s v="V/S Bibi không lõi x 10 dây"/>
    <s v="Dây"/>
    <n v="260000"/>
    <n v="0"/>
    <n v="10"/>
    <n v="240000"/>
    <n v="-20000"/>
    <d v="2023-11-25T00:00:00"/>
    <s v="Chị Linh (bán bọc) - HCL"/>
    <x v="2"/>
    <n v="2023"/>
    <n v="-280000"/>
    <n v="-1.0769230769230769"/>
    <n v="24000"/>
    <n v="10"/>
  </r>
  <r>
    <n v="772"/>
    <s v="KV1001"/>
    <s v="Khăn Napkin Ruby Gold 100 tờ x 30 gói"/>
    <s v="Gói"/>
    <n v="450000"/>
    <n v="0"/>
    <n v="60"/>
    <n v="510000"/>
    <n v="60000"/>
    <d v="2023-11-25T00:00:00"/>
    <s v="Chị Linh (bán bọc) - HCL"/>
    <x v="2"/>
    <n v="2023"/>
    <n v="-390000"/>
    <n v="-0.8666666666666667"/>
    <n v="8500"/>
    <n v="60"/>
  </r>
  <r>
    <n v="773"/>
    <s v="KV320"/>
    <s v="Khăn Napkin Fairy 320 x 100 tờ x 48 gói"/>
    <s v="Gói"/>
    <n v="528000"/>
    <n v="0"/>
    <n v="48"/>
    <n v="432000"/>
    <n v="-96000"/>
    <d v="2023-11-25T00:00:00"/>
    <s v="Thanh Trang - HCL"/>
    <x v="2"/>
    <n v="2023"/>
    <n v="-624000"/>
    <n v="-1.1818181818181819"/>
    <n v="9000"/>
    <n v="48"/>
  </r>
  <r>
    <n v="774"/>
    <s v="KV100"/>
    <s v="Khăn Napkin Toply 100 tờ x 48 gói"/>
    <s v="Gói"/>
    <n v="345600"/>
    <n v="0"/>
    <n v="48"/>
    <n v="518400"/>
    <n v="172800"/>
    <d v="2023-11-25T00:00:00"/>
    <s v="Xuân Bình - M.Hiệp"/>
    <x v="2"/>
    <n v="2023"/>
    <n v="-172800"/>
    <n v="-0.5"/>
    <n v="10800"/>
    <n v="48"/>
  </r>
  <r>
    <n v="775"/>
    <s v="HM110"/>
    <s v="Yến sào Finenest Saffron (hoa nghệ tây) x 10 hộp"/>
    <s v="Hộp"/>
    <n v="0"/>
    <n v="1"/>
    <n v="0"/>
    <n v="0"/>
    <n v="0"/>
    <d v="2023-11-25T00:00:00"/>
    <s v="Chị Thắm (Hồng Thắm) - B.H.Tây"/>
    <x v="2"/>
    <n v="2023"/>
    <n v="0"/>
    <n v="0"/>
    <n v="0"/>
    <n v="-1"/>
  </r>
  <r>
    <n v="776"/>
    <s v="HM613"/>
    <s v="HIMA Seunest DTHT có đường 6 lọ x 6 hộp"/>
    <s v="Hộp"/>
    <n v="130000"/>
    <n v="0"/>
    <n v="1"/>
    <n v="280000"/>
    <n v="150000"/>
    <d v="2023-11-25T00:00:00"/>
    <s v="Chị Thắm (Hồng Thắm) - B.H.Tây"/>
    <x v="2"/>
    <n v="2023"/>
    <n v="20000"/>
    <n v="0.15384615384615385"/>
    <n v="280000"/>
    <n v="1"/>
  </r>
  <r>
    <n v="777"/>
    <s v="KV1009"/>
    <s v="Khăn Napkin TiOne Gấu 100 tờ x 48 gói"/>
    <s v="Gói"/>
    <n v="288000"/>
    <n v="0"/>
    <n v="48"/>
    <n v="360000"/>
    <n v="72000"/>
    <d v="2023-11-25T00:00:00"/>
    <s v="Chị Đào - T.H.Trung"/>
    <x v="2"/>
    <n v="2023"/>
    <n v="-216000"/>
    <n v="-0.75"/>
    <n v="7500"/>
    <n v="48"/>
  </r>
  <r>
    <n v="778"/>
    <s v="A1K15"/>
    <s v="Kẹo bạc hà (chanh muối) Himalaya 15g x 12 gói x 12 hộp"/>
    <s v="Hộp"/>
    <n v="362268"/>
    <n v="1"/>
    <n v="6"/>
    <n v="340000"/>
    <n v="-22268"/>
    <d v="2023-11-25T00:00:00"/>
    <s v="TT Đông Nguyên - M.Long"/>
    <x v="2"/>
    <n v="2023"/>
    <n v="-384536"/>
    <n v="-1.0614683052325902"/>
    <n v="56666.666666666664"/>
    <n v="5"/>
  </r>
  <r>
    <n v="779"/>
    <s v="KU801"/>
    <s v="Khăn ướt Baby (đỏ) 80g x 50 gói"/>
    <s v="Gói"/>
    <n v="200000"/>
    <n v="0"/>
    <n v="50"/>
    <n v="300000"/>
    <n v="100000"/>
    <d v="2023-11-25T00:00:00"/>
    <s v="TT Đông Nguyên - M.Long"/>
    <x v="2"/>
    <n v="2023"/>
    <n v="-100000"/>
    <n v="-0.5"/>
    <n v="6000"/>
    <n v="50"/>
  </r>
  <r>
    <n v="780"/>
    <s v="BBL13"/>
    <s v="Bánh bông lan SHINO vị dâu 13 cái x 18 hộp"/>
    <s v="Hộp"/>
    <n v="102000"/>
    <n v="0"/>
    <n v="6"/>
    <n v="126000"/>
    <n v="24000"/>
    <d v="2023-11-25T00:00:00"/>
    <s v="Trung Phụng - T.H.Trung"/>
    <x v="2"/>
    <n v="2023"/>
    <n v="-78000"/>
    <n v="-0.76470588235294112"/>
    <n v="21000"/>
    <n v="6"/>
  </r>
  <r>
    <n v="781"/>
    <s v="BBL131"/>
    <s v="Bánh bông lan SHINO vị cốm 13 cái x 18 hộp"/>
    <s v="Hộp"/>
    <n v="102000"/>
    <n v="0"/>
    <n v="6"/>
    <n v="126000"/>
    <n v="24000"/>
    <d v="2023-11-25T00:00:00"/>
    <s v="Trung Phụng - T.H.Trung"/>
    <x v="2"/>
    <n v="2023"/>
    <n v="-78000"/>
    <n v="-0.76470588235294112"/>
    <n v="21000"/>
    <n v="6"/>
  </r>
  <r>
    <n v="782"/>
    <s v="BBL132"/>
    <s v="Bánh bông lan SHINO vị sữa chua 13 cái x 18 hộp"/>
    <s v="Hộp"/>
    <n v="102000"/>
    <n v="0"/>
    <n v="6"/>
    <n v="126000"/>
    <n v="24000"/>
    <d v="2023-11-25T00:00:00"/>
    <s v="Trung Phụng - T.H.Trung"/>
    <x v="2"/>
    <n v="2023"/>
    <n v="-78000"/>
    <n v="-0.76470588235294112"/>
    <n v="21000"/>
    <n v="6"/>
  </r>
  <r>
    <n v="783"/>
    <s v="BCN198"/>
    <s v="BC KAKA NANO N198 x 20 x 15 hộp"/>
    <s v="Cây"/>
    <n v="180000"/>
    <n v="0"/>
    <n v="40"/>
    <n v="320000"/>
    <n v="140000"/>
    <d v="2023-11-25T00:00:00"/>
    <s v="Ngọc Như - M.Long"/>
    <x v="2"/>
    <n v="2023"/>
    <n v="-40000"/>
    <n v="-0.22222222222222221"/>
    <n v="8000"/>
    <n v="40"/>
  </r>
  <r>
    <n v="784"/>
    <s v="GC100"/>
    <s v="GVS cuộn trắng rẻ (xá) x 10 cây"/>
    <s v="Bao"/>
    <n v="114000"/>
    <n v="0"/>
    <n v="2"/>
    <n v="140000"/>
    <n v="26000"/>
    <d v="2023-11-25T00:00:00"/>
    <s v="Ngọc Như - M.Long"/>
    <x v="2"/>
    <n v="2023"/>
    <n v="-88000"/>
    <n v="-0.77192982456140347"/>
    <n v="70000"/>
    <n v="2"/>
  </r>
  <r>
    <n v="785"/>
    <s v="KV1011"/>
    <s v="Khăn Napkin EMos x 30 gói"/>
    <s v="Gói"/>
    <n v="200010"/>
    <n v="0"/>
    <n v="30"/>
    <n v="210000"/>
    <n v="9990"/>
    <d v="2023-11-25T00:00:00"/>
    <s v="Ngọc Như - M.Long"/>
    <x v="2"/>
    <n v="2023"/>
    <n v="-190020"/>
    <n v="-0.9500524973751312"/>
    <n v="7000"/>
    <n v="30"/>
  </r>
  <r>
    <n v="786"/>
    <s v="TBTE1001"/>
    <s v="Tăm bông thân nhựa TE túi 100 cây x 24 túi"/>
    <s v="Túi"/>
    <n v="126000"/>
    <n v="2"/>
    <n v="24"/>
    <n v="144000"/>
    <n v="18000"/>
    <d v="2023-11-25T00:00:00"/>
    <s v="Ngọc Như - M.Long"/>
    <x v="2"/>
    <n v="2023"/>
    <n v="-108000"/>
    <n v="-0.8571428571428571"/>
    <n v="6000"/>
    <n v="22"/>
  </r>
  <r>
    <n v="787"/>
    <s v="GC606"/>
    <s v="GVS TiOne Gấu 6 cuộn x 12 cây"/>
    <s v="Cây"/>
    <n v="620016"/>
    <n v="4"/>
    <n v="24"/>
    <n v="762000"/>
    <n v="141984"/>
    <d v="2023-11-25T00:00:00"/>
    <s v="Chú 7 Vân - B.H.Tây"/>
    <x v="2"/>
    <n v="2023"/>
    <n v="-478032"/>
    <n v="-0.77099945807850123"/>
    <n v="31750"/>
    <n v="20"/>
  </r>
  <r>
    <n v="788"/>
    <s v="KV100"/>
    <s v="Khăn Napkin Toply 100 tờ x 48 gói"/>
    <s v="Gói"/>
    <n v="345600"/>
    <n v="4"/>
    <n v="48"/>
    <n v="536000"/>
    <n v="190400"/>
    <d v="2023-11-25T00:00:00"/>
    <s v="TH Trinh (Mỹ Trinh) - HCL (cuối chợ)"/>
    <x v="2"/>
    <n v="2023"/>
    <n v="-155200"/>
    <n v="-0.44907407407407407"/>
    <n v="11166.666666666666"/>
    <n v="44"/>
  </r>
  <r>
    <n v="789"/>
    <s v="8936017991012"/>
    <s v="V/S Fairy cao cấp 10 cuộn 4 lớp"/>
    <s v="Dây"/>
    <n v="824040"/>
    <n v="0"/>
    <n v="10"/>
    <n v="570000"/>
    <n v="-254040"/>
    <d v="2023-11-25T00:00:00"/>
    <s v="MP Nhanh - M.Hiệp"/>
    <x v="2"/>
    <n v="2023"/>
    <n v="-1078080"/>
    <n v="-1.308286005533712"/>
    <n v="57000"/>
    <n v="10"/>
  </r>
  <r>
    <n v="790"/>
    <s v="KDL1301"/>
    <s v="Khăn du lịch GIA PHÁT 3 lớp x 130 tờ x 100 gói"/>
    <s v="Gói"/>
    <n v="35000"/>
    <n v="0"/>
    <n v="10"/>
    <n v="65000"/>
    <n v="30000"/>
    <d v="2023-11-25T00:00:00"/>
    <s v="TT Kim Dung - M.Hiệp"/>
    <x v="2"/>
    <n v="2023"/>
    <n v="-5000"/>
    <n v="-0.14285714285714285"/>
    <n v="6500"/>
    <n v="10"/>
  </r>
  <r>
    <n v="791"/>
    <s v="KU203"/>
    <s v="Khăn ướt TiOne 20g x 100 gói"/>
    <s v="Gói"/>
    <n v="25000"/>
    <n v="0"/>
    <n v="10"/>
    <n v="40000"/>
    <n v="15000"/>
    <d v="2023-11-25T00:00:00"/>
    <s v="TT Kim Dung - M.Hiệp"/>
    <x v="2"/>
    <n v="2023"/>
    <n v="-10000"/>
    <n v="-0.4"/>
    <n v="4000"/>
    <n v="10"/>
  </r>
  <r>
    <n v="792"/>
    <s v="TC301"/>
    <s v="Tăm chỉ nha khoa 30 chiếc x 10 hộp"/>
    <s v="Hộp"/>
    <n v="0"/>
    <n v="0"/>
    <n v="0"/>
    <n v="0"/>
    <n v="0"/>
    <d v="2023-11-25T00:00:00"/>
    <s v="TT Kim Dung - M.Hiệp"/>
    <x v="2"/>
    <n v="2023"/>
    <n v="0"/>
    <n v="0"/>
    <n v="0"/>
    <n v="0"/>
  </r>
  <r>
    <n v="793"/>
    <s v="HM603"/>
    <s v="HIMA Vinnest 6 lọ KĐ x 6 hộp"/>
    <s v="Hộp"/>
    <n v="100000"/>
    <n v="0"/>
    <n v="1"/>
    <n v="170000"/>
    <n v="70000"/>
    <d v="2023-11-25T00:00:00"/>
    <s v="Vương Quốc Sữa - B.H.Trung"/>
    <x v="2"/>
    <n v="2023"/>
    <n v="-30000"/>
    <n v="-0.3"/>
    <n v="170000"/>
    <n v="1"/>
  </r>
  <r>
    <n v="794"/>
    <s v="HMH8"/>
    <s v="HIMA Huyết Yến 6 lọ x 8 hộp"/>
    <s v="Hộp"/>
    <n v="253800"/>
    <n v="0"/>
    <n v="1"/>
    <n v="243000"/>
    <n v="-10800"/>
    <d v="2023-11-25T00:00:00"/>
    <s v="Vương Quốc Sữa - B.H.Trung"/>
    <x v="2"/>
    <n v="2023"/>
    <n v="-264600"/>
    <n v="-1.0425531914893618"/>
    <n v="243000"/>
    <n v="1"/>
  </r>
  <r>
    <n v="795"/>
    <s v="GC100"/>
    <s v="GVS cuộn trắng rẻ (xá) x 10 cây"/>
    <s v="Bao"/>
    <n v="285000"/>
    <n v="0"/>
    <n v="5"/>
    <n v="350000"/>
    <n v="65000"/>
    <d v="2023-11-25T00:00:00"/>
    <s v="Anh Tân (chị Phớt) - M.Xương"/>
    <x v="2"/>
    <n v="2023"/>
    <n v="-220000"/>
    <n v="-0.77192982456140347"/>
    <n v="70000"/>
    <n v="5"/>
  </r>
  <r>
    <n v="796"/>
    <s v="HM601"/>
    <s v="HIMA DAILY (new) 6 lọ x 6 hộp"/>
    <s v="Hộp"/>
    <n v="1536000"/>
    <n v="2"/>
    <n v="8"/>
    <n v="1536000"/>
    <n v="0"/>
    <d v="2023-11-25T00:00:00"/>
    <s v="Anh Tân (chị Phớt) - M.Xương"/>
    <x v="2"/>
    <n v="2023"/>
    <n v="-1536000"/>
    <n v="-1"/>
    <n v="192000"/>
    <n v="6"/>
  </r>
  <r>
    <n v="797"/>
    <s v="KMBN"/>
    <s v="Bộ nồi 3 cái"/>
    <s v="Bộ"/>
    <n v="0"/>
    <n v="1"/>
    <n v="0"/>
    <n v="0"/>
    <n v="0"/>
    <d v="2023-11-25T00:00:00"/>
    <s v="Tuấn Kiệt - M.Long"/>
    <x v="2"/>
    <n v="2023"/>
    <n v="0"/>
    <n v="0"/>
    <n v="0"/>
    <n v="-1"/>
  </r>
  <r>
    <n v="798"/>
    <s v="KU1508"/>
    <s v="Khăn ướt Ruby &amp; Gold 150g x 30 gói"/>
    <s v="Gói"/>
    <n v="400000"/>
    <n v="0"/>
    <n v="40"/>
    <n v="720000"/>
    <n v="320000"/>
    <d v="2023-11-25T00:00:00"/>
    <s v="Tuấn Kiệt - M.Long"/>
    <x v="2"/>
    <n v="2023"/>
    <n v="-80000"/>
    <n v="-0.2"/>
    <n v="18000"/>
    <n v="40"/>
  </r>
  <r>
    <n v="799"/>
    <s v="KU2501"/>
    <s v="Khăn ướt TiOne (khổ lớn) 250g x 20 gói"/>
    <s v="Gói"/>
    <n v="230000"/>
    <n v="0"/>
    <n v="20"/>
    <n v="360000"/>
    <n v="130000"/>
    <d v="2023-11-25T00:00:00"/>
    <s v="Tuấn Kiệt - M.Long"/>
    <x v="2"/>
    <n v="2023"/>
    <n v="-100000"/>
    <n v="-0.43478260869565216"/>
    <n v="18000"/>
    <n v="20"/>
  </r>
  <r>
    <n v="800"/>
    <s v="KU250"/>
    <s v="Khăn ướt TE Villa 250g x 30 gói"/>
    <s v="Gói"/>
    <n v="231000"/>
    <n v="0"/>
    <n v="30"/>
    <n v="300000"/>
    <n v="69000"/>
    <d v="2023-11-25T00:00:00"/>
    <s v="Cô Trúc - M.Hội "/>
    <x v="2"/>
    <n v="2023"/>
    <n v="-162000"/>
    <n v="-0.70129870129870131"/>
    <n v="10000"/>
    <n v="30"/>
  </r>
  <r>
    <n v="801"/>
    <s v="BBL13"/>
    <s v="Bánh bông lan SHINO vị dâu 13 cái x 18 hộp"/>
    <s v="Hộp"/>
    <n v="102000"/>
    <n v="0"/>
    <n v="6"/>
    <n v="132000"/>
    <n v="30000"/>
    <d v="2023-11-25T00:00:00"/>
    <s v="Cẩm Giang - M.Xương"/>
    <x v="2"/>
    <n v="2023"/>
    <n v="-72000"/>
    <n v="-0.70588235294117652"/>
    <n v="22000"/>
    <n v="6"/>
  </r>
  <r>
    <n v="802"/>
    <s v="BBL131"/>
    <s v="Bánh bông lan SHINO vị cốm 13 cái x 18 hộp"/>
    <s v="Hộp"/>
    <n v="102000"/>
    <n v="0"/>
    <n v="6"/>
    <n v="132000"/>
    <n v="30000"/>
    <d v="2023-11-25T00:00:00"/>
    <s v="Cẩm Giang - M.Xương"/>
    <x v="2"/>
    <n v="2023"/>
    <n v="-72000"/>
    <n v="-0.70588235294117652"/>
    <n v="22000"/>
    <n v="6"/>
  </r>
  <r>
    <n v="803"/>
    <s v="BBL132"/>
    <s v="Bánh bông lan SHINO vị sữa chua 13 cái x 18 hộp"/>
    <s v="Hộp"/>
    <n v="102000"/>
    <n v="0"/>
    <n v="6"/>
    <n v="132000"/>
    <n v="30000"/>
    <d v="2023-11-25T00:00:00"/>
    <s v="Cẩm Giang - M.Xương"/>
    <x v="2"/>
    <n v="2023"/>
    <n v="-72000"/>
    <n v="-0.70588235294117652"/>
    <n v="22000"/>
    <n v="6"/>
  </r>
  <r>
    <n v="804"/>
    <s v="HTBD121"/>
    <s v="Bánh đũa Gap Sô cô la 12g x 12 hộp x 12"/>
    <s v="Hộp"/>
    <n v="42084"/>
    <n v="0"/>
    <n v="1"/>
    <n v="48000"/>
    <n v="5916"/>
    <d v="2023-11-25T00:00:00"/>
    <s v="Cẩm Giang - M.Xương"/>
    <x v="2"/>
    <n v="2023"/>
    <n v="-36168"/>
    <n v="-0.85942400912460792"/>
    <n v="48000"/>
    <n v="1"/>
  </r>
  <r>
    <n v="805"/>
    <s v="KTN3001"/>
    <s v="Kẹo Trang Nghiêm DÂU TÂY hộp 200g x 24 hộp/thùng"/>
    <s v="Hộp"/>
    <n v="0"/>
    <n v="0"/>
    <n v="0"/>
    <n v="0"/>
    <n v="0"/>
    <d v="2023-11-25T00:00:00"/>
    <s v="Cẩm Giang - M.Xương"/>
    <x v="2"/>
    <n v="2023"/>
    <n v="0"/>
    <n v="0"/>
    <n v="0"/>
    <n v="0"/>
  </r>
  <r>
    <n v="806"/>
    <s v="KTN3003"/>
    <s v="Kẹo Trang Nghiêm ME ỚT hộp 200g x 24 hộp/thùng"/>
    <s v="Hộp"/>
    <n v="0"/>
    <n v="0"/>
    <n v="0"/>
    <n v="0"/>
    <n v="0"/>
    <d v="2023-11-25T00:00:00"/>
    <s v="Cẩm Giang - M.Xương"/>
    <x v="2"/>
    <n v="2023"/>
    <n v="0"/>
    <n v="0"/>
    <n v="0"/>
    <n v="0"/>
  </r>
  <r>
    <n v="807"/>
    <s v="HM110"/>
    <s v="Yến sào Finenest Saffron (hoa nghệ tây) x 10 hộp"/>
    <s v="Hộp"/>
    <n v="0"/>
    <n v="3"/>
    <n v="0"/>
    <n v="-327000"/>
    <n v="-327000"/>
    <d v="2023-11-25T00:00:00"/>
    <s v="Sữa tả Hoàng Trúc - HCL (T.Mỹ)"/>
    <x v="2"/>
    <n v="2023"/>
    <n v="-327000"/>
    <n v="0"/>
    <n v="0"/>
    <n v="-3"/>
  </r>
  <r>
    <n v="808"/>
    <s v="HM613"/>
    <s v="HIMA Seunest DTHT có đường 6 lọ x 6 hộp"/>
    <s v="Hộp"/>
    <n v="780000"/>
    <n v="0"/>
    <n v="6"/>
    <n v="1680000"/>
    <n v="900000"/>
    <d v="2023-11-25T00:00:00"/>
    <s v="Sữa tả Hoàng Trúc - HCL (T.Mỹ)"/>
    <x v="2"/>
    <n v="2023"/>
    <n v="120000"/>
    <n v="0.15384615384615385"/>
    <n v="280000"/>
    <n v="6"/>
  </r>
  <r>
    <n v="809"/>
    <s v="NLC2N"/>
    <s v="C2 nhỏ"/>
    <s v="Thùng"/>
    <n v="0"/>
    <n v="0"/>
    <n v="0"/>
    <n v="0"/>
    <n v="0"/>
    <d v="2023-11-25T00:00:00"/>
    <s v="Quán Cafe Sakê - HCL ( Thanh Mỹ)"/>
    <x v="2"/>
    <n v="2023"/>
    <n v="0"/>
    <n v="0"/>
    <n v="0"/>
    <n v="0"/>
  </r>
  <r>
    <n v="810"/>
    <s v="TBND500"/>
    <s v="Nước Yến Nha Đam (Pet) 500ml x 24 chai"/>
    <s v="Thùng"/>
    <n v="326970"/>
    <n v="0"/>
    <n v="2"/>
    <n v="378000"/>
    <n v="51030"/>
    <d v="2023-11-25T00:00:00"/>
    <s v="Quán Cafe Sakê - HCL ( Thanh Mỹ)"/>
    <x v="2"/>
    <n v="2023"/>
    <n v="-275940"/>
    <n v="-0.84393063583815031"/>
    <n v="189000"/>
    <n v="2"/>
  </r>
  <r>
    <n v="811"/>
    <s v="BBL13"/>
    <s v="Bánh bông lan SHINO vị dâu 13 cái x 18 hộp"/>
    <s v="Hộp"/>
    <n v="102000"/>
    <n v="0"/>
    <n v="6"/>
    <n v="126000"/>
    <n v="24000"/>
    <d v="2023-11-25T00:00:00"/>
    <s v="ĐL Bia Anh Vũ - Láng Biển"/>
    <x v="2"/>
    <n v="2023"/>
    <n v="-78000"/>
    <n v="-0.76470588235294112"/>
    <n v="21000"/>
    <n v="6"/>
  </r>
  <r>
    <n v="812"/>
    <s v="BBL131"/>
    <s v="Bánh bông lan SHINO vị cốm 13 cái x 18 hộp"/>
    <s v="Hộp"/>
    <n v="102000"/>
    <n v="0"/>
    <n v="6"/>
    <n v="126000"/>
    <n v="24000"/>
    <d v="2023-11-25T00:00:00"/>
    <s v="ĐL Bia Anh Vũ - Láng Biển"/>
    <x v="2"/>
    <n v="2023"/>
    <n v="-78000"/>
    <n v="-0.76470588235294112"/>
    <n v="21000"/>
    <n v="6"/>
  </r>
  <r>
    <n v="813"/>
    <s v="BBL132"/>
    <s v="Bánh bông lan SHINO vị sữa chua 13 cái x 18 hộp"/>
    <s v="Hộp"/>
    <n v="102000"/>
    <n v="0"/>
    <n v="6"/>
    <n v="126000"/>
    <n v="24000"/>
    <d v="2023-11-25T00:00:00"/>
    <s v="ĐL Bia Anh Vũ - Láng Biển"/>
    <x v="2"/>
    <n v="2023"/>
    <n v="-78000"/>
    <n v="-0.76470588235294112"/>
    <n v="21000"/>
    <n v="6"/>
  </r>
  <r>
    <n v="814"/>
    <s v="KV1007"/>
    <s v="Khăn Napkin An An 100 tờ x 40 gói"/>
    <s v="Gói"/>
    <n v="270000"/>
    <n v="0"/>
    <n v="40"/>
    <n v="320000"/>
    <n v="50000"/>
    <d v="2023-11-25T00:00:00"/>
    <s v="ĐL Bia Anh Vũ - Láng Biển"/>
    <x v="2"/>
    <n v="2023"/>
    <n v="-220000"/>
    <n v="-0.81481481481481477"/>
    <n v="8000"/>
    <n v="40"/>
  </r>
  <r>
    <n v="815"/>
    <s v="KV320"/>
    <s v="Khăn Napkin Fairy 320 x 100 tờ x 48 gói"/>
    <s v="Gói"/>
    <n v="528000"/>
    <n v="0"/>
    <n v="48"/>
    <n v="432000"/>
    <n v="-96000"/>
    <d v="2023-11-25T00:00:00"/>
    <s v="ĐL Bia Anh Vũ - Láng Biển"/>
    <x v="2"/>
    <n v="2023"/>
    <n v="-624000"/>
    <n v="-1.1818181818181819"/>
    <n v="9000"/>
    <n v="48"/>
  </r>
  <r>
    <n v="816"/>
    <s v="HM608"/>
    <s v="Yến sào Seunest CĐ vàng x 6 hộp"/>
    <s v="Hộp"/>
    <n v="0"/>
    <n v="0"/>
    <n v="0"/>
    <n v="0"/>
    <n v="0"/>
    <d v="2023-11-28T00:00:00"/>
    <s v="Nhung Nhựt - N.V.Tiếp"/>
    <x v="2"/>
    <n v="2023"/>
    <n v="0"/>
    <n v="0"/>
    <n v="0"/>
    <n v="0"/>
  </r>
  <r>
    <n v="817"/>
    <s v="HM610"/>
    <s v="Yến sào Finenest CĐ đỏ x 6 hộp"/>
    <s v="Hộp"/>
    <n v="0"/>
    <n v="0"/>
    <n v="0"/>
    <n v="0"/>
    <n v="0"/>
    <d v="2023-11-28T00:00:00"/>
    <s v="Nhung Nhựt - N.V.Tiếp"/>
    <x v="2"/>
    <n v="2023"/>
    <n v="0"/>
    <n v="0"/>
    <n v="0"/>
    <n v="0"/>
  </r>
  <r>
    <n v="818"/>
    <s v="BV500"/>
    <s v="BÒ VIÊN II 60 viên x 500gr"/>
    <s v="Gói"/>
    <n v="109250"/>
    <n v="0"/>
    <n v="5"/>
    <n v="150000"/>
    <n v="40750"/>
    <d v="2023-11-30T00:00:00"/>
    <s v="Chị Bích - T.Linh"/>
    <x v="2"/>
    <n v="2023"/>
    <n v="-68500"/>
    <n v="-0.62700228832951943"/>
    <n v="30000"/>
    <n v="5"/>
  </r>
  <r>
    <n v="819"/>
    <s v="CV500"/>
    <s v="CÁ VIÊN II 60 viên x 500gr"/>
    <s v="Gói"/>
    <n v="106750"/>
    <n v="0"/>
    <n v="5"/>
    <n v="150000"/>
    <n v="43250"/>
    <d v="2023-11-30T00:00:00"/>
    <s v="Chị Bích - T.Linh"/>
    <x v="2"/>
    <n v="2023"/>
    <n v="-63500"/>
    <n v="-0.59484777517564402"/>
    <n v="30000"/>
    <n v="5"/>
  </r>
  <r>
    <n v="820"/>
    <s v="XX500"/>
    <s v="XÚC XÍCH TƯƠI XÔNG KHÓI 10 cây x 500g"/>
    <s v="Gói"/>
    <n v="135000"/>
    <n v="0"/>
    <n v="5"/>
    <n v="175000"/>
    <n v="40000"/>
    <d v="2023-11-30T00:00:00"/>
    <s v="Chị Bích - T.Linh"/>
    <x v="2"/>
    <n v="2023"/>
    <n v="-95000"/>
    <n v="-0.70370370370370372"/>
    <n v="35000"/>
    <n v="5"/>
  </r>
  <r>
    <n v="821"/>
    <s v="HTK151"/>
    <s v="Kẹo Tommy trái cây 15g x 12 gói x 12 dây"/>
    <s v="Dây"/>
    <n v="150000"/>
    <n v="0"/>
    <n v="4"/>
    <n v="164000"/>
    <n v="14000"/>
    <d v="2023-11-30T00:00:00"/>
    <s v="Chị Thủy - P.Thịnh"/>
    <x v="2"/>
    <n v="2023"/>
    <n v="-136000"/>
    <n v="-0.90666666666666662"/>
    <n v="41000"/>
    <n v="4"/>
  </r>
  <r>
    <n v="822"/>
    <s v="BV500"/>
    <s v="BÒ VIÊN II 60 viên x 500gr"/>
    <s v="Gói"/>
    <n v="109250"/>
    <n v="0"/>
    <n v="5"/>
    <n v="140000"/>
    <n v="30750"/>
    <d v="2023-11-30T00:00:00"/>
    <s v="8 Kịp - P.Thịnh"/>
    <x v="2"/>
    <n v="2023"/>
    <n v="-78500"/>
    <n v="-0.71853546910755151"/>
    <n v="28000"/>
    <n v="5"/>
  </r>
  <r>
    <n v="823"/>
    <s v="CV500"/>
    <s v="CÁ VIÊN II 60 viên x 500gr"/>
    <s v="Gói"/>
    <n v="106750"/>
    <n v="0"/>
    <n v="5"/>
    <n v="140000"/>
    <n v="33250"/>
    <d v="2023-11-30T00:00:00"/>
    <s v="8 Kịp - P.Thịnh"/>
    <x v="2"/>
    <n v="2023"/>
    <n v="-73500"/>
    <n v="-0.68852459016393441"/>
    <n v="28000"/>
    <n v="5"/>
  </r>
  <r>
    <n v="824"/>
    <s v="GC10"/>
    <s v="V/S Bibi không lõi x 10 dây"/>
    <s v="Dây"/>
    <n v="260000"/>
    <n v="0"/>
    <n v="10"/>
    <n v="240000"/>
    <n v="-20000"/>
    <d v="2023-11-30T00:00:00"/>
    <s v="8 Kịp - P.Thịnh"/>
    <x v="2"/>
    <n v="2023"/>
    <n v="-280000"/>
    <n v="-1.0769230769230769"/>
    <n v="24000"/>
    <n v="10"/>
  </r>
  <r>
    <n v="825"/>
    <s v="XX500"/>
    <s v="XÚC XÍCH TƯƠI XÔNG KHÓI 10 cây x 500g"/>
    <s v="Gói"/>
    <n v="0"/>
    <n v="0"/>
    <n v="0"/>
    <n v="0"/>
    <n v="0"/>
    <d v="2023-11-30T00:00:00"/>
    <s v="8 Kịp - P.Thịnh"/>
    <x v="2"/>
    <n v="2023"/>
    <n v="0"/>
    <n v="0"/>
    <n v="0"/>
    <n v="0"/>
  </r>
  <r>
    <n v="826"/>
    <s v="KU250"/>
    <s v="Khăn ướt TE Villa 250g x 30 gói"/>
    <s v="Gói"/>
    <n v="77000"/>
    <n v="0"/>
    <n v="10"/>
    <n v="100000"/>
    <n v="23000"/>
    <d v="2023-11-30T00:00:00"/>
    <s v="Chị Thắm - P.Thịnh"/>
    <x v="2"/>
    <n v="2023"/>
    <n v="-54000"/>
    <n v="-0.70129870129870131"/>
    <n v="10000"/>
    <n v="10"/>
  </r>
  <r>
    <n v="827"/>
    <s v="BV500"/>
    <s v="BÒ VIÊN II 60 viên x 500gr"/>
    <s v="Gói"/>
    <n v="43700"/>
    <n v="0"/>
    <n v="2"/>
    <n v="56000"/>
    <n v="12300"/>
    <d v="2023-11-30T00:00:00"/>
    <s v="TT Chị Điệp - P.Thịnh"/>
    <x v="2"/>
    <n v="2023"/>
    <n v="-31400"/>
    <n v="-0.71853546910755151"/>
    <n v="28000"/>
    <n v="2"/>
  </r>
  <r>
    <n v="828"/>
    <s v="CV500"/>
    <s v="CÁ VIÊN II 60 viên x 500gr"/>
    <s v="Gói"/>
    <n v="42700"/>
    <n v="0"/>
    <n v="2"/>
    <n v="52000"/>
    <n v="9300"/>
    <d v="2023-11-30T00:00:00"/>
    <s v="TT Chị Điệp - P.Thịnh"/>
    <x v="2"/>
    <n v="2023"/>
    <n v="-33400"/>
    <n v="-0.7822014051522248"/>
    <n v="26000"/>
    <n v="2"/>
  </r>
  <r>
    <n v="829"/>
    <s v="HM613"/>
    <s v="HIMA Seunest DTHT có đường 6 lọ x 6 hộp"/>
    <s v="Hộp"/>
    <n v="0"/>
    <n v="1"/>
    <n v="0"/>
    <n v="-130000"/>
    <n v="-130000"/>
    <d v="2023-11-30T00:00:00"/>
    <s v="TT Chị Điệp - P.Thịnh"/>
    <x v="2"/>
    <n v="2023"/>
    <n v="-130000"/>
    <n v="0"/>
    <n v="0"/>
    <n v="-1"/>
  </r>
  <r>
    <n v="830"/>
    <s v="HM614"/>
    <s v="HIMA Seunest Colagen có đường 6 lọ x 6 hộp"/>
    <s v="Hộp"/>
    <n v="260000"/>
    <n v="0"/>
    <n v="2"/>
    <n v="560000"/>
    <n v="300000"/>
    <d v="2023-11-30T00:00:00"/>
    <s v="TT Chị Điệp - P.Thịnh"/>
    <x v="2"/>
    <n v="2023"/>
    <n v="40000"/>
    <n v="0.15384615384615385"/>
    <n v="280000"/>
    <n v="2"/>
  </r>
  <r>
    <n v="831"/>
    <s v="XX500"/>
    <s v="XÚC XÍCH TƯƠI XÔNG KHÓI 10 cây x 500g"/>
    <s v="Gói"/>
    <n v="54000"/>
    <n v="0"/>
    <n v="2"/>
    <n v="66000"/>
    <n v="12000"/>
    <d v="2023-11-30T00:00:00"/>
    <s v="TT Chị Điệp - P.Thịnh"/>
    <x v="2"/>
    <n v="2023"/>
    <n v="-42000"/>
    <n v="-0.77777777777777779"/>
    <n v="33000"/>
    <n v="2"/>
  </r>
  <r>
    <n v="832"/>
    <s v="BV500"/>
    <s v="BÒ VIÊN II 60 viên x 500gr"/>
    <s v="Gói"/>
    <n v="109250"/>
    <n v="0"/>
    <n v="5"/>
    <n v="140000"/>
    <n v="30750"/>
    <d v="2023-11-30T00:00:00"/>
    <s v="5 Bún - P.Thịnh"/>
    <x v="2"/>
    <n v="2023"/>
    <n v="-78500"/>
    <n v="-0.71853546910755151"/>
    <n v="28000"/>
    <n v="5"/>
  </r>
  <r>
    <n v="833"/>
    <s v="CV500"/>
    <s v="CÁ VIÊN II 60 viên x 500gr"/>
    <s v="Gói"/>
    <n v="106750"/>
    <n v="0"/>
    <n v="5"/>
    <n v="140000"/>
    <n v="33250"/>
    <d v="2023-11-30T00:00:00"/>
    <s v="5 Bún - P.Thịnh"/>
    <x v="2"/>
    <n v="2023"/>
    <n v="-73500"/>
    <n v="-0.68852459016393441"/>
    <n v="28000"/>
    <n v="5"/>
  </r>
  <r>
    <n v="834"/>
    <s v="XX500"/>
    <s v="XÚC XÍCH TƯƠI XÔNG KHÓI 10 cây x 500g"/>
    <s v="Gói"/>
    <n v="135000"/>
    <n v="0"/>
    <n v="5"/>
    <n v="165000"/>
    <n v="30000"/>
    <d v="2023-11-30T00:00:00"/>
    <s v="5 Bún - P.Thịnh"/>
    <x v="2"/>
    <n v="2023"/>
    <n v="-105000"/>
    <n v="-0.77777777777777779"/>
    <n v="33000"/>
    <n v="5"/>
  </r>
  <r>
    <n v="835"/>
    <s v="HMK1"/>
    <s v="Yến sào Finenest kids xanh 1 lọ x 60 hộp"/>
    <s v="Hộp"/>
    <n v="0"/>
    <n v="0"/>
    <n v="0"/>
    <n v="0"/>
    <n v="0"/>
    <d v="2023-11-30T00:00:00"/>
    <s v="Ngọc Thu - P.Thịnh"/>
    <x v="2"/>
    <n v="2023"/>
    <n v="0"/>
    <n v="0"/>
    <n v="0"/>
    <n v="0"/>
  </r>
  <r>
    <n v="836"/>
    <s v="HMK102"/>
    <s v="Yến sào Nicenest Kids đỏ 1 lọ x 60 hộp"/>
    <s v="Hộp"/>
    <n v="0"/>
    <n v="0"/>
    <n v="0"/>
    <n v="0"/>
    <n v="0"/>
    <d v="2023-11-30T00:00:00"/>
    <s v="Ngọc Thu - P.Thịnh"/>
    <x v="2"/>
    <n v="2023"/>
    <n v="0"/>
    <n v="0"/>
    <n v="0"/>
    <n v="0"/>
  </r>
  <r>
    <n v="837"/>
    <s v="BV500"/>
    <s v="BÒ VIÊN II 60 viên x 500gr"/>
    <s v="Gói"/>
    <n v="43700"/>
    <n v="0"/>
    <n v="2"/>
    <n v="60000"/>
    <n v="16300"/>
    <d v="2023-11-30T00:00:00"/>
    <s v="Tú Kiều - T.Nghĩa"/>
    <x v="2"/>
    <n v="2023"/>
    <n v="-27400"/>
    <n v="-0.62700228832951943"/>
    <n v="30000"/>
    <n v="2"/>
  </r>
  <r>
    <n v="838"/>
    <s v="GC10"/>
    <s v="V/S Bibi không lõi x 10 dây"/>
    <s v="Dây"/>
    <n v="260000"/>
    <n v="0"/>
    <n v="10"/>
    <n v="230000"/>
    <n v="-30000"/>
    <d v="2023-11-30T00:00:00"/>
    <s v="Tú Kiều - T.Nghĩa"/>
    <x v="2"/>
    <n v="2023"/>
    <n v="-290000"/>
    <n v="-1.1153846153846154"/>
    <n v="23000"/>
    <n v="10"/>
  </r>
  <r>
    <n v="839"/>
    <s v="GC1023"/>
    <s v="V/S Bibi có lõi x 10 dây"/>
    <s v="Dây"/>
    <n v="245000"/>
    <n v="0"/>
    <n v="10"/>
    <n v="230000"/>
    <n v="-15000"/>
    <d v="2023-11-30T00:00:00"/>
    <s v="Tú Kiều - T.Nghĩa"/>
    <x v="2"/>
    <n v="2023"/>
    <n v="-260000"/>
    <n v="-1.0612244897959184"/>
    <n v="23000"/>
    <n v="10"/>
  </r>
  <r>
    <n v="840"/>
    <s v="GC603"/>
    <s v="GVS Ruby Gold 6 cuộn (không lõi) x 12 cây"/>
    <s v="Cây"/>
    <n v="150000"/>
    <n v="0"/>
    <n v="6"/>
    <n v="192000"/>
    <n v="42000"/>
    <d v="2023-11-30T00:00:00"/>
    <s v="Tú Kiều - T.Nghĩa"/>
    <x v="2"/>
    <n v="2023"/>
    <n v="-108000"/>
    <n v="-0.72"/>
    <n v="32000"/>
    <n v="6"/>
  </r>
  <r>
    <n v="841"/>
    <s v="XX500"/>
    <s v="XÚC XÍCH TƯƠI XÔNG KHÓI 10 cây x 500g"/>
    <s v="Gói"/>
    <n v="54000"/>
    <n v="0"/>
    <n v="2"/>
    <n v="70000"/>
    <n v="16000"/>
    <d v="2023-11-30T00:00:00"/>
    <s v="Tú Kiều - T.Nghĩa"/>
    <x v="2"/>
    <n v="2023"/>
    <n v="-38000"/>
    <n v="-0.70370370370370372"/>
    <n v="35000"/>
    <n v="2"/>
  </r>
  <r>
    <m/>
    <m/>
    <m/>
    <m/>
    <m/>
    <m/>
    <m/>
    <m/>
    <m/>
    <m/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2">
  <r>
    <n v="1"/>
    <s v="KV100"/>
    <s v="Khăn Napkin Toply 100 tờ x 48 gói"/>
    <s v="Gói"/>
    <n v="691200"/>
    <n v="0"/>
    <n v="96"/>
    <n v="1036800"/>
    <n v="345600"/>
    <d v="2023-09-01T00:00:00"/>
    <x v="0"/>
    <n v="9"/>
    <n v="2023"/>
  </r>
  <r>
    <n v="2"/>
    <s v="TLM"/>
    <s v="Tẩy toilet Liên Minh (nguyên liệu nhập khẩu) x 12 chai"/>
    <s v="Chai"/>
    <n v="800040"/>
    <n v="0"/>
    <n v="60"/>
    <n v="1100040"/>
    <n v="300000"/>
    <d v="2023-09-01T00:00:00"/>
    <x v="0"/>
    <n v="9"/>
    <n v="2023"/>
  </r>
  <r>
    <n v="3"/>
    <s v="NG3600"/>
    <s v="Nước giặt Kimono 6 in 1 (tím) x 3,6kg x 4 bình"/>
    <s v="Bình"/>
    <n v="365000"/>
    <n v="0"/>
    <n v="4"/>
    <n v="480000"/>
    <n v="115000"/>
    <d v="2023-09-01T00:00:00"/>
    <x v="1"/>
    <n v="9"/>
    <n v="2023"/>
  </r>
  <r>
    <n v="4"/>
    <s v="KV1002"/>
    <s v="Khăn Napkin TiOne nâu 100 tờ x 30 gói"/>
    <s v="Gói"/>
    <n v="1296000"/>
    <n v="0"/>
    <n v="180"/>
    <n v="1692000"/>
    <n v="396000"/>
    <d v="2023-09-01T00:00:00"/>
    <x v="2"/>
    <n v="9"/>
    <n v="2023"/>
  </r>
  <r>
    <n v="5"/>
    <s v="BCTEM32"/>
    <s v="BCTE N32 (xe) x 12 x 30 hộp"/>
    <s v="Cây"/>
    <n v="46800"/>
    <n v="0"/>
    <n v="6"/>
    <n v="66000"/>
    <n v="19200"/>
    <d v="2023-09-01T00:00:00"/>
    <x v="3"/>
    <n v="9"/>
    <n v="2023"/>
  </r>
  <r>
    <n v="6"/>
    <s v="BCTEM35"/>
    <s v="BCTE N35 (búp bê) x 12 x 30 hộp"/>
    <s v="Cây"/>
    <n v="46800"/>
    <n v="0"/>
    <n v="6"/>
    <n v="66000"/>
    <n v="19200"/>
    <d v="2023-09-01T00:00:00"/>
    <x v="3"/>
    <n v="9"/>
    <n v="2023"/>
  </r>
  <r>
    <n v="7"/>
    <s v="BCTEN36"/>
    <s v="BCTE N36 (đồng hồ) x 18 x 20 hộp"/>
    <s v="Cây"/>
    <n v="46800"/>
    <n v="0"/>
    <n v="6"/>
    <n v="66000"/>
    <n v="19200"/>
    <d v="2023-09-01T00:00:00"/>
    <x v="3"/>
    <n v="9"/>
    <n v="2023"/>
  </r>
  <r>
    <n v="8"/>
    <s v="KU100"/>
    <s v="Khăn ướt Begin 100 tờ x 20 gói"/>
    <s v="Gói"/>
    <n v="340000"/>
    <n v="5"/>
    <n v="20"/>
    <n v="480000"/>
    <n v="140000"/>
    <d v="2023-09-01T00:00:00"/>
    <x v="3"/>
    <n v="9"/>
    <n v="2023"/>
  </r>
  <r>
    <n v="9"/>
    <s v="KV1003"/>
    <s v="Khăn vuông TiOne xanh 100 tờ X 30 gói"/>
    <s v="Gói"/>
    <n v="0"/>
    <n v="10"/>
    <n v="0"/>
    <n v="-90000"/>
    <n v="-90000"/>
    <d v="2023-09-04T00:00:00"/>
    <x v="4"/>
    <n v="9"/>
    <n v="2023"/>
  </r>
  <r>
    <n v="10"/>
    <s v="KV320"/>
    <s v="Khăn Napkin Fairy 320 x 100 tờ x 48 gói"/>
    <s v="Gói"/>
    <n v="528000"/>
    <n v="0"/>
    <n v="48"/>
    <n v="576000"/>
    <n v="48000"/>
    <d v="2023-09-04T00:00:00"/>
    <x v="4"/>
    <n v="9"/>
    <n v="2023"/>
  </r>
  <r>
    <n v="11"/>
    <s v="KV320"/>
    <s v="Khăn Napkin Fairy 320 x 100 tờ x 48 gói"/>
    <s v="Gói"/>
    <n v="1056000"/>
    <n v="0"/>
    <n v="96"/>
    <n v="960000"/>
    <n v="-96000"/>
    <d v="2023-09-04T00:00:00"/>
    <x v="5"/>
    <n v="9"/>
    <n v="2023"/>
  </r>
  <r>
    <n v="12"/>
    <s v="KV100"/>
    <s v="Khăn Napkin Toply 100 tờ x 48 gói"/>
    <s v="Gói"/>
    <n v="345600"/>
    <n v="0"/>
    <n v="48"/>
    <n v="576000"/>
    <n v="230400"/>
    <d v="2023-09-04T00:00:00"/>
    <x v="6"/>
    <n v="9"/>
    <n v="2023"/>
  </r>
  <r>
    <n v="13"/>
    <s v="KV320"/>
    <s v="Khăn Napkin Fairy 320 x 100 tờ x 48 gói"/>
    <s v="Gói"/>
    <n v="0"/>
    <n v="6"/>
    <n v="0"/>
    <n v="-60000"/>
    <n v="-60000"/>
    <d v="2023-09-04T00:00:00"/>
    <x v="6"/>
    <n v="9"/>
    <n v="2023"/>
  </r>
  <r>
    <n v="14"/>
    <s v="BG1000"/>
    <s v="Bột giặt 107 Thái 100% - 1kg x 12 gói/thùng"/>
    <s v="Gói"/>
    <n v="0"/>
    <n v="0"/>
    <n v="0"/>
    <n v="0"/>
    <n v="0"/>
    <d v="2023-09-04T00:00:00"/>
    <x v="7"/>
    <n v="9"/>
    <n v="2023"/>
  </r>
  <r>
    <n v="15"/>
    <s v="XV20"/>
    <s v="Nước xả vải Hygiene 20ml x 30 dây"/>
    <s v="Dây"/>
    <n v="0"/>
    <n v="0"/>
    <n v="0"/>
    <n v="0"/>
    <n v="0"/>
    <d v="2023-09-04T00:00:00"/>
    <x v="1"/>
    <n v="9"/>
    <n v="2023"/>
  </r>
  <r>
    <n v="16"/>
    <s v="A1K15"/>
    <s v="Kẹo bạc hà (chanh muối) Himalaya 15g x 12 gói x 12 hộp"/>
    <s v="Hộp"/>
    <n v="120756"/>
    <n v="0"/>
    <n v="2"/>
    <n v="112000"/>
    <n v="-8756"/>
    <d v="2023-09-04T00:00:00"/>
    <x v="8"/>
    <n v="9"/>
    <n v="2023"/>
  </r>
  <r>
    <n v="17"/>
    <s v="KDL01"/>
    <s v="Khăn giấy bỏ túi Paseo 9 tờ x 6 gói/cây x 40 cây"/>
    <s v="Cây"/>
    <n v="39312"/>
    <n v="0"/>
    <n v="4"/>
    <n v="46000"/>
    <n v="6688"/>
    <d v="2023-09-04T00:00:00"/>
    <x v="8"/>
    <n v="9"/>
    <n v="2023"/>
  </r>
  <r>
    <n v="18"/>
    <s v="TBTE20003"/>
    <s v="Tăm bông thân giấy TE hộp chữ nhật 200 cây x 12 hộp"/>
    <s v="Hộp"/>
    <n v="231000"/>
    <n v="0"/>
    <n v="12"/>
    <n v="240000"/>
    <n v="9000"/>
    <d v="2023-09-04T00:00:00"/>
    <x v="8"/>
    <n v="9"/>
    <n v="2023"/>
  </r>
  <r>
    <n v="19"/>
    <s v="DCTD708"/>
    <s v="Dao cạo Dorco vàng TD 708 (12 cây x 40 vỉ)"/>
    <s v="Vỉ"/>
    <n v="52800"/>
    <n v="0"/>
    <n v="2"/>
    <n v="72000"/>
    <n v="19200"/>
    <d v="2023-09-04T00:00:00"/>
    <x v="9"/>
    <n v="9"/>
    <n v="2023"/>
  </r>
  <r>
    <n v="20"/>
    <s v="KU250"/>
    <s v="Khăn ướt TE Villa 250g x 30 gói"/>
    <s v="Gói"/>
    <n v="77000"/>
    <n v="0"/>
    <n v="10"/>
    <n v="100000"/>
    <n v="23000"/>
    <d v="2023-09-04T00:00:00"/>
    <x v="9"/>
    <n v="9"/>
    <n v="2023"/>
  </r>
  <r>
    <n v="21"/>
    <s v="KKDN300"/>
    <s v="Khăn khô đa năng 300gr x 30 gói"/>
    <s v="Gói"/>
    <n v="792000"/>
    <n v="0"/>
    <n v="20"/>
    <n v="792000"/>
    <n v="0"/>
    <d v="2023-09-04T00:00:00"/>
    <x v="10"/>
    <n v="9"/>
    <n v="2023"/>
  </r>
  <r>
    <n v="22"/>
    <s v="GC615"/>
    <s v="GVS Phú An 6 cuộn x 12 cây"/>
    <s v="Cây"/>
    <n v="0"/>
    <n v="0"/>
    <n v="0"/>
    <n v="0"/>
    <n v="0"/>
    <d v="2023-09-04T00:00:00"/>
    <x v="11"/>
    <n v="9"/>
    <n v="2023"/>
  </r>
  <r>
    <n v="23"/>
    <s v="KMQCT"/>
    <s v="Quạt SENKO 1216 chân thấp"/>
    <s v="Cây"/>
    <n v="0"/>
    <n v="1"/>
    <n v="0"/>
    <n v="-233000"/>
    <n v="-233000"/>
    <d v="2023-09-04T00:00:00"/>
    <x v="12"/>
    <n v="9"/>
    <n v="2023"/>
  </r>
  <r>
    <n v="24"/>
    <s v="KU1506"/>
    <s v="Khăn ướt Lovely (khổ lớn) 150g x 30 gói"/>
    <s v="Gói"/>
    <n v="570000"/>
    <n v="0"/>
    <n v="60"/>
    <n v="1080000"/>
    <n v="510000"/>
    <d v="2023-09-04T00:00:00"/>
    <x v="12"/>
    <n v="9"/>
    <n v="2023"/>
  </r>
  <r>
    <n v="25"/>
    <s v="KV1011"/>
    <s v="Khăn Napkin EMos x 30 gói"/>
    <s v="Gói"/>
    <n v="200010"/>
    <n v="0"/>
    <n v="30"/>
    <n v="240000"/>
    <n v="39990"/>
    <d v="2023-09-04T00:00:00"/>
    <x v="12"/>
    <n v="9"/>
    <n v="2023"/>
  </r>
  <r>
    <n v="26"/>
    <s v="XV20"/>
    <s v="Nước xả vải Hygiene 20ml x 30 dây"/>
    <s v="Dây"/>
    <n v="0"/>
    <n v="0"/>
    <n v="0"/>
    <n v="0"/>
    <n v="0"/>
    <d v="2023-09-04T00:00:00"/>
    <x v="12"/>
    <n v="9"/>
    <n v="2023"/>
  </r>
  <r>
    <n v="27"/>
    <s v="HTF3000"/>
    <s v="Nước giặt Fineline tím 3L x 4 bình"/>
    <s v="Bình"/>
    <n v="340000"/>
    <n v="0"/>
    <n v="4"/>
    <n v="520000"/>
    <n v="180000"/>
    <d v="2023-09-05T00:00:00"/>
    <x v="9"/>
    <n v="9"/>
    <n v="2023"/>
  </r>
  <r>
    <n v="28"/>
    <s v="KV1011"/>
    <s v="Khăn Napkin EMos x 30 gói"/>
    <s v="Gói"/>
    <n v="200010"/>
    <n v="0"/>
    <n v="30"/>
    <n v="220500"/>
    <n v="20490"/>
    <d v="2023-09-06T00:00:00"/>
    <x v="13"/>
    <n v="9"/>
    <n v="2023"/>
  </r>
  <r>
    <n v="29"/>
    <s v="CG50"/>
    <s v="Chân gà cay ăn liền ZL FOOD loại 50g x 30 x 7 túi"/>
    <s v="Cái"/>
    <n v="165000"/>
    <n v="0"/>
    <n v="30"/>
    <n v="195000"/>
    <n v="30000"/>
    <d v="2023-09-07T00:00:00"/>
    <x v="14"/>
    <n v="9"/>
    <n v="2023"/>
  </r>
  <r>
    <n v="30"/>
    <s v="CG501"/>
    <s v="Chân gà cay ăn liền ZL FOOD Acao 50g x 30 x 7 túi"/>
    <s v="Cái"/>
    <n v="165000"/>
    <n v="0"/>
    <n v="30"/>
    <n v="195000"/>
    <n v="30000"/>
    <d v="2023-09-07T00:00:00"/>
    <x v="14"/>
    <n v="9"/>
    <n v="2023"/>
  </r>
  <r>
    <n v="31"/>
    <s v="NV004"/>
    <s v="Núm vú cổ hẹp size XL"/>
    <s v="Hộp"/>
    <n v="240000"/>
    <n v="0"/>
    <n v="1"/>
    <n v="250000"/>
    <n v="10000"/>
    <d v="2023-09-07T00:00:00"/>
    <x v="14"/>
    <n v="9"/>
    <n v="2023"/>
  </r>
  <r>
    <n v="32"/>
    <s v="NV101"/>
    <s v="Núm vú cổ rộng size S"/>
    <s v="Hộp"/>
    <n v="240000"/>
    <n v="0"/>
    <n v="1"/>
    <n v="250000"/>
    <n v="10000"/>
    <d v="2023-09-07T00:00:00"/>
    <x v="14"/>
    <n v="9"/>
    <n v="2023"/>
  </r>
  <r>
    <n v="33"/>
    <s v="GC606"/>
    <s v="GVS TiOne Gấu 6 cuộn x 12 cây"/>
    <s v="Cây"/>
    <n v="0"/>
    <n v="0"/>
    <n v="0"/>
    <n v="0"/>
    <n v="0"/>
    <d v="2023-09-11T00:00:00"/>
    <x v="15"/>
    <n v="9"/>
    <n v="2023"/>
  </r>
  <r>
    <n v="34"/>
    <s v="GC609"/>
    <s v="GVS Panda 6 cuộn x 12 cây x 10kg"/>
    <s v="Cây"/>
    <n v="0"/>
    <n v="0"/>
    <n v="0"/>
    <n v="0"/>
    <n v="0"/>
    <d v="2023-09-11T00:00:00"/>
    <x v="15"/>
    <n v="9"/>
    <n v="2023"/>
  </r>
  <r>
    <n v="35"/>
    <s v="HM601"/>
    <s v="HIMA DAILY (new) 6 lọ x 6 hộp"/>
    <s v="Hộp"/>
    <n v="768000"/>
    <n v="1"/>
    <n v="4"/>
    <n v="960000"/>
    <n v="192000"/>
    <d v="2023-09-11T00:00:00"/>
    <x v="15"/>
    <n v="9"/>
    <n v="2023"/>
  </r>
  <r>
    <n v="36"/>
    <s v="KV100"/>
    <s v="Khăn Napkin Toply 100 tờ x 48 gói"/>
    <s v="Gói"/>
    <n v="345600"/>
    <n v="4"/>
    <n v="48"/>
    <n v="576000"/>
    <n v="230400"/>
    <d v="2023-09-11T00:00:00"/>
    <x v="15"/>
    <n v="9"/>
    <n v="2023"/>
  </r>
  <r>
    <n v="37"/>
    <s v="NG5000"/>
    <s v="Nước giặt Kimono 6 in 1 vuông (tím) 5Kg x 4 bình"/>
    <s v="Bình"/>
    <n v="0"/>
    <n v="4"/>
    <n v="0"/>
    <n v="-600000"/>
    <n v="-600000"/>
    <d v="2023-09-11T00:00:00"/>
    <x v="16"/>
    <n v="9"/>
    <n v="2023"/>
  </r>
  <r>
    <n v="38"/>
    <s v="NG50002"/>
    <s v="Nước giặt Kimono 6 in 1 vuông (đen) 5kg x 4 bình"/>
    <s v="Bình"/>
    <n v="920000"/>
    <n v="0"/>
    <n v="8"/>
    <n v="1800000"/>
    <n v="880000"/>
    <d v="2023-09-11T00:00:00"/>
    <x v="16"/>
    <n v="9"/>
    <n v="2023"/>
  </r>
  <r>
    <n v="39"/>
    <s v="TNS1"/>
    <s v="Tẩy toilet Nam Sơn NK 100% 1L x 12 chai"/>
    <s v="Chai"/>
    <n v="190008"/>
    <n v="0"/>
    <n v="12"/>
    <n v="276000"/>
    <n v="85992"/>
    <d v="2023-09-11T00:00:00"/>
    <x v="17"/>
    <n v="9"/>
    <n v="2023"/>
  </r>
  <r>
    <n v="40"/>
    <s v="KV100"/>
    <s v="Khăn Napkin Toply 100 tờ x 48 gói"/>
    <s v="Gói"/>
    <n v="345600"/>
    <n v="4"/>
    <n v="48"/>
    <n v="532000"/>
    <n v="186400"/>
    <d v="2023-09-11T00:00:00"/>
    <x v="18"/>
    <n v="9"/>
    <n v="2023"/>
  </r>
  <r>
    <n v="41"/>
    <s v="TB10003"/>
    <s v="Tăm bông thân trúc túi 100 cây x 24 túi"/>
    <s v="Túi"/>
    <n v="735000"/>
    <n v="24"/>
    <n v="120"/>
    <n v="750000"/>
    <n v="15000"/>
    <d v="2023-09-11T00:00:00"/>
    <x v="19"/>
    <n v="9"/>
    <n v="2023"/>
  </r>
  <r>
    <n v="42"/>
    <s v="JA1KG"/>
    <s v="Javel 1L x 12 chai"/>
    <s v="Chai"/>
    <n v="90000"/>
    <n v="2"/>
    <n v="12"/>
    <n v="132000"/>
    <n v="42000"/>
    <d v="2023-09-11T00:00:00"/>
    <x v="20"/>
    <n v="9"/>
    <n v="2023"/>
  </r>
  <r>
    <n v="43"/>
    <s v="JA2KG"/>
    <s v="Javel 2L x 6 chai"/>
    <s v="Chai"/>
    <n v="0"/>
    <n v="0"/>
    <n v="0"/>
    <n v="0"/>
    <n v="0"/>
    <d v="2023-09-11T00:00:00"/>
    <x v="20"/>
    <n v="9"/>
    <n v="2023"/>
  </r>
  <r>
    <n v="44"/>
    <s v="BT001"/>
    <s v="Bông tắm không mút cao cấp x 12 cái"/>
    <s v="Cái"/>
    <n v="84000"/>
    <n v="0"/>
    <n v="6"/>
    <n v="84000"/>
    <n v="0"/>
    <d v="2023-09-11T00:00:00"/>
    <x v="21"/>
    <n v="9"/>
    <n v="2023"/>
  </r>
  <r>
    <n v="45"/>
    <s v="GC605"/>
    <s v="GVS Ruby 6 cuộn Mèo (không lõi) x 10 cây"/>
    <s v="Cây"/>
    <n v="290000"/>
    <n v="1"/>
    <n v="10"/>
    <n v="355000"/>
    <n v="65000"/>
    <d v="2023-09-11T00:00:00"/>
    <x v="21"/>
    <n v="9"/>
    <n v="2023"/>
  </r>
  <r>
    <n v="46"/>
    <s v="HTCTBC180"/>
    <s v="Cốc thả bồn cầu 180g x 24 hũ"/>
    <s v="Hủ"/>
    <n v="52500"/>
    <n v="0"/>
    <n v="2"/>
    <n v="60000"/>
    <n v="7500"/>
    <d v="2023-09-11T00:00:00"/>
    <x v="21"/>
    <n v="9"/>
    <n v="2023"/>
  </r>
  <r>
    <n v="47"/>
    <s v="KU102"/>
    <s v="Khăn ướt không mùi cao cấp (AT-12) x 24 gói"/>
    <s v="Gói"/>
    <n v="120835"/>
    <n v="0"/>
    <n v="5"/>
    <n v="125000"/>
    <n v="4165"/>
    <d v="2023-09-11T00:00:00"/>
    <x v="21"/>
    <n v="9"/>
    <n v="2023"/>
  </r>
  <r>
    <n v="48"/>
    <s v="KU250"/>
    <s v="Khăn ướt TE Villa 250g x 30 gói"/>
    <s v="Gói"/>
    <n v="77000"/>
    <n v="0"/>
    <n v="10"/>
    <n v="100000"/>
    <n v="23000"/>
    <d v="2023-09-11T00:00:00"/>
    <x v="21"/>
    <n v="9"/>
    <n v="2023"/>
  </r>
  <r>
    <n v="49"/>
    <s v="TC1800"/>
    <s v="Thông cống 1,8L x 10 chai"/>
    <s v="Chai"/>
    <n v="59000"/>
    <n v="0"/>
    <n v="2"/>
    <n v="80000"/>
    <n v="21000"/>
    <d v="2023-09-11T00:00:00"/>
    <x v="21"/>
    <n v="9"/>
    <n v="2023"/>
  </r>
  <r>
    <n v="50"/>
    <s v="TB20002"/>
    <s v="Tăm bông thân nhựa NL hộp tròn 200 cây x 12 hộp"/>
    <s v="Hộp"/>
    <n v="388512"/>
    <n v="6"/>
    <n v="24"/>
    <n v="384000"/>
    <n v="-4512"/>
    <d v="2023-09-11T00:00:00"/>
    <x v="22"/>
    <n v="9"/>
    <n v="2023"/>
  </r>
  <r>
    <n v="51"/>
    <s v="TBTE20002"/>
    <s v="Tăm bông thân nhựa TE hộp tròn 200 cây x 12 hộp"/>
    <s v="Hộp"/>
    <n v="178500"/>
    <n v="0"/>
    <n v="12"/>
    <n v="216000"/>
    <n v="37500"/>
    <d v="2023-09-11T00:00:00"/>
    <x v="22"/>
    <n v="9"/>
    <n v="2023"/>
  </r>
  <r>
    <n v="52"/>
    <s v="A1Y601"/>
    <s v="A1 Yến sào có nhân sâm 70ml x 6 lọ x 6 hộp"/>
    <s v="Hộp"/>
    <n v="0"/>
    <n v="1"/>
    <n v="0"/>
    <n v="0"/>
    <n v="0"/>
    <d v="2023-09-11T00:00:00"/>
    <x v="23"/>
    <n v="9"/>
    <n v="2023"/>
  </r>
  <r>
    <n v="53"/>
    <s v="GC100"/>
    <s v="GVS cuộn trắng rẻ (xá) x 10 cây"/>
    <s v="Bao"/>
    <n v="0"/>
    <n v="0"/>
    <n v="0"/>
    <n v="0"/>
    <n v="0"/>
    <d v="2023-09-11T00:00:00"/>
    <x v="23"/>
    <n v="9"/>
    <n v="2023"/>
  </r>
  <r>
    <n v="54"/>
    <s v="HM10"/>
    <s v="Yến sào Finenest nhân sâm x 10 hộp"/>
    <s v="Hộp"/>
    <n v="95000"/>
    <n v="0"/>
    <n v="1"/>
    <n v="218000"/>
    <n v="123000"/>
    <d v="2023-09-11T00:00:00"/>
    <x v="23"/>
    <n v="9"/>
    <n v="2023"/>
  </r>
  <r>
    <n v="55"/>
    <s v="HM603"/>
    <s v="HIMA Vinnest 6 lọ KĐ x 6 hộp"/>
    <s v="Hộp"/>
    <n v="100000"/>
    <n v="1"/>
    <n v="1"/>
    <n v="218000"/>
    <n v="118000"/>
    <d v="2023-09-11T00:00:00"/>
    <x v="23"/>
    <n v="9"/>
    <n v="2023"/>
  </r>
  <r>
    <n v="56"/>
    <s v="HM608"/>
    <s v="Yến sào Seunest CĐ vàng x 6 hộp"/>
    <s v="Hộp"/>
    <n v="100000"/>
    <n v="0"/>
    <n v="1"/>
    <n v="218000"/>
    <n v="118000"/>
    <d v="2023-09-11T00:00:00"/>
    <x v="23"/>
    <n v="9"/>
    <n v="2023"/>
  </r>
  <r>
    <n v="57"/>
    <s v="HM610"/>
    <s v="Yến sào Finenest CĐ đỏ x 6 hộp"/>
    <s v="Hộp"/>
    <n v="100000"/>
    <n v="0"/>
    <n v="1"/>
    <n v="218000"/>
    <n v="118000"/>
    <d v="2023-09-11T00:00:00"/>
    <x v="23"/>
    <n v="9"/>
    <n v="2023"/>
  </r>
  <r>
    <n v="58"/>
    <s v="KU100"/>
    <s v="Khăn ướt Begin 100 tờ x 20 gói"/>
    <s v="Gói"/>
    <n v="102000"/>
    <n v="0"/>
    <n v="6"/>
    <n v="144000"/>
    <n v="42000"/>
    <d v="2023-09-11T00:00:00"/>
    <x v="23"/>
    <n v="9"/>
    <n v="2023"/>
  </r>
  <r>
    <n v="59"/>
    <s v="KU1506"/>
    <s v="Khăn ướt Lovely (khổ lớn) 150g x 30 gói"/>
    <s v="Gói"/>
    <n v="285000"/>
    <n v="0"/>
    <n v="30"/>
    <n v="420000"/>
    <n v="135000"/>
    <d v="2023-09-11T00:00:00"/>
    <x v="24"/>
    <n v="9"/>
    <n v="2023"/>
  </r>
  <r>
    <n v="60"/>
    <s v="KU801"/>
    <s v="Khăn ướt Baby (đỏ) 80g x 50 gói"/>
    <s v="Gói"/>
    <n v="80000"/>
    <n v="0"/>
    <n v="20"/>
    <n v="130000"/>
    <n v="50000"/>
    <d v="2023-09-11T00:00:00"/>
    <x v="24"/>
    <n v="9"/>
    <n v="2023"/>
  </r>
  <r>
    <n v="61"/>
    <s v="KV1007"/>
    <s v="Khăn Napkin An An 100 tờ x 40 gói"/>
    <s v="Gói"/>
    <n v="270000"/>
    <n v="0"/>
    <n v="40"/>
    <n v="300000"/>
    <n v="30000"/>
    <d v="2023-09-11T00:00:00"/>
    <x v="24"/>
    <n v="9"/>
    <n v="2023"/>
  </r>
  <r>
    <n v="62"/>
    <s v="JA2KG"/>
    <s v="Javel 2L x 6 chai"/>
    <s v="Chai"/>
    <n v="90000"/>
    <n v="0"/>
    <n v="6"/>
    <n v="144000"/>
    <n v="54000"/>
    <d v="2023-09-11T00:00:00"/>
    <x v="25"/>
    <n v="9"/>
    <n v="2023"/>
  </r>
  <r>
    <n v="63"/>
    <s v="CG50"/>
    <s v="Chân gà cay ăn liền ZL FOOD loại 50g x 30 x 7 túi"/>
    <s v="Cái"/>
    <n v="0"/>
    <n v="0"/>
    <n v="0"/>
    <n v="0"/>
    <n v="0"/>
    <d v="2023-09-12T00:00:00"/>
    <x v="26"/>
    <n v="9"/>
    <n v="2023"/>
  </r>
  <r>
    <n v="64"/>
    <s v="CG501"/>
    <s v="Chân gà cay ăn liền ZL FOOD Acao 50g x 30 x 7 túi"/>
    <s v="Cái"/>
    <n v="0"/>
    <n v="0"/>
    <n v="0"/>
    <n v="0"/>
    <n v="0"/>
    <d v="2023-09-12T00:00:00"/>
    <x v="26"/>
    <n v="9"/>
    <n v="2023"/>
  </r>
  <r>
    <n v="65"/>
    <s v="HTK151"/>
    <s v="Kẹo Tommy trái cây 15g x 12 gói x 12 dây"/>
    <s v="Dây"/>
    <n v="0"/>
    <n v="0"/>
    <n v="0"/>
    <n v="0"/>
    <n v="0"/>
    <d v="2023-09-12T00:00:00"/>
    <x v="26"/>
    <n v="9"/>
    <n v="2023"/>
  </r>
  <r>
    <n v="66"/>
    <s v="KU100"/>
    <s v="Khăn ướt Begin 100 tờ x 20 gói"/>
    <s v="Gói"/>
    <n v="340000"/>
    <n v="0"/>
    <n v="20"/>
    <n v="500000"/>
    <n v="160000"/>
    <d v="2023-09-12T00:00:00"/>
    <x v="27"/>
    <n v="9"/>
    <n v="2023"/>
  </r>
  <r>
    <n v="67"/>
    <s v="HTK151"/>
    <s v="Kẹo Tommy trái cây 15g x 12 gói x 12 dây"/>
    <s v="Dây"/>
    <n v="0"/>
    <n v="0"/>
    <n v="0"/>
    <n v="0"/>
    <n v="0"/>
    <d v="2023-09-12T00:00:00"/>
    <x v="28"/>
    <n v="9"/>
    <n v="2023"/>
  </r>
  <r>
    <n v="68"/>
    <s v="KTN3001"/>
    <s v="Kẹo Trang Nghiêm DÂU TÂY hộp 200g x 24 hộp/thùng"/>
    <s v="Hộp"/>
    <n v="43500"/>
    <n v="0"/>
    <n v="3"/>
    <n v="42000"/>
    <n v="-1500"/>
    <d v="2023-09-12T00:00:00"/>
    <x v="28"/>
    <n v="9"/>
    <n v="2023"/>
  </r>
  <r>
    <n v="69"/>
    <s v="KTN3002"/>
    <s v="Kẹo Trang Nghiêm DÂU TẰM hộp 200g x 24 hộp/thùng"/>
    <s v="Hộp"/>
    <n v="58000"/>
    <n v="0"/>
    <n v="4"/>
    <n v="56000"/>
    <n v="-2000"/>
    <d v="2023-09-12T00:00:00"/>
    <x v="28"/>
    <n v="9"/>
    <n v="2023"/>
  </r>
  <r>
    <n v="70"/>
    <s v="KTN3003"/>
    <s v="Kẹo Trang Nghiêm ME ỚT hộp 200g x 24 hộp/thùng"/>
    <s v="Hộp"/>
    <n v="43500"/>
    <n v="0"/>
    <n v="3"/>
    <n v="42000"/>
    <n v="-1500"/>
    <d v="2023-09-12T00:00:00"/>
    <x v="28"/>
    <n v="9"/>
    <n v="2023"/>
  </r>
  <r>
    <n v="71"/>
    <s v="A1K15"/>
    <s v="Kẹo bạc hà (chanh muối) Himalaya 15g x 12 gói x 12 hộp"/>
    <s v="Hộp"/>
    <n v="362268"/>
    <n v="1"/>
    <n v="6"/>
    <n v="340000"/>
    <n v="-22268"/>
    <d v="2023-09-14T00:00:00"/>
    <x v="29"/>
    <n v="9"/>
    <n v="2023"/>
  </r>
  <r>
    <n v="72"/>
    <s v="BG1000"/>
    <s v="Bột giặt 107 Thái 100% - 1kg x 12 gói/thùng"/>
    <s v="Gói"/>
    <n v="0"/>
    <n v="0"/>
    <n v="0"/>
    <n v="0"/>
    <n v="0"/>
    <d v="2023-09-14T00:00:00"/>
    <x v="30"/>
    <n v="9"/>
    <n v="2023"/>
  </r>
  <r>
    <n v="73"/>
    <s v="BG32001"/>
    <s v="Bột giặt 109 Thái 100% - 3,2kg x 4 gói/thùng"/>
    <s v="Gói"/>
    <n v="305000"/>
    <n v="0"/>
    <n v="4"/>
    <n v="424000"/>
    <n v="119000"/>
    <d v="2023-09-14T00:00:00"/>
    <x v="30"/>
    <n v="9"/>
    <n v="2023"/>
  </r>
  <r>
    <n v="74"/>
    <s v="LLDORCOTITAN"/>
    <s v="Lưỡi lam Dorco Titan 10 lưỡi x 10 lốc x 10 hộp"/>
    <s v="Hộp"/>
    <n v="294000"/>
    <n v="1"/>
    <n v="6"/>
    <n v="310000"/>
    <n v="16000"/>
    <d v="2023-09-14T00:00:00"/>
    <x v="30"/>
    <n v="9"/>
    <n v="2023"/>
  </r>
  <r>
    <n v="75"/>
    <s v="KV1009"/>
    <s v="Khăn Napkin TiOne Gấu 100 tờ x 48 gói"/>
    <s v="Gói"/>
    <n v="144000"/>
    <n v="0"/>
    <n v="24"/>
    <n v="192000"/>
    <n v="48000"/>
    <d v="2023-09-14T00:00:00"/>
    <x v="31"/>
    <n v="9"/>
    <n v="2023"/>
  </r>
  <r>
    <n v="76"/>
    <s v="A1BTE50CR"/>
    <s v="A1 Bánh trẻ em vị cà rốt 50g x 24 hộp"/>
    <s v="Hộp"/>
    <n v="0"/>
    <n v="0"/>
    <n v="0"/>
    <n v="0"/>
    <n v="0"/>
    <d v="2023-09-14T00:00:00"/>
    <x v="32"/>
    <n v="9"/>
    <n v="2023"/>
  </r>
  <r>
    <n v="77"/>
    <s v="A1BTE50RC"/>
    <s v="A1 Bánh trẻ em vị gà và rau củ 50g x 24 hộp"/>
    <s v="Hộp"/>
    <n v="0"/>
    <n v="0"/>
    <n v="0"/>
    <n v="0"/>
    <n v="0"/>
    <d v="2023-09-14T00:00:00"/>
    <x v="32"/>
    <n v="9"/>
    <n v="2023"/>
  </r>
  <r>
    <n v="78"/>
    <s v="A1BTE50TT"/>
    <s v="A1 Bánh trẻ em vị truyền thống 50g x 24 hộp"/>
    <s v="Hộp"/>
    <n v="0"/>
    <n v="0"/>
    <n v="0"/>
    <n v="0"/>
    <n v="0"/>
    <d v="2023-09-14T00:00:00"/>
    <x v="32"/>
    <n v="9"/>
    <n v="2023"/>
  </r>
  <r>
    <n v="79"/>
    <s v="BSOGI121"/>
    <s v="Bánh SOGI CHOCOLATE WITH STRAWBERRY CREAM 12g x 24 cây x 6 hủ"/>
    <s v="Hủ"/>
    <n v="63000"/>
    <n v="0"/>
    <n v="1"/>
    <n v="69000"/>
    <n v="6000"/>
    <d v="2023-09-14T00:00:00"/>
    <x v="33"/>
    <n v="9"/>
    <n v="2023"/>
  </r>
  <r>
    <n v="80"/>
    <s v="CG26"/>
    <s v="Chân gà rút xương cay ăn liền ZL FOOD 26g x 20 x 10 túi"/>
    <s v="Cái"/>
    <n v="110000"/>
    <n v="0"/>
    <n v="20"/>
    <n v="130000"/>
    <n v="20000"/>
    <d v="2023-09-14T00:00:00"/>
    <x v="33"/>
    <n v="9"/>
    <n v="2023"/>
  </r>
  <r>
    <n v="81"/>
    <s v="CG50"/>
    <s v="Chân gà cay ăn liền ZL FOOD loại 50g x 30 x 7 túi"/>
    <s v="Cái"/>
    <n v="165000"/>
    <n v="0"/>
    <n v="30"/>
    <n v="195000"/>
    <n v="30000"/>
    <d v="2023-09-14T00:00:00"/>
    <x v="33"/>
    <n v="9"/>
    <n v="2023"/>
  </r>
  <r>
    <n v="82"/>
    <s v="CG501"/>
    <s v="Chân gà cay ăn liền ZL FOOD Acao 50g x 30 x 7 túi"/>
    <s v="Cái"/>
    <n v="165000"/>
    <n v="0"/>
    <n v="30"/>
    <n v="195000"/>
    <n v="30000"/>
    <d v="2023-09-14T00:00:00"/>
    <x v="33"/>
    <n v="9"/>
    <n v="2023"/>
  </r>
  <r>
    <n v="83"/>
    <s v="NLREDBULL2"/>
    <s v="RedBull ThaiLan nắp hình"/>
    <s v="Block"/>
    <n v="0"/>
    <n v="0"/>
    <n v="0"/>
    <n v="0"/>
    <n v="0"/>
    <d v="2023-09-14T00:00:00"/>
    <x v="33"/>
    <n v="9"/>
    <n v="2023"/>
  </r>
  <r>
    <n v="84"/>
    <s v="SD1000"/>
    <s v="Sữa đặc Creamer có đường 1kg x 24 lon"/>
    <s v="Lon"/>
    <n v="820800"/>
    <n v="0"/>
    <n v="24"/>
    <n v="840000"/>
    <n v="19200"/>
    <d v="2023-09-14T00:00:00"/>
    <x v="33"/>
    <n v="9"/>
    <n v="2023"/>
  </r>
  <r>
    <n v="85"/>
    <s v="CC16"/>
    <s v="Cacao Passion 3 in 1 (16g x 10s x 80 dây)"/>
    <s v="Dây"/>
    <n v="138000"/>
    <n v="0"/>
    <n v="6"/>
    <n v="162000"/>
    <n v="24000"/>
    <d v="2023-09-14T00:00:00"/>
    <x v="34"/>
    <n v="9"/>
    <n v="2023"/>
  </r>
  <r>
    <n v="86"/>
    <s v="KTN3001"/>
    <s v="Kẹo Trang Nghiêm DÂU TÂY hộp 200g x 24 hộp/thùng"/>
    <s v="Hộp"/>
    <n v="72500"/>
    <n v="0"/>
    <n v="5"/>
    <n v="70000"/>
    <n v="-2500"/>
    <d v="2023-09-14T00:00:00"/>
    <x v="34"/>
    <n v="9"/>
    <n v="2023"/>
  </r>
  <r>
    <n v="87"/>
    <s v="KTN3002"/>
    <s v="Kẹo Trang Nghiêm DÂU TẰM hộp 200g x 24 hộp/thùng"/>
    <s v="Hộp"/>
    <n v="72500"/>
    <n v="0"/>
    <n v="5"/>
    <n v="70000"/>
    <n v="-2500"/>
    <d v="2023-09-14T00:00:00"/>
    <x v="34"/>
    <n v="9"/>
    <n v="2023"/>
  </r>
  <r>
    <n v="88"/>
    <s v="KTN3003"/>
    <s v="Kẹo Trang Nghiêm ME ỚT hộp 200g x 24 hộp/thùng"/>
    <s v="Hộp"/>
    <n v="72500"/>
    <n v="0"/>
    <n v="5"/>
    <n v="70000"/>
    <n v="-2500"/>
    <d v="2023-09-14T00:00:00"/>
    <x v="34"/>
    <n v="9"/>
    <n v="2023"/>
  </r>
  <r>
    <n v="89"/>
    <s v="SD1000"/>
    <s v="Sữa đặc Creamer có đường 1kg x 24 lon"/>
    <s v="Lon"/>
    <n v="171000"/>
    <n v="0"/>
    <n v="5"/>
    <n v="175000"/>
    <n v="4000"/>
    <d v="2023-09-14T00:00:00"/>
    <x v="34"/>
    <n v="9"/>
    <n v="2023"/>
  </r>
  <r>
    <n v="90"/>
    <s v="KDL1301"/>
    <s v="Khăn du lịch GIA PHÁT 3 lớp x 130 tờ x 100 gói"/>
    <s v="Gói"/>
    <n v="42000"/>
    <n v="1"/>
    <n v="12"/>
    <n v="72000"/>
    <n v="30000"/>
    <d v="2023-09-14T00:00:00"/>
    <x v="35"/>
    <n v="9"/>
    <n v="2023"/>
  </r>
  <r>
    <n v="91"/>
    <s v="KR500"/>
    <s v="Khăn rút lụa NAROTO 2 lớp x 500 tờ x 50 gói"/>
    <s v="Gói"/>
    <n v="70400"/>
    <n v="2"/>
    <n v="8"/>
    <n v="136000"/>
    <n v="65600"/>
    <d v="2023-09-14T00:00:00"/>
    <x v="35"/>
    <n v="9"/>
    <n v="2023"/>
  </r>
  <r>
    <n v="92"/>
    <s v="SRT500"/>
    <s v="SRT tự nhiên (hồng, tím, đỏ, xanh) 500ml x 20 chai"/>
    <s v="Chai"/>
    <n v="77500"/>
    <n v="1"/>
    <n v="5"/>
    <n v="175000"/>
    <n v="97500"/>
    <d v="2023-09-14T00:00:00"/>
    <x v="35"/>
    <n v="9"/>
    <n v="2023"/>
  </r>
  <r>
    <n v="93"/>
    <s v="CC16"/>
    <s v="Cacao Passion 3 in 1 (16g x 10s x 80 dây)"/>
    <s v="Dây"/>
    <n v="46000"/>
    <n v="0"/>
    <n v="2"/>
    <n v="56000"/>
    <n v="10000"/>
    <d v="2023-09-14T00:00:00"/>
    <x v="36"/>
    <n v="9"/>
    <n v="2023"/>
  </r>
  <r>
    <n v="94"/>
    <s v="CG50"/>
    <s v="Chân gà cay ăn liền ZL FOOD loại 50g x 30 x 7 túi"/>
    <s v="Cái"/>
    <n v="110000"/>
    <n v="0"/>
    <n v="20"/>
    <n v="130000"/>
    <n v="20000"/>
    <d v="2023-09-14T00:00:00"/>
    <x v="36"/>
    <n v="9"/>
    <n v="2023"/>
  </r>
  <r>
    <n v="95"/>
    <s v="SD1000"/>
    <s v="Sữa đặc Creamer có đường 1kg x 24 lon"/>
    <s v="Lon"/>
    <n v="171000"/>
    <n v="0"/>
    <n v="5"/>
    <n v="175000"/>
    <n v="4000"/>
    <d v="2023-09-14T00:00:00"/>
    <x v="36"/>
    <n v="9"/>
    <n v="2023"/>
  </r>
  <r>
    <n v="96"/>
    <s v="TBND500"/>
    <s v="Nước Yến Nha Đam (Pet) 500ml x 24 chai"/>
    <s v="Thùng"/>
    <n v="163485"/>
    <n v="0"/>
    <n v="1"/>
    <n v="175000"/>
    <n v="11515"/>
    <d v="2023-09-14T00:00:00"/>
    <x v="36"/>
    <n v="9"/>
    <n v="2023"/>
  </r>
  <r>
    <n v="97"/>
    <s v="GC606"/>
    <s v="GVS TiOne Gấu 6 cuộn x 12 cây"/>
    <s v="Cây"/>
    <n v="0"/>
    <n v="0"/>
    <n v="0"/>
    <n v="0"/>
    <n v="0"/>
    <d v="2023-09-15T00:00:00"/>
    <x v="37"/>
    <n v="9"/>
    <n v="2023"/>
  </r>
  <r>
    <n v="98"/>
    <s v="JA1KG"/>
    <s v="Javel 1L x 12 chai"/>
    <s v="Chai"/>
    <n v="0"/>
    <n v="2"/>
    <n v="0"/>
    <n v="0"/>
    <n v="0"/>
    <d v="2023-09-15T00:00:00"/>
    <x v="38"/>
    <n v="9"/>
    <n v="2023"/>
  </r>
  <r>
    <n v="99"/>
    <s v="JA350G"/>
    <s v="Javel 350ml x 30 chai"/>
    <s v="Chai"/>
    <n v="90000"/>
    <n v="0"/>
    <n v="30"/>
    <n v="165000"/>
    <n v="75000"/>
    <d v="2023-09-15T00:00:00"/>
    <x v="38"/>
    <n v="9"/>
    <n v="2023"/>
  </r>
  <r>
    <n v="100"/>
    <s v="JA500G"/>
    <s v="Javel 550ml x 24 chai"/>
    <s v="Chai"/>
    <n v="90000"/>
    <n v="0"/>
    <n v="24"/>
    <n v="168000"/>
    <n v="78000"/>
    <d v="2023-09-15T00:00:00"/>
    <x v="38"/>
    <n v="9"/>
    <n v="2023"/>
  </r>
  <r>
    <n v="101"/>
    <s v="HTBSN80"/>
    <s v="Snack bắp Otori vị Phô Mai 80g x 12"/>
    <s v="Lon"/>
    <n v="55440"/>
    <n v="0"/>
    <n v="2"/>
    <n v="64000"/>
    <n v="8560"/>
    <d v="2023-09-16T00:00:00"/>
    <x v="39"/>
    <n v="9"/>
    <n v="2023"/>
  </r>
  <r>
    <n v="102"/>
    <s v="HTBSN90"/>
    <s v="Snack bắp Otori vị Gà cay 90g x 12"/>
    <s v="Lon"/>
    <n v="55440"/>
    <n v="0"/>
    <n v="2"/>
    <n v="64000"/>
    <n v="8560"/>
    <d v="2023-09-16T00:00:00"/>
    <x v="39"/>
    <n v="9"/>
    <n v="2023"/>
  </r>
  <r>
    <n v="103"/>
    <s v="HTBSN902"/>
    <s v="Snack bắp Otori vị Tomyum Kung 90g x 12"/>
    <s v="Lon"/>
    <n v="55440"/>
    <n v="0"/>
    <n v="2"/>
    <n v="64000"/>
    <n v="8560"/>
    <d v="2023-09-16T00:00:00"/>
    <x v="39"/>
    <n v="9"/>
    <n v="2023"/>
  </r>
  <r>
    <n v="104"/>
    <s v="HTBSN903"/>
    <s v="Snack bắp Otori vị Rong Biển 90g x 12"/>
    <s v="Lon"/>
    <n v="83160"/>
    <n v="0"/>
    <n v="3"/>
    <n v="96000"/>
    <n v="12840"/>
    <d v="2023-09-16T00:00:00"/>
    <x v="39"/>
    <n v="9"/>
    <n v="2023"/>
  </r>
  <r>
    <n v="105"/>
    <s v="HTBSN904"/>
    <s v="Snack bắp Otori vị Dừa 80g x 12"/>
    <s v="Lon"/>
    <n v="83160"/>
    <n v="0"/>
    <n v="3"/>
    <n v="96000"/>
    <n v="12840"/>
    <d v="2023-09-16T00:00:00"/>
    <x v="39"/>
    <n v="9"/>
    <n v="2023"/>
  </r>
  <r>
    <n v="106"/>
    <s v="KV1001"/>
    <s v="Khăn Napkin Ruby Gold 100 tờ x 30 gói"/>
    <s v="Gói"/>
    <n v="450000"/>
    <n v="0"/>
    <n v="60"/>
    <n v="480000"/>
    <n v="30000"/>
    <d v="2023-09-16T00:00:00"/>
    <x v="39"/>
    <n v="9"/>
    <n v="2023"/>
  </r>
  <r>
    <n v="107"/>
    <s v="NSSK555"/>
    <s v="Saka 555ml x 24 chai"/>
    <s v="Thùng"/>
    <n v="390000"/>
    <n v="0"/>
    <n v="5"/>
    <n v="390000"/>
    <n v="0"/>
    <d v="2023-09-16T00:00:00"/>
    <x v="39"/>
    <n v="9"/>
    <n v="2023"/>
  </r>
  <r>
    <n v="108"/>
    <s v="KU100"/>
    <s v="Khăn ướt Begin 100 tờ x 20 gói"/>
    <s v="Gói"/>
    <n v="340000"/>
    <n v="0"/>
    <n v="20"/>
    <n v="500000"/>
    <n v="160000"/>
    <d v="2023-09-16T00:00:00"/>
    <x v="40"/>
    <n v="9"/>
    <n v="2023"/>
  </r>
  <r>
    <n v="109"/>
    <s v="BTT160"/>
    <s v="Bông tẩy trang 160 miếng x 120 cây"/>
    <s v="Cây"/>
    <n v="144000"/>
    <n v="0"/>
    <n v="6"/>
    <n v="180000"/>
    <n v="36000"/>
    <d v="2023-09-16T00:00:00"/>
    <x v="41"/>
    <n v="9"/>
    <n v="2023"/>
  </r>
  <r>
    <n v="110"/>
    <s v="KDL01"/>
    <s v="Khăn giấy bỏ túi Paseo 9 tờ x 6 gói/cây x 40 cây"/>
    <s v="Cây"/>
    <n v="98280"/>
    <n v="0"/>
    <n v="10"/>
    <n v="115000"/>
    <n v="16720"/>
    <d v="2023-09-16T00:00:00"/>
    <x v="41"/>
    <n v="9"/>
    <n v="2023"/>
  </r>
  <r>
    <n v="111"/>
    <s v="TBTE1001"/>
    <s v="Tăm bông thân nhựa TE túi 100 cây x 24 túi"/>
    <s v="Túi"/>
    <n v="126000"/>
    <n v="4"/>
    <n v="24"/>
    <n v="168000"/>
    <n v="42000"/>
    <d v="2023-09-16T00:00:00"/>
    <x v="41"/>
    <n v="9"/>
    <n v="2023"/>
  </r>
  <r>
    <n v="112"/>
    <s v="GC106"/>
    <s v="GVS Ruby (HQ) 10 cuộn x 8kg"/>
    <s v="Cây"/>
    <n v="180000"/>
    <n v="0"/>
    <n v="10"/>
    <n v="220000"/>
    <n v="40000"/>
    <d v="2023-09-16T00:00:00"/>
    <x v="42"/>
    <n v="9"/>
    <n v="2023"/>
  </r>
  <r>
    <n v="113"/>
    <s v="GC617"/>
    <s v="GVS TiOne hồng 6 cuộn x 12 cây"/>
    <s v="Cây"/>
    <n v="265716"/>
    <n v="0"/>
    <n v="12"/>
    <n v="360000"/>
    <n v="94284"/>
    <d v="2023-09-16T00:00:00"/>
    <x v="42"/>
    <n v="9"/>
    <n v="2023"/>
  </r>
  <r>
    <n v="114"/>
    <s v="GC617"/>
    <s v="GVS TiOne hồng 6 cuộn x 12 cây"/>
    <s v="Cây"/>
    <n v="265716"/>
    <n v="0"/>
    <n v="12"/>
    <n v="360000"/>
    <n v="94284"/>
    <d v="2023-09-16T00:00:00"/>
    <x v="7"/>
    <n v="9"/>
    <n v="2023"/>
  </r>
  <r>
    <n v="115"/>
    <s v="KTN3001"/>
    <s v="Kẹo Trang Nghiêm DÂU TÂY hộp 200g x 24 hộp/thùng"/>
    <s v="Hộp"/>
    <n v="43500"/>
    <n v="0"/>
    <n v="3"/>
    <n v="42000"/>
    <n v="-1500"/>
    <d v="2023-09-16T00:00:00"/>
    <x v="43"/>
    <n v="9"/>
    <n v="2023"/>
  </r>
  <r>
    <n v="116"/>
    <s v="KTN3002"/>
    <s v="Kẹo Trang Nghiêm DÂU TẰM hộp 200g x 24 hộp/thùng"/>
    <s v="Hộp"/>
    <n v="58000"/>
    <n v="0"/>
    <n v="4"/>
    <n v="56000"/>
    <n v="-2000"/>
    <d v="2023-09-16T00:00:00"/>
    <x v="43"/>
    <n v="9"/>
    <n v="2023"/>
  </r>
  <r>
    <n v="117"/>
    <s v="KTN3003"/>
    <s v="Kẹo Trang Nghiêm ME ỚT hộp 200g x 24 hộp/thùng"/>
    <s v="Hộp"/>
    <n v="43500"/>
    <n v="0"/>
    <n v="3"/>
    <n v="42000"/>
    <n v="-1500"/>
    <d v="2023-09-16T00:00:00"/>
    <x v="43"/>
    <n v="9"/>
    <n v="2023"/>
  </r>
  <r>
    <n v="118"/>
    <s v="KV1009"/>
    <s v="Khăn Napkin TiOne Gấu 100 tờ x 48 gói"/>
    <s v="Gói"/>
    <n v="288000"/>
    <n v="0"/>
    <n v="48"/>
    <n v="360000"/>
    <n v="72000"/>
    <d v="2023-09-16T00:00:00"/>
    <x v="44"/>
    <n v="9"/>
    <n v="2023"/>
  </r>
  <r>
    <n v="119"/>
    <s v="HM607"/>
    <s v="Yến sào Seunest KĐ xanh x 6 hộp"/>
    <s v="Hộp"/>
    <n v="300000"/>
    <n v="0"/>
    <n v="3"/>
    <n v="654000"/>
    <n v="354000"/>
    <d v="2023-09-16T00:00:00"/>
    <x v="45"/>
    <n v="9"/>
    <n v="2023"/>
  </r>
  <r>
    <n v="120"/>
    <s v="HM608"/>
    <s v="Yến sào Seunest CĐ vàng x 6 hộp"/>
    <s v="Hộp"/>
    <n v="300000"/>
    <n v="0"/>
    <n v="3"/>
    <n v="654000"/>
    <n v="354000"/>
    <d v="2023-09-16T00:00:00"/>
    <x v="45"/>
    <n v="9"/>
    <n v="2023"/>
  </r>
  <r>
    <n v="121"/>
    <s v="HM610"/>
    <s v="Yến sào Finenest CĐ đỏ x 6 hộp"/>
    <s v="Hộp"/>
    <n v="0"/>
    <n v="6"/>
    <n v="0"/>
    <n v="-720000"/>
    <n v="-720000"/>
    <d v="2023-09-16T00:00:00"/>
    <x v="45"/>
    <n v="9"/>
    <n v="2023"/>
  </r>
  <r>
    <n v="122"/>
    <s v="KV100"/>
    <s v="Khăn Napkin Toply 100 tờ x 48 gói"/>
    <s v="Gói"/>
    <n v="345600"/>
    <n v="5"/>
    <n v="48"/>
    <n v="521000"/>
    <n v="175400"/>
    <d v="2023-09-16T00:00:00"/>
    <x v="46"/>
    <n v="9"/>
    <n v="2023"/>
  </r>
  <r>
    <n v="123"/>
    <s v="GC617"/>
    <s v="GVS TiOne hồng 6 cuộn x 12 cây"/>
    <s v="Cây"/>
    <n v="265716"/>
    <n v="1"/>
    <n v="12"/>
    <n v="377000"/>
    <n v="111284"/>
    <d v="2023-09-16T00:00:00"/>
    <x v="47"/>
    <n v="9"/>
    <n v="2023"/>
  </r>
  <r>
    <n v="124"/>
    <s v="XM6007"/>
    <s v="Xịt muỗi 600ml x 30 chai"/>
    <s v="Chai"/>
    <n v="216000"/>
    <n v="0"/>
    <n v="12"/>
    <n v="264000"/>
    <n v="48000"/>
    <d v="2023-09-16T00:00:00"/>
    <x v="47"/>
    <n v="9"/>
    <n v="2023"/>
  </r>
  <r>
    <n v="125"/>
    <s v="GC6010"/>
    <s v="GVS Fairy cuộn CN 600g x 10 cuộn"/>
    <s v="Cuộn"/>
    <n v="267000"/>
    <n v="2"/>
    <n v="10"/>
    <n v="270000"/>
    <n v="3000"/>
    <d v="2023-09-16T00:00:00"/>
    <x v="48"/>
    <n v="9"/>
    <n v="2023"/>
  </r>
  <r>
    <n v="126"/>
    <s v="KV100"/>
    <s v="Khăn Napkin Toply 100 tờ x 48 gói"/>
    <s v="Gói"/>
    <n v="345600"/>
    <n v="5"/>
    <n v="48"/>
    <n v="521000"/>
    <n v="175400"/>
    <d v="2023-09-16T00:00:00"/>
    <x v="48"/>
    <n v="9"/>
    <n v="2023"/>
  </r>
  <r>
    <n v="127"/>
    <s v="KV100"/>
    <s v="Khăn Napkin Toply 100 tờ x 48 gói"/>
    <s v="Gói"/>
    <n v="345600"/>
    <n v="5"/>
    <n v="48"/>
    <n v="521000"/>
    <n v="175400"/>
    <d v="2023-09-16T00:00:00"/>
    <x v="49"/>
    <n v="9"/>
    <n v="2023"/>
  </r>
  <r>
    <n v="128"/>
    <s v="CC16"/>
    <s v="Cacao Passion 3 in 1 (16g x 10s x 80 dây)"/>
    <s v="Dây"/>
    <n v="138000"/>
    <n v="0"/>
    <n v="6"/>
    <n v="162000"/>
    <n v="24000"/>
    <d v="2023-09-16T00:00:00"/>
    <x v="50"/>
    <n v="9"/>
    <n v="2023"/>
  </r>
  <r>
    <n v="129"/>
    <s v="HM600"/>
    <s v="HIMA Yến Huyết 6 lọ x 6 hộp"/>
    <s v="Hộp"/>
    <n v="1215000"/>
    <n v="0"/>
    <n v="6"/>
    <n v="1620000"/>
    <n v="405000"/>
    <d v="2023-09-16T00:00:00"/>
    <x v="50"/>
    <n v="9"/>
    <n v="2023"/>
  </r>
  <r>
    <n v="130"/>
    <s v="HM601"/>
    <s v="HIMA DAILY (new) 6 lọ x 6 hộp"/>
    <s v="Hộp"/>
    <n v="1152000"/>
    <n v="0"/>
    <n v="6"/>
    <n v="1440000"/>
    <n v="288000"/>
    <d v="2023-09-16T00:00:00"/>
    <x v="50"/>
    <n v="9"/>
    <n v="2023"/>
  </r>
  <r>
    <n v="131"/>
    <s v="HM607"/>
    <s v="Yến sào Seunest KĐ xanh x 6 hộp"/>
    <s v="Hộp"/>
    <n v="0"/>
    <n v="6"/>
    <n v="0"/>
    <n v="-720000"/>
    <n v="-720000"/>
    <d v="2023-09-16T00:00:00"/>
    <x v="50"/>
    <n v="9"/>
    <n v="2023"/>
  </r>
  <r>
    <n v="132"/>
    <s v="HM608"/>
    <s v="Yến sào Seunest CĐ vàng x 6 hộp"/>
    <s v="Hộp"/>
    <n v="0"/>
    <n v="6"/>
    <n v="0"/>
    <n v="-720000"/>
    <n v="-720000"/>
    <d v="2023-09-16T00:00:00"/>
    <x v="50"/>
    <n v="9"/>
    <n v="2023"/>
  </r>
  <r>
    <n v="133"/>
    <s v="HM609"/>
    <s v="HIMA Hoa Hồng 35% yến 6 lọ x 6 hộp"/>
    <s v="Hộp"/>
    <n v="900000"/>
    <n v="0"/>
    <n v="6"/>
    <n v="1308000"/>
    <n v="408000"/>
    <d v="2023-09-16T00:00:00"/>
    <x v="50"/>
    <n v="9"/>
    <n v="2023"/>
  </r>
  <r>
    <n v="134"/>
    <s v="HM610"/>
    <s v="Yến sào Finenest CĐ đỏ x 6 hộp"/>
    <s v="Hộp"/>
    <n v="600000"/>
    <n v="0"/>
    <n v="6"/>
    <n v="1308000"/>
    <n v="708000"/>
    <d v="2023-09-16T00:00:00"/>
    <x v="50"/>
    <n v="9"/>
    <n v="2023"/>
  </r>
  <r>
    <n v="135"/>
    <s v="KMKLR4N"/>
    <s v="Kệ lắp ráp 3 tầng 30cm x 35cm x 70cm x 1,2m"/>
    <s v="Bộ"/>
    <n v="0"/>
    <n v="0"/>
    <n v="0"/>
    <n v="0"/>
    <n v="0"/>
    <d v="2023-09-16T00:00:00"/>
    <x v="50"/>
    <n v="9"/>
    <n v="2023"/>
  </r>
  <r>
    <n v="136"/>
    <s v="KV1009"/>
    <s v="Khăn Napkin TiOne Gấu 100 tờ x 48 gói"/>
    <s v="Gói"/>
    <n v="1440000"/>
    <n v="0"/>
    <n v="240"/>
    <n v="1920000"/>
    <n v="480000"/>
    <d v="2023-09-16T00:00:00"/>
    <x v="50"/>
    <n v="9"/>
    <n v="2023"/>
  </r>
  <r>
    <n v="137"/>
    <s v="KV100"/>
    <s v="Khăn Napkin Toply 100 tờ x 48 gói"/>
    <s v="Gói"/>
    <n v="345600"/>
    <n v="5"/>
    <n v="48"/>
    <n v="526000"/>
    <n v="180400"/>
    <d v="2023-09-16T00:00:00"/>
    <x v="51"/>
    <n v="9"/>
    <n v="2023"/>
  </r>
  <r>
    <n v="138"/>
    <s v="NG3600"/>
    <s v="Nước giặt Kimono 6 in 1 (tím) x 3,6kg x 4 bình"/>
    <s v="Bình"/>
    <n v="182500"/>
    <n v="0"/>
    <n v="2"/>
    <n v="260000"/>
    <n v="77500"/>
    <d v="2023-09-16T00:00:00"/>
    <x v="51"/>
    <n v="9"/>
    <n v="2023"/>
  </r>
  <r>
    <n v="139"/>
    <s v="NG36002"/>
    <s v="Nước giặt Kimono 6 in 1 (đen) x 3,6kg x 4 bình"/>
    <s v="Bình"/>
    <n v="182500"/>
    <n v="0"/>
    <n v="2"/>
    <n v="260000"/>
    <n v="77500"/>
    <d v="2023-09-16T00:00:00"/>
    <x v="51"/>
    <n v="9"/>
    <n v="2023"/>
  </r>
  <r>
    <n v="140"/>
    <s v="KV1009"/>
    <s v="Khăn Napkin TiOne Gấu 100 tờ x 48 gói"/>
    <s v="Gói"/>
    <n v="288000"/>
    <n v="0"/>
    <n v="48"/>
    <n v="360000"/>
    <n v="72000"/>
    <d v="2023-09-16T00:00:00"/>
    <x v="52"/>
    <n v="9"/>
    <n v="2023"/>
  </r>
  <r>
    <n v="141"/>
    <s v="GC603"/>
    <s v="GVS Ruby Gold 6 cuộn (không lõi) x 12 cây"/>
    <s v="Cây"/>
    <n v="300000"/>
    <n v="1"/>
    <n v="12"/>
    <n v="409000"/>
    <n v="109000"/>
    <d v="2023-09-16T00:00:00"/>
    <x v="53"/>
    <n v="9"/>
    <n v="2023"/>
  </r>
  <r>
    <n v="142"/>
    <s v="KU80"/>
    <s v="Khăn ướt đa năng Begin 80g x 20 gói"/>
    <s v="Gói"/>
    <n v="111000"/>
    <n v="0"/>
    <n v="6"/>
    <n v="162000"/>
    <n v="51000"/>
    <d v="2023-09-16T00:00:00"/>
    <x v="53"/>
    <n v="9"/>
    <n v="2023"/>
  </r>
  <r>
    <n v="143"/>
    <s v="NLSDN280"/>
    <s v="Sữa đậu nành nguyên chất 280ml x 24 chai"/>
    <s v="Thùng"/>
    <n v="162000"/>
    <n v="0"/>
    <n v="1"/>
    <n v="180000"/>
    <n v="18000"/>
    <d v="2023-09-16T00:00:00"/>
    <x v="53"/>
    <n v="9"/>
    <n v="2023"/>
  </r>
  <r>
    <n v="144"/>
    <s v="TC301"/>
    <s v="Tăm chỉ nha khoa 30 chiếc x 10 hộp"/>
    <s v="Hộp"/>
    <n v="110000"/>
    <n v="0"/>
    <n v="10"/>
    <n v="160000"/>
    <n v="50000"/>
    <d v="2023-09-16T00:00:00"/>
    <x v="53"/>
    <n v="9"/>
    <n v="2023"/>
  </r>
  <r>
    <n v="145"/>
    <s v="KMNL7731"/>
    <s v="Nồi lẩu điện Comet 7731"/>
    <s v="Cái"/>
    <n v="0"/>
    <n v="1"/>
    <n v="0"/>
    <n v="-370000"/>
    <n v="-370000"/>
    <d v="2023-09-16T00:00:00"/>
    <x v="10"/>
    <n v="9"/>
    <n v="2023"/>
  </r>
  <r>
    <n v="146"/>
    <s v="KU1506"/>
    <s v="Khăn ướt Lovely (khổ lớn) 150g x 30 gói"/>
    <s v="Gói"/>
    <n v="855000"/>
    <n v="0"/>
    <n v="90"/>
    <n v="1620000"/>
    <n v="765000"/>
    <d v="2023-09-16T00:00:00"/>
    <x v="10"/>
    <n v="9"/>
    <n v="2023"/>
  </r>
  <r>
    <n v="147"/>
    <s v="KV1009"/>
    <s v="Khăn Napkin TiOne Gấu 100 tờ x 48 gói"/>
    <s v="Gói"/>
    <n v="288000"/>
    <n v="0"/>
    <n v="48"/>
    <n v="408000"/>
    <n v="120000"/>
    <d v="2023-09-16T00:00:00"/>
    <x v="54"/>
    <n v="9"/>
    <n v="2023"/>
  </r>
  <r>
    <n v="148"/>
    <s v="SD1000"/>
    <s v="Sữa đặc Creamer có đường 1kg x 24 lon"/>
    <s v="Lon"/>
    <n v="820800"/>
    <n v="0"/>
    <n v="24"/>
    <n v="840000"/>
    <n v="19200"/>
    <d v="2023-09-16T00:00:00"/>
    <x v="54"/>
    <n v="9"/>
    <n v="2023"/>
  </r>
  <r>
    <n v="149"/>
    <s v="A1K15"/>
    <s v="Kẹo bạc hà (chanh muối) Himalaya 15g x 12 gói x 12 hộp"/>
    <s v="Hộp"/>
    <n v="362268"/>
    <n v="1"/>
    <n v="6"/>
    <n v="340000"/>
    <n v="-22268"/>
    <d v="2023-09-16T00:00:00"/>
    <x v="55"/>
    <n v="9"/>
    <n v="2023"/>
  </r>
  <r>
    <n v="150"/>
    <s v="BSOGI12"/>
    <s v="Bánh SOGI CHOCOLATE 12g x 24 cây x 6 hủ"/>
    <s v="Hủ"/>
    <n v="63000"/>
    <n v="0"/>
    <n v="1"/>
    <n v="70000"/>
    <n v="7000"/>
    <d v="2023-09-16T00:00:00"/>
    <x v="56"/>
    <n v="9"/>
    <n v="2023"/>
  </r>
  <r>
    <n v="151"/>
    <s v="BSOGI121"/>
    <s v="Bánh SOGI CHOCOLATE WITH STRAWBERRY CREAM 12g x 24 cây x 6 hủ"/>
    <s v="Hủ"/>
    <n v="63000"/>
    <n v="0"/>
    <n v="1"/>
    <n v="70000"/>
    <n v="7000"/>
    <d v="2023-09-16T00:00:00"/>
    <x v="56"/>
    <n v="9"/>
    <n v="2023"/>
  </r>
  <r>
    <n v="152"/>
    <s v="CG501"/>
    <s v="Chân gà cay ăn liền ZL FOOD Acao 50g x 30 x 7 túi"/>
    <s v="Cái"/>
    <n v="165000"/>
    <n v="0"/>
    <n v="30"/>
    <n v="195000"/>
    <n v="30000"/>
    <d v="2023-09-16T00:00:00"/>
    <x v="56"/>
    <n v="9"/>
    <n v="2023"/>
  </r>
  <r>
    <n v="153"/>
    <s v="HM605"/>
    <s v="HIMA Canxi &amp; Cơ Xương Khớp KĐ 6 lọ x 6 hộp"/>
    <s v="Hộp"/>
    <n v="900000"/>
    <n v="0"/>
    <n v="6"/>
    <n v="1500000"/>
    <n v="600000"/>
    <d v="2023-09-16T00:00:00"/>
    <x v="56"/>
    <n v="9"/>
    <n v="2023"/>
  </r>
  <r>
    <n v="154"/>
    <s v="HM607"/>
    <s v="Yến sào Seunest KĐ xanh x 6 hộp"/>
    <s v="Hộp"/>
    <n v="0"/>
    <n v="6"/>
    <n v="0"/>
    <n v="-720000"/>
    <n v="-720000"/>
    <d v="2023-09-16T00:00:00"/>
    <x v="56"/>
    <n v="9"/>
    <n v="2023"/>
  </r>
  <r>
    <n v="155"/>
    <s v="HM608"/>
    <s v="Yến sào Seunest CĐ vàng x 6 hộp"/>
    <s v="Hộp"/>
    <n v="0"/>
    <n v="12"/>
    <n v="0"/>
    <n v="-1440000"/>
    <n v="-1440000"/>
    <d v="2023-09-16T00:00:00"/>
    <x v="56"/>
    <n v="9"/>
    <n v="2023"/>
  </r>
  <r>
    <n v="156"/>
    <s v="HM610"/>
    <s v="Yến sào Finenest CĐ đỏ x 6 hộp"/>
    <s v="Hộp"/>
    <n v="600000"/>
    <n v="0"/>
    <n v="6"/>
    <n v="1308000"/>
    <n v="708000"/>
    <d v="2023-09-16T00:00:00"/>
    <x v="56"/>
    <n v="9"/>
    <n v="2023"/>
  </r>
  <r>
    <n v="157"/>
    <s v="HM611"/>
    <s v="Yến sào Seunest Huyết x 6 hộp"/>
    <s v="Hộp"/>
    <n v="660000"/>
    <n v="0"/>
    <n v="6"/>
    <n v="1368000"/>
    <n v="708000"/>
    <d v="2023-09-16T00:00:00"/>
    <x v="56"/>
    <n v="9"/>
    <n v="2023"/>
  </r>
  <r>
    <n v="158"/>
    <s v="TB10003"/>
    <s v="Tăm bông thân trúc túi 100 cây x 24 túi"/>
    <s v="Túi"/>
    <n v="147000"/>
    <n v="5"/>
    <n v="24"/>
    <n v="180000"/>
    <n v="33000"/>
    <d v="2023-09-16T00:00:00"/>
    <x v="56"/>
    <n v="9"/>
    <n v="2023"/>
  </r>
  <r>
    <n v="159"/>
    <s v="TT01"/>
    <s v="Thanh toán lần 1"/>
    <s v="VNĐ"/>
    <n v="0"/>
    <n v="0"/>
    <n v="0"/>
    <n v="-1356000"/>
    <n v="-1356000"/>
    <d v="2023-09-16T00:00:00"/>
    <x v="56"/>
    <n v="9"/>
    <n v="2023"/>
  </r>
  <r>
    <n v="160"/>
    <s v="XM6007"/>
    <s v="Xịt muỗi 600ml x 30 chai"/>
    <s v="Chai"/>
    <n v="540000"/>
    <n v="0"/>
    <n v="30"/>
    <n v="630000"/>
    <n v="90000"/>
    <d v="2023-09-16T00:00:00"/>
    <x v="56"/>
    <n v="9"/>
    <n v="2023"/>
  </r>
  <r>
    <n v="161"/>
    <s v="SD1000"/>
    <s v="Sữa đặc Creamer có đường 1kg x 24 lon"/>
    <s v="Lon"/>
    <n v="820800"/>
    <n v="0"/>
    <n v="24"/>
    <n v="816000"/>
    <n v="-4800"/>
    <d v="2023-09-16T00:00:00"/>
    <x v="57"/>
    <n v="9"/>
    <n v="2023"/>
  </r>
  <r>
    <n v="162"/>
    <s v="KTN3001"/>
    <s v="Kẹo Trang Nghiêm DÂU TÂY hộp 200g x 24 hộp/thùng"/>
    <s v="Hộp"/>
    <n v="58000"/>
    <n v="0"/>
    <n v="4"/>
    <n v="56000"/>
    <n v="-2000"/>
    <d v="2023-09-16T00:00:00"/>
    <x v="58"/>
    <n v="9"/>
    <n v="2023"/>
  </r>
  <r>
    <n v="163"/>
    <s v="KTN3002"/>
    <s v="Kẹo Trang Nghiêm DÂU TẰM hộp 200g x 24 hộp/thùng"/>
    <s v="Hộp"/>
    <n v="58000"/>
    <n v="0"/>
    <n v="4"/>
    <n v="56000"/>
    <n v="-2000"/>
    <d v="2023-09-16T00:00:00"/>
    <x v="58"/>
    <n v="9"/>
    <n v="2023"/>
  </r>
  <r>
    <n v="164"/>
    <s v="KTN3003"/>
    <s v="Kẹo Trang Nghiêm ME ỚT hộp 200g x 24 hộp/thùng"/>
    <s v="Hộp"/>
    <n v="58000"/>
    <n v="0"/>
    <n v="4"/>
    <n v="56000"/>
    <n v="-2000"/>
    <d v="2023-09-16T00:00:00"/>
    <x v="58"/>
    <n v="9"/>
    <n v="2023"/>
  </r>
  <r>
    <n v="165"/>
    <s v="TBME500"/>
    <s v="Nước Me ThaiLan (Pet) 500ml x 24 chai"/>
    <s v="Thùng"/>
    <n v="163485"/>
    <n v="0"/>
    <n v="1"/>
    <n v="175000"/>
    <n v="11515"/>
    <d v="2023-09-16T00:00:00"/>
    <x v="58"/>
    <n v="9"/>
    <n v="2023"/>
  </r>
  <r>
    <n v="166"/>
    <s v="GC32"/>
    <s v="Giấy cân 32 (1kg x 10 bịch)"/>
    <s v="Bịch"/>
    <n v="504000"/>
    <n v="2"/>
    <n v="12"/>
    <n v="473000"/>
    <n v="-31000"/>
    <d v="2023-09-21T00:00:00"/>
    <x v="59"/>
    <n v="9"/>
    <n v="2023"/>
  </r>
  <r>
    <n v="167"/>
    <s v="GC606"/>
    <s v="GVS TiOne Gấu 6 cuộn x 12 cây"/>
    <s v="Cây"/>
    <n v="620016"/>
    <n v="4"/>
    <n v="24"/>
    <n v="762000"/>
    <n v="141984"/>
    <d v="2023-09-23T00:00:00"/>
    <x v="15"/>
    <n v="9"/>
    <n v="2023"/>
  </r>
  <r>
    <n v="168"/>
    <s v="SBOMGROW900"/>
    <s v="SURE OMEGA-GROW IQ 900G"/>
    <s v="Lon"/>
    <n v="637200"/>
    <n v="0"/>
    <n v="3"/>
    <n v="716400"/>
    <n v="79200"/>
    <d v="2023-09-23T00:00:00"/>
    <x v="15"/>
    <n v="9"/>
    <n v="2023"/>
  </r>
  <r>
    <n v="169"/>
    <s v="GC1202"/>
    <s v="GVS Toply 12 cuộn x 12 cây"/>
    <s v="Cây"/>
    <n v="467508"/>
    <n v="1"/>
    <n v="12"/>
    <n v="444000"/>
    <n v="-23508"/>
    <d v="2023-09-23T00:00:00"/>
    <x v="39"/>
    <n v="9"/>
    <n v="2023"/>
  </r>
  <r>
    <n v="170"/>
    <s v="GC606"/>
    <s v="GVS TiOne Gấu 6 cuộn x 12 cây"/>
    <s v="Cây"/>
    <n v="620016"/>
    <n v="4"/>
    <n v="24"/>
    <n v="762000"/>
    <n v="141984"/>
    <d v="2023-09-23T00:00:00"/>
    <x v="17"/>
    <n v="9"/>
    <n v="2023"/>
  </r>
  <r>
    <n v="171"/>
    <s v="A1K15"/>
    <s v="Kẹo bạc hà (chanh muối) Himalaya 15g x 12 gói x 12 hộp"/>
    <s v="Hộp"/>
    <n v="301890"/>
    <n v="0"/>
    <n v="5"/>
    <n v="260000"/>
    <n v="-41890"/>
    <d v="2023-09-23T00:00:00"/>
    <x v="60"/>
    <n v="9"/>
    <n v="2023"/>
  </r>
  <r>
    <n v="172"/>
    <s v="KDL01"/>
    <s v="Khăn giấy bỏ túi Paseo 9 tờ x 6 gói/cây x 40 cây"/>
    <s v="Cây"/>
    <n v="98280"/>
    <n v="0"/>
    <n v="10"/>
    <n v="115000"/>
    <n v="16720"/>
    <d v="2023-09-23T00:00:00"/>
    <x v="61"/>
    <n v="9"/>
    <n v="2023"/>
  </r>
  <r>
    <n v="173"/>
    <s v="KV100"/>
    <s v="Khăn Napkin Toply 100 tờ x 48 gói"/>
    <s v="Gói"/>
    <n v="1728000"/>
    <n v="0"/>
    <n v="240"/>
    <n v="2880000"/>
    <n v="1152000"/>
    <d v="2023-09-23T00:00:00"/>
    <x v="61"/>
    <n v="9"/>
    <n v="2023"/>
  </r>
  <r>
    <n v="174"/>
    <s v="TBTE1001"/>
    <s v="Tăm bông thân nhựa TE túi 100 cây x 24 túi"/>
    <s v="Túi"/>
    <n v="378000"/>
    <n v="12"/>
    <n v="72"/>
    <n v="432000"/>
    <n v="54000"/>
    <d v="2023-09-23T00:00:00"/>
    <x v="19"/>
    <n v="9"/>
    <n v="2023"/>
  </r>
  <r>
    <n v="175"/>
    <s v="A1Y600"/>
    <s v="A1 Yến đường phèn 70ml x 6 lọ x 6 hộp"/>
    <s v="Hộp"/>
    <n v="3000000"/>
    <n v="6"/>
    <n v="12"/>
    <n v="3360000"/>
    <n v="360000"/>
    <d v="2023-09-23T00:00:00"/>
    <x v="62"/>
    <n v="9"/>
    <n v="2023"/>
  </r>
  <r>
    <n v="176"/>
    <s v="KMBTIGER"/>
    <s v="Bia Tiger lon"/>
    <s v="Thùng"/>
    <n v="0"/>
    <n v="1"/>
    <n v="0"/>
    <n v="-375000"/>
    <n v="-375000"/>
    <d v="2023-09-23T00:00:00"/>
    <x v="62"/>
    <n v="9"/>
    <n v="2023"/>
  </r>
  <r>
    <n v="177"/>
    <s v="KV320"/>
    <s v="Khăn Napkin Fairy 320 x 100 tờ x 48 gói"/>
    <s v="Gói"/>
    <n v="1056000"/>
    <n v="0"/>
    <n v="96"/>
    <n v="912000"/>
    <n v="-144000"/>
    <d v="2023-09-23T00:00:00"/>
    <x v="5"/>
    <n v="9"/>
    <n v="2023"/>
  </r>
  <r>
    <n v="178"/>
    <s v="GC606"/>
    <s v="GVS TiOne Gấu 6 cuộn x 12 cây"/>
    <s v="Cây"/>
    <n v="310008"/>
    <n v="1"/>
    <n v="12"/>
    <n v="410000"/>
    <n v="99992"/>
    <d v="2023-09-23T00:00:00"/>
    <x v="44"/>
    <n v="9"/>
    <n v="2023"/>
  </r>
  <r>
    <n v="179"/>
    <s v="BCN189"/>
    <s v="BC KAKA NANO N189 x 30 x 10 hộp"/>
    <s v="Cây"/>
    <n v="144000"/>
    <n v="0"/>
    <n v="30"/>
    <n v="210000"/>
    <n v="66000"/>
    <d v="2023-09-23T00:00:00"/>
    <x v="63"/>
    <n v="9"/>
    <n v="2023"/>
  </r>
  <r>
    <n v="180"/>
    <s v="BCX6"/>
    <s v="BC KAKA NANO X6 x 20 x 15 lốc"/>
    <s v="Cây"/>
    <n v="40000"/>
    <n v="0"/>
    <n v="20"/>
    <n v="140000"/>
    <n v="100000"/>
    <d v="2023-09-23T00:00:00"/>
    <x v="63"/>
    <n v="9"/>
    <n v="2023"/>
  </r>
  <r>
    <n v="181"/>
    <s v="GC106"/>
    <s v="GVS Ruby (HQ) 10 cuộn x 8kg"/>
    <s v="Cây"/>
    <n v="180000"/>
    <n v="0"/>
    <n v="10"/>
    <n v="220000"/>
    <n v="40000"/>
    <d v="2023-09-23T00:00:00"/>
    <x v="64"/>
    <n v="9"/>
    <n v="2023"/>
  </r>
  <r>
    <n v="182"/>
    <s v="GC612"/>
    <s v="GVS GLEE 6 cuộn x 12 cây"/>
    <s v="Cây"/>
    <n v="265008"/>
    <n v="0"/>
    <n v="12"/>
    <n v="360000"/>
    <n v="94992"/>
    <d v="2023-09-23T00:00:00"/>
    <x v="64"/>
    <n v="9"/>
    <n v="2023"/>
  </r>
  <r>
    <n v="183"/>
    <s v="KV1011"/>
    <s v="Khăn Napkin EMos x 30 gói"/>
    <s v="Gói"/>
    <n v="200010"/>
    <n v="0"/>
    <n v="30"/>
    <n v="210000"/>
    <n v="9990"/>
    <d v="2023-09-23T00:00:00"/>
    <x v="64"/>
    <n v="9"/>
    <n v="2023"/>
  </r>
  <r>
    <n v="184"/>
    <s v="KV100"/>
    <s v="Khăn Napkin Toply 100 tờ x 48 gói"/>
    <s v="Gói"/>
    <n v="345600"/>
    <n v="4"/>
    <n v="48"/>
    <n v="532000"/>
    <n v="186400"/>
    <d v="2023-09-23T00:00:00"/>
    <x v="20"/>
    <n v="9"/>
    <n v="2023"/>
  </r>
  <r>
    <n v="185"/>
    <s v="TC1000"/>
    <s v="Thông cống 1L x 18 chai"/>
    <s v="Chai"/>
    <n v="131112"/>
    <n v="1"/>
    <n v="8"/>
    <n v="178000"/>
    <n v="46888"/>
    <d v="2023-09-23T00:00:00"/>
    <x v="52"/>
    <n v="9"/>
    <n v="2023"/>
  </r>
  <r>
    <n v="186"/>
    <s v="HM607"/>
    <s v="Yến sào Seunest KĐ xanh x 6 hộp"/>
    <s v="Hộp"/>
    <n v="0"/>
    <n v="6"/>
    <n v="0"/>
    <n v="-660000"/>
    <n v="-660000"/>
    <d v="2023-09-23T00:00:00"/>
    <x v="65"/>
    <n v="9"/>
    <n v="2023"/>
  </r>
  <r>
    <n v="187"/>
    <s v="HM610"/>
    <s v="Yến sào Finenest CĐ đỏ x 6 hộp"/>
    <s v="Hộp"/>
    <n v="600000"/>
    <n v="0"/>
    <n v="6"/>
    <n v="1308000"/>
    <n v="708000"/>
    <d v="2023-09-23T00:00:00"/>
    <x v="65"/>
    <n v="9"/>
    <n v="2023"/>
  </r>
  <r>
    <n v="188"/>
    <s v="TNS1"/>
    <s v="Tẩy toilet Nam Sơn NK 100% 1L x 12 chai"/>
    <s v="Chai"/>
    <n v="190008"/>
    <n v="0"/>
    <n v="12"/>
    <n v="312000"/>
    <n v="121992"/>
    <d v="2023-09-23T00:00:00"/>
    <x v="66"/>
    <n v="9"/>
    <n v="2023"/>
  </r>
  <r>
    <n v="189"/>
    <s v="KV1001"/>
    <s v="Khăn Napkin Ruby Gold 100 tờ x 30 gói"/>
    <s v="Gói"/>
    <n v="225000"/>
    <n v="0"/>
    <n v="30"/>
    <n v="330000"/>
    <n v="105000"/>
    <d v="2023-09-23T00:00:00"/>
    <x v="10"/>
    <n v="9"/>
    <n v="2023"/>
  </r>
  <r>
    <n v="190"/>
    <s v="KV1002"/>
    <s v="Khăn Napkin TiOne nâu 100 tờ x 30 gói"/>
    <s v="Gói"/>
    <n v="0"/>
    <n v="5"/>
    <n v="0"/>
    <n v="-50000"/>
    <n v="-50000"/>
    <d v="2023-09-23T00:00:00"/>
    <x v="10"/>
    <n v="9"/>
    <n v="2023"/>
  </r>
  <r>
    <n v="191"/>
    <s v="VMS002"/>
    <s v="VM Kẹo Thạch 500g (500g x 20 túi)"/>
    <s v="Túi"/>
    <n v="232810"/>
    <n v="0"/>
    <n v="10"/>
    <n v="325000"/>
    <n v="92190"/>
    <d v="2023-09-23T00:00:00"/>
    <x v="10"/>
    <n v="9"/>
    <n v="2023"/>
  </r>
  <r>
    <n v="192"/>
    <s v="TC1000"/>
    <s v="Thông cống 1L x 18 chai"/>
    <s v="Chai"/>
    <n v="131112"/>
    <n v="1"/>
    <n v="8"/>
    <n v="178000"/>
    <n v="46888"/>
    <d v="2023-09-23T00:00:00"/>
    <x v="67"/>
    <n v="9"/>
    <n v="2023"/>
  </r>
  <r>
    <n v="193"/>
    <s v="KV1011"/>
    <s v="Khăn Napkin EMos x 30 gói"/>
    <s v="Gói"/>
    <n v="200010"/>
    <n v="0"/>
    <n v="30"/>
    <n v="240000"/>
    <n v="39990"/>
    <d v="2023-09-23T00:00:00"/>
    <x v="12"/>
    <n v="9"/>
    <n v="2023"/>
  </r>
  <r>
    <n v="194"/>
    <s v="HM10"/>
    <s v="Yến sào Finenest nhân sâm x 10 hộp"/>
    <s v="Hộp"/>
    <n v="0"/>
    <n v="0"/>
    <n v="0"/>
    <n v="0"/>
    <n v="0"/>
    <d v="2023-09-23T00:00:00"/>
    <x v="68"/>
    <n v="9"/>
    <n v="2023"/>
  </r>
  <r>
    <n v="195"/>
    <s v="HM608"/>
    <s v="Yến sào Seunest CĐ vàng x 6 hộp"/>
    <s v="Hộp"/>
    <n v="0"/>
    <n v="0"/>
    <n v="0"/>
    <n v="0"/>
    <n v="0"/>
    <d v="2023-09-23T00:00:00"/>
    <x v="68"/>
    <n v="9"/>
    <n v="2023"/>
  </r>
  <r>
    <n v="196"/>
    <s v="NRC400"/>
    <s v="NRC 107 - 400ml x 24 chai"/>
    <s v="Chai"/>
    <n v="0"/>
    <n v="0"/>
    <n v="0"/>
    <n v="0"/>
    <n v="0"/>
    <d v="2023-09-26T00:00:00"/>
    <x v="69"/>
    <n v="9"/>
    <n v="2023"/>
  </r>
  <r>
    <n v="197"/>
    <s v="NRC400"/>
    <s v="NRC 107 - 400ml x 24 chai"/>
    <s v="Chai"/>
    <n v="950880"/>
    <n v="0"/>
    <n v="120"/>
    <n v="1380000"/>
    <n v="429120"/>
    <d v="2023-09-27T00:00:00"/>
    <x v="69"/>
    <n v="9"/>
    <n v="2023"/>
  </r>
  <r>
    <n v="198"/>
    <s v="HTBD12"/>
    <s v="Bánh đũa Gap Dâu tây 12g x 12 hộp x 12"/>
    <s v="Hộp"/>
    <n v="42084"/>
    <n v="0"/>
    <n v="1"/>
    <n v="48000"/>
    <n v="5916"/>
    <d v="2023-09-28T00:00:00"/>
    <x v="33"/>
    <n v="9"/>
    <n v="2023"/>
  </r>
  <r>
    <n v="199"/>
    <s v="HTBD121"/>
    <s v="Bánh đũa Gap Sô cô la 12g x 12 hộp x 12"/>
    <s v="Hộp"/>
    <n v="42084"/>
    <n v="0"/>
    <n v="1"/>
    <n v="48000"/>
    <n v="5916"/>
    <d v="2023-09-28T00:00:00"/>
    <x v="33"/>
    <n v="9"/>
    <n v="2023"/>
  </r>
  <r>
    <n v="200"/>
    <s v="NLREDBULL1"/>
    <s v="RedBull ThaiLan"/>
    <s v="Block"/>
    <n v="0"/>
    <n v="0"/>
    <n v="0"/>
    <n v="0"/>
    <n v="0"/>
    <d v="2023-09-28T00:00:00"/>
    <x v="33"/>
    <n v="9"/>
    <n v="2023"/>
  </r>
  <r>
    <n v="201"/>
    <s v="KGC10"/>
    <s v="KHÔ GÀ CAY - 10 GR x 500 gói"/>
    <s v="Gói"/>
    <n v="90000"/>
    <n v="0"/>
    <n v="25"/>
    <n v="100000"/>
    <n v="10000"/>
    <d v="2023-09-28T00:00:00"/>
    <x v="70"/>
    <n v="9"/>
    <n v="2023"/>
  </r>
  <r>
    <n v="202"/>
    <s v="KGLC10"/>
    <s v="KHÔ GÀ LÁ CHANH - 10 GR x 500 gói"/>
    <s v="Gói"/>
    <n v="90000"/>
    <n v="0"/>
    <n v="25"/>
    <n v="100000"/>
    <n v="10000"/>
    <d v="2023-09-28T00:00:00"/>
    <x v="70"/>
    <n v="9"/>
    <n v="2023"/>
  </r>
  <r>
    <n v="203"/>
    <s v="KL100"/>
    <s v="Khăn lạnh Happy Life dày (xanh lá) 20 cái x 100 túi"/>
    <s v="Túi"/>
    <n v="22000"/>
    <n v="0"/>
    <n v="5"/>
    <n v="30000"/>
    <n v="8000"/>
    <d v="2023-09-28T00:00:00"/>
    <x v="70"/>
    <n v="9"/>
    <n v="2023"/>
  </r>
  <r>
    <n v="204"/>
    <s v="KTN802"/>
    <s v="Kẹo Trang Nghiêm ME ỚT 80gr x 100 gói/thùng"/>
    <s v="Gói"/>
    <n v="105000"/>
    <n v="0"/>
    <n v="20"/>
    <n v="140000"/>
    <n v="35000"/>
    <d v="2023-09-28T00:00:00"/>
    <x v="70"/>
    <n v="9"/>
    <n v="2023"/>
  </r>
  <r>
    <n v="205"/>
    <s v="KU801"/>
    <s v="Khăn ướt Baby (đỏ) 80g x 50 gói"/>
    <s v="Gói"/>
    <n v="40000"/>
    <n v="0"/>
    <n v="10"/>
    <n v="65000"/>
    <n v="25000"/>
    <d v="2023-09-28T00:00:00"/>
    <x v="70"/>
    <n v="9"/>
    <n v="2023"/>
  </r>
  <r>
    <n v="206"/>
    <s v="KU802"/>
    <s v="Khăn ướt TiOne 80g x 40 gói"/>
    <s v="Gói"/>
    <n v="55000"/>
    <n v="0"/>
    <n v="10"/>
    <n v="65000"/>
    <n v="10000"/>
    <d v="2023-09-28T00:00:00"/>
    <x v="70"/>
    <n v="9"/>
    <n v="2023"/>
  </r>
  <r>
    <n v="207"/>
    <s v="NG5000"/>
    <s v="Nước giặt Kimono 6 in 1 vuông (tím) 5Kg x 4 bình"/>
    <s v="Bình"/>
    <n v="115000"/>
    <n v="0"/>
    <n v="1"/>
    <n v="168000"/>
    <n v="53000"/>
    <d v="2023-09-28T00:00:00"/>
    <x v="70"/>
    <n v="9"/>
    <n v="2023"/>
  </r>
  <r>
    <n v="208"/>
    <s v="NG50002"/>
    <s v="Nước giặt Kimono 6 in 1 vuông (đen) 5kg x 4 bình"/>
    <s v="Bình"/>
    <n v="115000"/>
    <n v="0"/>
    <n v="1"/>
    <n v="168000"/>
    <n v="53000"/>
    <d v="2023-09-28T00:00:00"/>
    <x v="70"/>
    <n v="9"/>
    <n v="2023"/>
  </r>
  <r>
    <n v="209"/>
    <s v="NGT3600"/>
    <s v="Nước giặt Kimono (đen) 3,6kg x 5 túi"/>
    <s v="Túi"/>
    <n v="74000"/>
    <n v="0"/>
    <n v="1"/>
    <n v="108000"/>
    <n v="34000"/>
    <d v="2023-09-28T00:00:00"/>
    <x v="70"/>
    <n v="9"/>
    <n v="2023"/>
  </r>
  <r>
    <n v="210"/>
    <s v="NGT36001"/>
    <s v="Nước giặt Kimono (tím) 3,6kg x 5 túi"/>
    <s v="Túi"/>
    <n v="74000"/>
    <n v="0"/>
    <n v="1"/>
    <n v="108000"/>
    <n v="34000"/>
    <d v="2023-09-28T00:00:00"/>
    <x v="70"/>
    <n v="9"/>
    <n v="2023"/>
  </r>
  <r>
    <n v="211"/>
    <s v="KU802"/>
    <s v="Khăn ướt TiOne 80g x 40 gói"/>
    <s v="Gói"/>
    <n v="55000"/>
    <n v="0"/>
    <n v="10"/>
    <n v="60000"/>
    <n v="5000"/>
    <d v="2023-09-28T00:00:00"/>
    <x v="71"/>
    <n v="9"/>
    <n v="2023"/>
  </r>
  <r>
    <n v="212"/>
    <s v="KV1007"/>
    <s v="Khăn Napkin An An 100 tờ x 40 gói"/>
    <s v="Gói"/>
    <n v="67500"/>
    <n v="0"/>
    <n v="10"/>
    <n v="75000"/>
    <n v="7500"/>
    <d v="2023-09-28T00:00:00"/>
    <x v="71"/>
    <n v="9"/>
    <n v="2023"/>
  </r>
  <r>
    <n v="213"/>
    <s v="KV1011"/>
    <s v="Khăn Napkin EMos x 30 gói"/>
    <s v="Gói"/>
    <n v="66670"/>
    <n v="0"/>
    <n v="10"/>
    <n v="75000"/>
    <n v="8330"/>
    <d v="2023-09-28T00:00:00"/>
    <x v="71"/>
    <n v="9"/>
    <n v="2023"/>
  </r>
  <r>
    <n v="214"/>
    <s v="CG50"/>
    <s v="Chân gà cay ăn liền ZL FOOD loại 50g x 30 x 7 túi"/>
    <s v="Cái"/>
    <n v="82500"/>
    <n v="0"/>
    <n v="15"/>
    <n v="97500"/>
    <n v="15000"/>
    <d v="2023-09-28T00:00:00"/>
    <x v="72"/>
    <n v="9"/>
    <n v="2023"/>
  </r>
  <r>
    <n v="215"/>
    <s v="CG501"/>
    <s v="Chân gà cay ăn liền ZL FOOD Acao 50g x 30 x 7 túi"/>
    <s v="Cái"/>
    <n v="82500"/>
    <n v="0"/>
    <n v="15"/>
    <n v="97500"/>
    <n v="15000"/>
    <d v="2023-09-28T00:00:00"/>
    <x v="72"/>
    <n v="9"/>
    <n v="2023"/>
  </r>
  <r>
    <n v="216"/>
    <s v="DCKAKA"/>
    <s v="Dao cạo Kaka thay lưỡi (6 cây x 80 vỉ)"/>
    <s v="Vỉ"/>
    <n v="24000"/>
    <n v="0"/>
    <n v="1"/>
    <n v="30000"/>
    <n v="6000"/>
    <d v="2023-09-28T00:00:00"/>
    <x v="72"/>
    <n v="9"/>
    <n v="2023"/>
  </r>
  <r>
    <n v="217"/>
    <s v="KV1007"/>
    <s v="Khăn Napkin An An 100 tờ x 40 gói"/>
    <s v="Gói"/>
    <n v="270000"/>
    <n v="0"/>
    <n v="40"/>
    <n v="280000"/>
    <n v="10000"/>
    <d v="2023-09-28T00:00:00"/>
    <x v="73"/>
    <n v="9"/>
    <n v="2023"/>
  </r>
  <r>
    <n v="218"/>
    <s v="XM6007"/>
    <s v="Xịt muỗi 600ml x 30 chai"/>
    <s v="Chai"/>
    <n v="90000"/>
    <n v="0"/>
    <n v="5"/>
    <n v="95000"/>
    <n v="5000"/>
    <d v="2023-09-28T00:00:00"/>
    <x v="73"/>
    <n v="9"/>
    <n v="2023"/>
  </r>
  <r>
    <n v="219"/>
    <s v="DCKAKA"/>
    <s v="Dao cạo Kaka thay lưỡi (6 cây x 80 vỉ)"/>
    <s v="Vỉ"/>
    <n v="24000"/>
    <n v="0"/>
    <n v="1"/>
    <n v="30000"/>
    <n v="6000"/>
    <d v="2023-09-28T00:00:00"/>
    <x v="74"/>
    <n v="9"/>
    <n v="2023"/>
  </r>
  <r>
    <n v="220"/>
    <s v="DCTD708"/>
    <s v="Dao cạo Dorco vàng TD 708 (12 cây x 40 vỉ)"/>
    <s v="Vỉ"/>
    <n v="26400"/>
    <n v="0"/>
    <n v="1"/>
    <n v="36000"/>
    <n v="9600"/>
    <d v="2023-09-28T00:00:00"/>
    <x v="74"/>
    <n v="9"/>
    <n v="2023"/>
  </r>
  <r>
    <n v="221"/>
    <s v="HM607"/>
    <s v="Yến sào Seunest KĐ xanh x 6 hộp"/>
    <s v="Hộp"/>
    <n v="100000"/>
    <n v="1"/>
    <n v="1"/>
    <n v="108000"/>
    <n v="8000"/>
    <d v="2023-09-29T00:00:00"/>
    <x v="75"/>
    <n v="9"/>
    <n v="2023"/>
  </r>
  <r>
    <n v="222"/>
    <s v="HM608"/>
    <s v="Yến sào Seunest CĐ vàng x 6 hộp"/>
    <s v="Hộp"/>
    <n v="100000"/>
    <n v="1"/>
    <n v="1"/>
    <n v="108000"/>
    <n v="8000"/>
    <d v="2023-09-29T00:00:00"/>
    <x v="75"/>
    <n v="9"/>
    <n v="2023"/>
  </r>
  <r>
    <n v="223"/>
    <s v="HM610"/>
    <s v="Yến sào Finenest CĐ đỏ x 6 hộp"/>
    <s v="Hộp"/>
    <n v="100000"/>
    <n v="1"/>
    <n v="1"/>
    <n v="108000"/>
    <n v="8000"/>
    <d v="2023-09-29T00:00:00"/>
    <x v="75"/>
    <n v="9"/>
    <n v="2023"/>
  </r>
  <r>
    <n v="224"/>
    <s v="GC603"/>
    <s v="GVS Ruby Gold 6 cuộn (không lõi) x 12 cây"/>
    <s v="Cây"/>
    <n v="300000"/>
    <n v="1"/>
    <n v="12"/>
    <n v="410000"/>
    <n v="110000"/>
    <d v="2023-09-29T00:00:00"/>
    <x v="76"/>
    <n v="9"/>
    <n v="2023"/>
  </r>
  <r>
    <n v="225"/>
    <s v="GC612"/>
    <s v="GVS GLEE 6 cuộn x 12 cây"/>
    <s v="Cây"/>
    <n v="265008"/>
    <n v="0"/>
    <n v="12"/>
    <n v="360000"/>
    <n v="94992"/>
    <d v="2023-09-29T00:00:00"/>
    <x v="2"/>
    <n v="9"/>
    <n v="2023"/>
  </r>
  <r>
    <n v="226"/>
    <s v="KV1002"/>
    <s v="Khăn Napkin TiOne nâu 100 tờ x 30 gói"/>
    <s v="Gói"/>
    <n v="1296000"/>
    <n v="0"/>
    <n v="180"/>
    <n v="1692000"/>
    <n v="396000"/>
    <d v="2023-09-29T00:00:00"/>
    <x v="2"/>
    <n v="9"/>
    <n v="2023"/>
  </r>
  <r>
    <n v="227"/>
    <s v="HM607"/>
    <s v="Yến sào Seunest KĐ xanh x 6 hộp"/>
    <s v="Hộp"/>
    <n v="600000"/>
    <n v="6"/>
    <n v="6"/>
    <n v="648000"/>
    <n v="48000"/>
    <d v="2023-09-29T00:00:00"/>
    <x v="77"/>
    <n v="9"/>
    <n v="2023"/>
  </r>
  <r>
    <n v="228"/>
    <s v="HM608"/>
    <s v="Yến sào Seunest CĐ vàng x 6 hộp"/>
    <s v="Hộp"/>
    <n v="600000"/>
    <n v="6"/>
    <n v="6"/>
    <n v="648000"/>
    <n v="48000"/>
    <d v="2023-09-29T00:00:00"/>
    <x v="77"/>
    <n v="9"/>
    <n v="2023"/>
  </r>
  <r>
    <n v="229"/>
    <s v="HM610"/>
    <s v="Yến sào Finenest CĐ đỏ x 6 hộp"/>
    <s v="Hộp"/>
    <n v="600000"/>
    <n v="6"/>
    <n v="6"/>
    <n v="648000"/>
    <n v="48000"/>
    <d v="2023-09-29T00:00:00"/>
    <x v="77"/>
    <n v="9"/>
    <n v="2023"/>
  </r>
  <r>
    <n v="230"/>
    <s v="HM608"/>
    <s v="Yến sào Seunest CĐ vàng x 6 hộp"/>
    <s v="Hộp"/>
    <n v="600000"/>
    <n v="6"/>
    <n v="6"/>
    <n v="648000"/>
    <n v="48000"/>
    <d v="2023-09-29T00:00:00"/>
    <x v="38"/>
    <n v="9"/>
    <n v="2023"/>
  </r>
  <r>
    <n v="231"/>
    <s v="HM607"/>
    <s v="Yến sào Seunest KĐ xanh x 6 hộp"/>
    <s v="Hộp"/>
    <n v="0"/>
    <n v="6"/>
    <n v="0"/>
    <n v="-660000"/>
    <n v="-660000"/>
    <d v="2023-09-29T00:00:00"/>
    <x v="78"/>
    <n v="9"/>
    <n v="2023"/>
  </r>
  <r>
    <n v="232"/>
    <s v="HM608"/>
    <s v="Yến sào Seunest CĐ vàng x 6 hộp"/>
    <s v="Hộp"/>
    <n v="600000"/>
    <n v="0"/>
    <n v="6"/>
    <n v="1308000"/>
    <n v="708000"/>
    <d v="2023-09-29T00:00:00"/>
    <x v="78"/>
    <n v="9"/>
    <n v="2023"/>
  </r>
  <r>
    <n v="233"/>
    <s v="HM613"/>
    <s v="HIMA Seunest DTHT có đường 6 lọ x 6 hộp"/>
    <s v="Hộp"/>
    <n v="0"/>
    <n v="1"/>
    <n v="0"/>
    <n v="-186000"/>
    <n v="-186000"/>
    <d v="2023-09-30T00:00:00"/>
    <x v="16"/>
    <n v="9"/>
    <n v="2023"/>
  </r>
  <r>
    <n v="234"/>
    <s v="HM614"/>
    <s v="HIMA Seunest Colagen có đường 6 lọ x 6 hộp"/>
    <s v="Hộp"/>
    <n v="260000"/>
    <n v="0"/>
    <n v="2"/>
    <n v="560000"/>
    <n v="300000"/>
    <d v="2023-09-30T00:00:00"/>
    <x v="16"/>
    <n v="9"/>
    <n v="2023"/>
  </r>
  <r>
    <n v="235"/>
    <s v="TB20001"/>
    <s v="Tăm bông thân gỗ hộp 200 cây x 12 hộp"/>
    <s v="Hộp"/>
    <n v="399000"/>
    <n v="6"/>
    <n v="24"/>
    <n v="461000"/>
    <n v="62000"/>
    <d v="2023-09-30T00:00:00"/>
    <x v="4"/>
    <n v="9"/>
    <n v="2023"/>
  </r>
  <r>
    <n v="236"/>
    <s v="TBTE20002"/>
    <s v="Tăm bông thân nhựa TE hộp tròn 200 cây x 12 hộp"/>
    <s v="Hộp"/>
    <n v="178500"/>
    <n v="0"/>
    <n v="12"/>
    <n v="216000"/>
    <n v="37500"/>
    <d v="2023-09-30T00:00:00"/>
    <x v="4"/>
    <n v="9"/>
    <n v="2023"/>
  </r>
  <r>
    <n v="237"/>
    <s v="NRC38001"/>
    <s v="NRC KIMONO 3,6kg x 4 bình"/>
    <s v="Bình"/>
    <n v="90000"/>
    <n v="1"/>
    <n v="3"/>
    <n v="180000"/>
    <n v="90000"/>
    <d v="2023-09-30T00:00:00"/>
    <x v="79"/>
    <n v="9"/>
    <n v="2023"/>
  </r>
  <r>
    <n v="238"/>
    <s v="GC109"/>
    <s v="GVS Toply 10 cuộn x 10 cây"/>
    <s v="Cây"/>
    <n v="186500"/>
    <n v="1"/>
    <n v="5"/>
    <n v="195000"/>
    <n v="8500"/>
    <d v="2023-09-30T00:00:00"/>
    <x v="80"/>
    <n v="9"/>
    <n v="2023"/>
  </r>
  <r>
    <n v="239"/>
    <s v="HTKDR16001"/>
    <s v="KDR Closeup 160g x 6 cây x 12 block"/>
    <s v="Cây"/>
    <n v="110004"/>
    <n v="0"/>
    <n v="6"/>
    <n v="144000"/>
    <n v="33996"/>
    <d v="2023-09-30T00:00:00"/>
    <x v="80"/>
    <n v="9"/>
    <n v="2023"/>
  </r>
  <r>
    <n v="240"/>
    <s v="KDL01"/>
    <s v="Khăn giấy bỏ túi Paseo 9 tờ x 6 gói/cây x 40 cây"/>
    <s v="Cây"/>
    <n v="9828"/>
    <n v="0"/>
    <n v="1"/>
    <n v="11500"/>
    <n v="1672"/>
    <d v="2023-09-30T00:00:00"/>
    <x v="80"/>
    <n v="9"/>
    <n v="2023"/>
  </r>
  <r>
    <n v="241"/>
    <s v="TC301"/>
    <s v="Tăm chỉ nha khoa 30 chiếc x 10 hộp"/>
    <s v="Hộp"/>
    <n v="220000"/>
    <n v="0"/>
    <n v="20"/>
    <n v="280000"/>
    <n v="60000"/>
    <d v="2023-09-30T00:00:00"/>
    <x v="63"/>
    <n v="9"/>
    <n v="2023"/>
  </r>
  <r>
    <n v="242"/>
    <s v="GC100"/>
    <s v="GVS cuộn trắng rẻ (xá) x 10 cây"/>
    <s v="Bao"/>
    <n v="171000"/>
    <n v="0"/>
    <n v="3"/>
    <n v="210000"/>
    <n v="39000"/>
    <d v="2023-09-30T00:00:00"/>
    <x v="64"/>
    <n v="9"/>
    <n v="2023"/>
  </r>
  <r>
    <n v="243"/>
    <s v="JA2KG"/>
    <s v="Javel 2L x 6 chai"/>
    <s v="Chai"/>
    <n v="90000"/>
    <n v="0"/>
    <n v="6"/>
    <n v="138000"/>
    <n v="48000"/>
    <d v="2023-09-30T00:00:00"/>
    <x v="64"/>
    <n v="9"/>
    <n v="2023"/>
  </r>
  <r>
    <n v="244"/>
    <s v="KU80"/>
    <s v="Khăn ướt đa năng Begin 80g x 20 gói"/>
    <s v="Gói"/>
    <n v="185000"/>
    <n v="0"/>
    <n v="10"/>
    <n v="260000"/>
    <n v="75000"/>
    <d v="2023-09-30T00:00:00"/>
    <x v="64"/>
    <n v="9"/>
    <n v="2023"/>
  </r>
  <r>
    <n v="245"/>
    <s v="BCOCEAN"/>
    <s v="BÀN CHẢI ĐÁNH RĂNG ION - OCEAN"/>
    <s v="Cây"/>
    <n v="2304000"/>
    <n v="0"/>
    <n v="48"/>
    <n v="1920000"/>
    <n v="-384000"/>
    <d v="2023-09-30T00:00:00"/>
    <x v="3"/>
    <n v="9"/>
    <n v="2023"/>
  </r>
  <r>
    <n v="246"/>
    <s v="KMQCL"/>
    <s v="Quạt SENKO 1638 chân lỡ"/>
    <s v="Cây"/>
    <n v="0"/>
    <n v="1"/>
    <n v="0"/>
    <n v="-282000"/>
    <n v="-282000"/>
    <d v="2023-09-30T00:00:00"/>
    <x v="3"/>
    <n v="9"/>
    <n v="2023"/>
  </r>
  <r>
    <n v="247"/>
    <s v="KV1001"/>
    <s v="Khăn Napkin Ruby Gold 100 tờ x 30 gói"/>
    <s v="Gói"/>
    <n v="225000"/>
    <n v="0"/>
    <n v="30"/>
    <n v="330000"/>
    <n v="105000"/>
    <d v="2023-09-30T00:00:00"/>
    <x v="66"/>
    <n v="9"/>
    <n v="2023"/>
  </r>
  <r>
    <n v="248"/>
    <s v="KV1002"/>
    <s v="Khăn Napkin TiOne nâu 100 tờ x 30 gói"/>
    <s v="Gói"/>
    <n v="0"/>
    <n v="8"/>
    <n v="0"/>
    <n v="-64000"/>
    <n v="-64000"/>
    <d v="2023-09-30T00:00:00"/>
    <x v="66"/>
    <n v="9"/>
    <n v="2023"/>
  </r>
  <r>
    <n v="249"/>
    <s v="BCTEELEPHAN"/>
    <s v="BÀN CHẢI ĐÁNH RĂNG TE ION - ELEPHAN"/>
    <s v="Cây"/>
    <n v="540000"/>
    <n v="4"/>
    <n v="12"/>
    <n v="540000"/>
    <n v="0"/>
    <d v="2023-09-30T00:00:00"/>
    <x v="10"/>
    <n v="9"/>
    <n v="2023"/>
  </r>
  <r>
    <n v="250"/>
    <s v="BCTEPANDA"/>
    <s v="BÀN CHẢI ĐÁNH RĂNG TE ION - PANDA"/>
    <s v="Cây"/>
    <n v="1152000"/>
    <n v="3"/>
    <n v="36"/>
    <n v="1070000"/>
    <n v="-82000"/>
    <d v="2023-09-30T00:00:00"/>
    <x v="10"/>
    <n v="9"/>
    <n v="2023"/>
  </r>
  <r>
    <n v="251"/>
    <s v="KMNL7731"/>
    <s v="Nồi lẩu điện Comet 7731"/>
    <s v="Cái"/>
    <n v="0"/>
    <n v="1"/>
    <n v="0"/>
    <n v="0"/>
    <n v="0"/>
    <d v="2023-09-30T00:00:00"/>
    <x v="10"/>
    <n v="9"/>
    <n v="2023"/>
  </r>
  <r>
    <n v="252"/>
    <s v="TBTE20003"/>
    <s v="Tăm bông thân giấy TE hộp chữ nhật 200 cây x 12 hộp"/>
    <s v="Hộp"/>
    <n v="231000"/>
    <n v="2"/>
    <n v="12"/>
    <n v="288000"/>
    <n v="57000"/>
    <d v="2023-09-30T00:00:00"/>
    <x v="10"/>
    <n v="9"/>
    <n v="2023"/>
  </r>
  <r>
    <n v="253"/>
    <s v="NLREDBULL1"/>
    <s v="RedBull ThaiLan"/>
    <s v="Block"/>
    <n v="242000"/>
    <n v="0"/>
    <n v="1"/>
    <n v="247000"/>
    <n v="5000"/>
    <d v="2023-09-30T00:00:00"/>
    <x v="58"/>
    <n v="9"/>
    <n v="2023"/>
  </r>
  <r>
    <n v="254"/>
    <s v="NLSTING"/>
    <s v="Sting ThaiLan"/>
    <s v="Block"/>
    <n v="0"/>
    <n v="0"/>
    <n v="0"/>
    <n v="0"/>
    <n v="0"/>
    <d v="2023-09-30T00:00:00"/>
    <x v="58"/>
    <n v="9"/>
    <n v="2023"/>
  </r>
  <r>
    <n v="255"/>
    <s v="HTBTE50"/>
    <s v="Bánh gạo TE Happy Bites Việt Quất 50g x 12 hộp"/>
    <s v="Hộp"/>
    <n v="271800"/>
    <n v="0"/>
    <n v="6"/>
    <n v="276000"/>
    <n v="4200"/>
    <d v="2023-10-02T00:00:00"/>
    <x v="63"/>
    <n v="10"/>
    <n v="2023"/>
  </r>
  <r>
    <n v="256"/>
    <s v="HTBTE50"/>
    <s v="Bánh gạo TE Happy Bites Việt Quất 50g x 12 hộp"/>
    <s v="Hộp"/>
    <n v="453000"/>
    <n v="0"/>
    <n v="10"/>
    <n v="460000"/>
    <n v="7000"/>
    <d v="2023-10-02T00:00:00"/>
    <x v="81"/>
    <n v="10"/>
    <n v="2023"/>
  </r>
  <r>
    <n v="257"/>
    <s v="HTBTE50"/>
    <s v="Bánh gạo TE Happy Bites Việt Quất 50g x 12 hộp"/>
    <s v="Hộp"/>
    <n v="1087200"/>
    <n v="4"/>
    <n v="24"/>
    <n v="1004000"/>
    <n v="-83200"/>
    <d v="2023-10-02T00:00:00"/>
    <x v="82"/>
    <n v="10"/>
    <n v="2023"/>
  </r>
  <r>
    <n v="258"/>
    <s v="KU250"/>
    <s v="Khăn ướt TE Villa 250g x 30 gói"/>
    <s v="Gói"/>
    <n v="77000"/>
    <n v="0"/>
    <n v="10"/>
    <n v="100000"/>
    <n v="23000"/>
    <d v="2023-10-03T00:00:00"/>
    <x v="52"/>
    <n v="10"/>
    <n v="2023"/>
  </r>
  <r>
    <n v="259"/>
    <s v="HM608"/>
    <s v="Yến sào Seunest CĐ vàng x 6 hộp"/>
    <s v="Hộp"/>
    <n v="1200000"/>
    <n v="12"/>
    <n v="12"/>
    <n v="1308000"/>
    <n v="108000"/>
    <d v="2023-10-03T00:00:00"/>
    <x v="68"/>
    <n v="10"/>
    <n v="2023"/>
  </r>
  <r>
    <n v="260"/>
    <s v="GC32"/>
    <s v="Giấy cân 32 (1kg x 10 bịch)"/>
    <s v="Bịch"/>
    <n v="420000"/>
    <n v="2"/>
    <n v="10"/>
    <n v="384000"/>
    <n v="-36000"/>
    <d v="2023-10-05T00:00:00"/>
    <x v="83"/>
    <n v="10"/>
    <n v="2023"/>
  </r>
  <r>
    <n v="261"/>
    <s v="KV320"/>
    <s v="Khăn Napkin Fairy 320 x 100 tờ x 48 gói"/>
    <s v="Gói"/>
    <n v="2112000"/>
    <n v="48"/>
    <n v="192"/>
    <n v="2256000"/>
    <n v="144000"/>
    <d v="2023-10-05T00:00:00"/>
    <x v="83"/>
    <n v="10"/>
    <n v="2023"/>
  </r>
  <r>
    <n v="262"/>
    <s v="TT01"/>
    <s v="Thanh toán lần 1"/>
    <s v="VNĐ"/>
    <n v="0"/>
    <n v="0"/>
    <n v="0"/>
    <n v="-1764000"/>
    <n v="-1764000"/>
    <d v="2023-10-05T00:00:00"/>
    <x v="83"/>
    <n v="10"/>
    <n v="2023"/>
  </r>
  <r>
    <n v="263"/>
    <s v="KR1000"/>
    <s v="Khăn giấy rút đa năng Jolly 1kg x 20 gói"/>
    <s v="Gói"/>
    <n v="412911"/>
    <n v="1"/>
    <n v="9"/>
    <n v="421200"/>
    <n v="8289"/>
    <d v="2023-10-05T00:00:00"/>
    <x v="14"/>
    <n v="10"/>
    <n v="2023"/>
  </r>
  <r>
    <n v="264"/>
    <s v="KTN80"/>
    <s v="Kẹo Trang Nghiêm DÂU TÂY 80gr x 100 gói/thùng"/>
    <s v="Gói"/>
    <n v="26250"/>
    <n v="0"/>
    <n v="5"/>
    <n v="35000"/>
    <n v="8750"/>
    <d v="2023-10-05T00:00:00"/>
    <x v="32"/>
    <n v="10"/>
    <n v="2023"/>
  </r>
  <r>
    <n v="265"/>
    <s v="KTN801"/>
    <s v="Kẹo Trang Nghiêm DÂU TẰM 80gr x 100 gói/thùng"/>
    <s v="Gói"/>
    <n v="26250"/>
    <n v="0"/>
    <n v="5"/>
    <n v="35000"/>
    <n v="8750"/>
    <d v="2023-10-05T00:00:00"/>
    <x v="32"/>
    <n v="10"/>
    <n v="2023"/>
  </r>
  <r>
    <n v="266"/>
    <s v="KTN802"/>
    <s v="Kẹo Trang Nghiêm ME ỚT 80gr x 100 gói/thùng"/>
    <s v="Gói"/>
    <n v="26250"/>
    <n v="0"/>
    <n v="5"/>
    <n v="35000"/>
    <n v="8750"/>
    <d v="2023-10-05T00:00:00"/>
    <x v="32"/>
    <n v="10"/>
    <n v="2023"/>
  </r>
  <r>
    <n v="267"/>
    <s v="HTBTE50"/>
    <s v="Bánh gạo TE Happy Bites Việt Quất 50g x 12 hộp"/>
    <s v="Hộp"/>
    <n v="181200"/>
    <n v="1"/>
    <n v="4"/>
    <n v="154000"/>
    <n v="-27200"/>
    <d v="2023-10-05T00:00:00"/>
    <x v="33"/>
    <n v="10"/>
    <n v="2023"/>
  </r>
  <r>
    <n v="268"/>
    <s v="HTBTE501"/>
    <s v="Bánh gạo TE Happy Bites Táo 50g x 12 hộp"/>
    <s v="Hộp"/>
    <n v="181200"/>
    <n v="0"/>
    <n v="4"/>
    <n v="200000"/>
    <n v="18800"/>
    <d v="2023-10-05T00:00:00"/>
    <x v="33"/>
    <n v="10"/>
    <n v="2023"/>
  </r>
  <r>
    <n v="269"/>
    <s v="HTBTE502"/>
    <s v="Bánh gạo TE Happy Bites Chuối 50g x 12 hộp"/>
    <s v="Hộp"/>
    <n v="181200"/>
    <n v="0"/>
    <n v="4"/>
    <n v="200000"/>
    <n v="18800"/>
    <d v="2023-10-05T00:00:00"/>
    <x v="33"/>
    <n v="10"/>
    <n v="2023"/>
  </r>
  <r>
    <n v="270"/>
    <s v="NLREDBULL1"/>
    <s v="RedBull ThaiLan"/>
    <s v="Block"/>
    <n v="484000"/>
    <n v="0"/>
    <n v="2"/>
    <n v="498000"/>
    <n v="14000"/>
    <d v="2023-10-05T00:00:00"/>
    <x v="33"/>
    <n v="10"/>
    <n v="2023"/>
  </r>
  <r>
    <n v="271"/>
    <s v="HTK151"/>
    <s v="Kẹo Tommy trái cây 15g x 12 gói x 12 dây"/>
    <s v="Dây"/>
    <n v="75000"/>
    <n v="0"/>
    <n v="2"/>
    <n v="82000"/>
    <n v="7000"/>
    <d v="2023-10-05T00:00:00"/>
    <x v="70"/>
    <n v="10"/>
    <n v="2023"/>
  </r>
  <r>
    <n v="272"/>
    <s v="KTN80"/>
    <s v="Kẹo Trang Nghiêm DÂU TÂY 80gr x 100 gói/thùng"/>
    <s v="Gói"/>
    <n v="0"/>
    <n v="0"/>
    <n v="0"/>
    <n v="-70000"/>
    <n v="-70000"/>
    <d v="2023-10-05T00:00:00"/>
    <x v="70"/>
    <n v="10"/>
    <n v="2023"/>
  </r>
  <r>
    <n v="273"/>
    <s v="KU203"/>
    <s v="Khăn ướt TiOne 20g x 100 gói"/>
    <s v="Gói"/>
    <n v="0"/>
    <n v="0"/>
    <n v="0"/>
    <n v="0"/>
    <n v="0"/>
    <d v="2023-10-05T00:00:00"/>
    <x v="70"/>
    <n v="10"/>
    <n v="2023"/>
  </r>
  <r>
    <n v="274"/>
    <s v="KV1001"/>
    <s v="Khăn Napkin Ruby Gold 100 tờ x 30 gói"/>
    <s v="Gói"/>
    <n v="75000"/>
    <n v="1"/>
    <n v="10"/>
    <n v="110000"/>
    <n v="35000"/>
    <d v="2023-10-05T00:00:00"/>
    <x v="70"/>
    <n v="10"/>
    <n v="2023"/>
  </r>
  <r>
    <n v="275"/>
    <s v="SBOMGROW900"/>
    <s v="SURE OMEGA-GROW IQ 900G"/>
    <s v="Lon"/>
    <n v="424800"/>
    <n v="0"/>
    <n v="2"/>
    <n v="477600"/>
    <n v="52800"/>
    <d v="2023-10-06T00:00:00"/>
    <x v="15"/>
    <n v="10"/>
    <n v="2023"/>
  </r>
  <r>
    <n v="276"/>
    <s v="GC32"/>
    <s v="Giấy cân 32 (1kg x 10 bịch)"/>
    <s v="Bịch"/>
    <n v="420000"/>
    <n v="2"/>
    <n v="10"/>
    <n v="460000"/>
    <n v="40000"/>
    <d v="2023-10-06T00:00:00"/>
    <x v="84"/>
    <n v="10"/>
    <n v="2023"/>
  </r>
  <r>
    <n v="277"/>
    <s v="TC50"/>
    <s v="Tăm chỉ nha khoa 50 chiếc x 20 gói x 18 hộp"/>
    <s v="Gói"/>
    <n v="138000"/>
    <n v="0"/>
    <n v="12"/>
    <n v="168000"/>
    <n v="30000"/>
    <d v="2023-10-06T00:00:00"/>
    <x v="85"/>
    <n v="10"/>
    <n v="2023"/>
  </r>
  <r>
    <n v="278"/>
    <s v="HTBTE50"/>
    <s v="Bánh gạo TE Happy Bites Việt Quất 50g x 12 hộp"/>
    <s v="Hộp"/>
    <n v="181200"/>
    <n v="0"/>
    <n v="4"/>
    <n v="184000"/>
    <n v="2800"/>
    <d v="2023-10-07T00:00:00"/>
    <x v="39"/>
    <n v="10"/>
    <n v="2023"/>
  </r>
  <r>
    <n v="279"/>
    <s v="HTBTE501"/>
    <s v="Bánh gạo TE Happy Bites Táo 50g x 12 hộp"/>
    <s v="Hộp"/>
    <n v="181200"/>
    <n v="0"/>
    <n v="4"/>
    <n v="184000"/>
    <n v="2800"/>
    <d v="2023-10-07T00:00:00"/>
    <x v="39"/>
    <n v="10"/>
    <n v="2023"/>
  </r>
  <r>
    <n v="280"/>
    <s v="HTBTE502"/>
    <s v="Bánh gạo TE Happy Bites Chuối 50g x 12 hộp"/>
    <s v="Hộp"/>
    <n v="45300"/>
    <n v="0"/>
    <n v="1"/>
    <n v="46000"/>
    <n v="700"/>
    <d v="2023-10-07T00:00:00"/>
    <x v="39"/>
    <n v="10"/>
    <n v="2023"/>
  </r>
  <r>
    <n v="281"/>
    <s v="KV100"/>
    <s v="Khăn Napkin Toply 100 tờ x 48 gói"/>
    <s v="Gói"/>
    <n v="345600"/>
    <n v="4"/>
    <n v="48"/>
    <n v="536000"/>
    <n v="190400"/>
    <d v="2023-10-07T00:00:00"/>
    <x v="4"/>
    <n v="10"/>
    <n v="2023"/>
  </r>
  <r>
    <n v="282"/>
    <s v="KV100"/>
    <s v="Khăn Napkin Toply 100 tờ x 48 gói"/>
    <s v="Gói"/>
    <n v="345600"/>
    <n v="0"/>
    <n v="48"/>
    <n v="518400"/>
    <n v="172800"/>
    <d v="2023-10-07T00:00:00"/>
    <x v="0"/>
    <n v="10"/>
    <n v="2023"/>
  </r>
  <r>
    <n v="283"/>
    <s v="TB20001"/>
    <s v="Tăm bông thân gỗ hộp 200 cây x 12 hộp"/>
    <s v="Hộp"/>
    <n v="199500"/>
    <n v="2"/>
    <n v="12"/>
    <n v="288000"/>
    <n v="88500"/>
    <d v="2023-10-07T00:00:00"/>
    <x v="19"/>
    <n v="10"/>
    <n v="2023"/>
  </r>
  <r>
    <n v="284"/>
    <s v="TB20002"/>
    <s v="Tăm bông thân nhựa NL hộp tròn 200 cây x 12 hộp"/>
    <s v="Hộp"/>
    <n v="194256"/>
    <n v="2"/>
    <n v="12"/>
    <n v="240000"/>
    <n v="45744"/>
    <d v="2023-10-07T00:00:00"/>
    <x v="19"/>
    <n v="10"/>
    <n v="2023"/>
  </r>
  <r>
    <n v="285"/>
    <s v="TBTE20003"/>
    <s v="Tăm bông thân giấy TE hộp chữ nhật 200 cây x 12 hộp"/>
    <s v="Hộp"/>
    <n v="231000"/>
    <n v="2"/>
    <n v="12"/>
    <n v="288000"/>
    <n v="57000"/>
    <d v="2023-10-07T00:00:00"/>
    <x v="19"/>
    <n v="10"/>
    <n v="2023"/>
  </r>
  <r>
    <n v="286"/>
    <s v="GC106"/>
    <s v="GVS Ruby (HQ) 10 cuộn x 8kg"/>
    <s v="Cây"/>
    <n v="180000"/>
    <n v="0"/>
    <n v="10"/>
    <n v="220000"/>
    <n v="40000"/>
    <d v="2023-10-07T00:00:00"/>
    <x v="42"/>
    <n v="10"/>
    <n v="2023"/>
  </r>
  <r>
    <n v="287"/>
    <s v="NGT3600"/>
    <s v="Nước giặt Kimono (đen) 3,6kg x 5 túi"/>
    <s v="Túi"/>
    <n v="148000"/>
    <n v="0"/>
    <n v="2"/>
    <n v="270000"/>
    <n v="122000"/>
    <d v="2023-10-07T00:00:00"/>
    <x v="42"/>
    <n v="10"/>
    <n v="2023"/>
  </r>
  <r>
    <n v="288"/>
    <s v="NGT36001"/>
    <s v="Nước giặt Kimono (tím) 3,6kg x 5 túi"/>
    <s v="Túi"/>
    <n v="148000"/>
    <n v="1"/>
    <n v="2"/>
    <n v="162000"/>
    <n v="14000"/>
    <d v="2023-10-07T00:00:00"/>
    <x v="42"/>
    <n v="10"/>
    <n v="2023"/>
  </r>
  <r>
    <n v="289"/>
    <s v="T3501"/>
    <s v="Tẩy quần áo màu KIMONO 350ml x 30 chai"/>
    <s v="Chai"/>
    <n v="0"/>
    <n v="5"/>
    <n v="0"/>
    <n v="-55000"/>
    <n v="-55000"/>
    <d v="2023-10-07T00:00:00"/>
    <x v="42"/>
    <n v="10"/>
    <n v="2023"/>
  </r>
  <r>
    <n v="290"/>
    <s v="NG3600"/>
    <s v="Nước giặt Kimono 6 in 1 (tím) x 3,6kg x 4 bình"/>
    <s v="Bình"/>
    <n v="730000"/>
    <n v="0"/>
    <n v="8"/>
    <n v="960000"/>
    <n v="230000"/>
    <d v="2023-10-07T00:00:00"/>
    <x v="5"/>
    <n v="10"/>
    <n v="2023"/>
  </r>
  <r>
    <n v="291"/>
    <s v="KR1001"/>
    <s v="Khăn giấy rút lụa SSS BiBi 2 lớp x 1kg x 10 gói"/>
    <s v="Gói"/>
    <n v="480000"/>
    <n v="2"/>
    <n v="10"/>
    <n v="434000"/>
    <n v="-46000"/>
    <d v="2023-10-07T00:00:00"/>
    <x v="86"/>
    <n v="10"/>
    <n v="2023"/>
  </r>
  <r>
    <n v="292"/>
    <s v="GC605"/>
    <s v="GVS Ruby 6 cuộn Mèo (không lõi) x 10 cây"/>
    <s v="Cây"/>
    <n v="580000"/>
    <n v="2"/>
    <n v="20"/>
    <n v="709000"/>
    <n v="129000"/>
    <d v="2023-10-07T00:00:00"/>
    <x v="20"/>
    <n v="10"/>
    <n v="2023"/>
  </r>
  <r>
    <n v="293"/>
    <s v="HTF3000"/>
    <s v="Nước giặt Fineline tím 3L x 4 bình"/>
    <s v="Bình"/>
    <n v="340000"/>
    <n v="0"/>
    <n v="4"/>
    <n v="520000"/>
    <n v="180000"/>
    <d v="2023-10-07T00:00:00"/>
    <x v="9"/>
    <n v="10"/>
    <n v="2023"/>
  </r>
  <r>
    <n v="294"/>
    <s v="BCN189"/>
    <s v="BC KAKA NANO N189 x 30 x 10 hộp"/>
    <s v="Cây"/>
    <n v="144000"/>
    <n v="0"/>
    <n v="30"/>
    <n v="210000"/>
    <n v="66000"/>
    <d v="2023-10-07T00:00:00"/>
    <x v="87"/>
    <n v="10"/>
    <n v="2023"/>
  </r>
  <r>
    <n v="295"/>
    <s v="KU80"/>
    <s v="Khăn ướt đa năng Begin 80g x 20 gói"/>
    <s v="Gói"/>
    <n v="222000"/>
    <n v="3"/>
    <n v="12"/>
    <n v="288000"/>
    <n v="66000"/>
    <d v="2023-10-07T00:00:00"/>
    <x v="87"/>
    <n v="10"/>
    <n v="2023"/>
  </r>
  <r>
    <n v="296"/>
    <s v="KB01"/>
    <s v="Khăn bóp Mỹ Lan 10 gói x 60 cây"/>
    <s v="Cây"/>
    <n v="48000"/>
    <n v="0"/>
    <n v="6"/>
    <n v="51000"/>
    <n v="3000"/>
    <d v="2023-10-07T00:00:00"/>
    <x v="53"/>
    <n v="10"/>
    <n v="2023"/>
  </r>
  <r>
    <n v="297"/>
    <s v="KDL01"/>
    <s v="Khăn giấy bỏ túi Paseo 9 tờ x 6 gói/cây x 40 cây"/>
    <s v="Cây"/>
    <n v="0"/>
    <n v="0"/>
    <n v="0"/>
    <n v="0"/>
    <n v="0"/>
    <d v="2023-10-07T00:00:00"/>
    <x v="53"/>
    <n v="10"/>
    <n v="2023"/>
  </r>
  <r>
    <n v="298"/>
    <s v="KU203"/>
    <s v="Khăn ướt TiOne 20g x 100 gói"/>
    <s v="Gói"/>
    <n v="0"/>
    <n v="0"/>
    <n v="0"/>
    <n v="0"/>
    <n v="0"/>
    <d v="2023-10-07T00:00:00"/>
    <x v="53"/>
    <n v="10"/>
    <n v="2023"/>
  </r>
  <r>
    <n v="299"/>
    <s v="KU801"/>
    <s v="Khăn ướt Baby (đỏ) 80g x 50 gói"/>
    <s v="Gói"/>
    <n v="40000"/>
    <n v="0"/>
    <n v="10"/>
    <n v="70000"/>
    <n v="30000"/>
    <d v="2023-10-07T00:00:00"/>
    <x v="53"/>
    <n v="10"/>
    <n v="2023"/>
  </r>
  <r>
    <n v="300"/>
    <s v="BCTE005"/>
    <s v="BCTE chữ U x 600 cây"/>
    <s v="Cây"/>
    <n v="120000"/>
    <n v="0"/>
    <n v="12"/>
    <n v="168000"/>
    <n v="48000"/>
    <d v="2023-10-07T00:00:00"/>
    <x v="10"/>
    <n v="10"/>
    <n v="2023"/>
  </r>
  <r>
    <n v="301"/>
    <s v="HTBTE50"/>
    <s v="Bánh gạo TE Happy Bites Việt Quất 50g x 12 hộp"/>
    <s v="Hộp"/>
    <n v="362400"/>
    <n v="3"/>
    <n v="8"/>
    <n v="400000"/>
    <n v="37600"/>
    <d v="2023-10-07T00:00:00"/>
    <x v="10"/>
    <n v="10"/>
    <n v="2023"/>
  </r>
  <r>
    <n v="302"/>
    <s v="HTBTE501"/>
    <s v="Bánh gạo TE Happy Bites Táo 50g x 12 hộp"/>
    <s v="Hộp"/>
    <n v="362400"/>
    <n v="0"/>
    <n v="8"/>
    <n v="267000"/>
    <n v="-95400"/>
    <d v="2023-10-07T00:00:00"/>
    <x v="10"/>
    <n v="10"/>
    <n v="2023"/>
  </r>
  <r>
    <n v="303"/>
    <s v="HTBTE502"/>
    <s v="Bánh gạo TE Happy Bites Chuối 50g x 12 hộp"/>
    <s v="Hộp"/>
    <n v="362400"/>
    <n v="0"/>
    <n v="8"/>
    <n v="400000"/>
    <n v="37600"/>
    <d v="2023-10-07T00:00:00"/>
    <x v="10"/>
    <n v="10"/>
    <n v="2023"/>
  </r>
  <r>
    <n v="304"/>
    <s v="KDR001"/>
    <s v="Kem đánh răng bộ (KDR + BC) x 144 bộ"/>
    <s v="Bộ"/>
    <n v="279996"/>
    <n v="2"/>
    <n v="12"/>
    <n v="288000"/>
    <n v="8004"/>
    <d v="2023-10-07T00:00:00"/>
    <x v="10"/>
    <n v="10"/>
    <n v="2023"/>
  </r>
  <r>
    <n v="305"/>
    <s v="KKDN300"/>
    <s v="Khăn khô đa năng 300gr x 30 gói"/>
    <s v="Gói"/>
    <n v="1069200"/>
    <n v="3"/>
    <n v="27"/>
    <n v="1070000"/>
    <n v="800"/>
    <d v="2023-10-07T00:00:00"/>
    <x v="10"/>
    <n v="10"/>
    <n v="2023"/>
  </r>
  <r>
    <n v="306"/>
    <s v="KU801"/>
    <s v="Khăn ướt Baby (đỏ) 80g x 50 gói"/>
    <s v="Gói"/>
    <n v="0"/>
    <n v="0"/>
    <n v="0"/>
    <n v="0"/>
    <n v="0"/>
    <d v="2023-10-07T00:00:00"/>
    <x v="88"/>
    <n v="10"/>
    <n v="2023"/>
  </r>
  <r>
    <n v="307"/>
    <s v="KV320"/>
    <s v="Khăn Napkin Fairy 320 x 100 tờ x 48 gói"/>
    <s v="Gói"/>
    <n v="0"/>
    <n v="0"/>
    <n v="0"/>
    <n v="0"/>
    <n v="0"/>
    <d v="2023-10-07T00:00:00"/>
    <x v="88"/>
    <n v="10"/>
    <n v="2023"/>
  </r>
  <r>
    <n v="308"/>
    <s v="HM608"/>
    <s v="Yến sào Seunest CĐ vàng x 6 hộp"/>
    <s v="Hộp"/>
    <n v="300000"/>
    <n v="3"/>
    <n v="3"/>
    <n v="327000"/>
    <n v="27000"/>
    <d v="2023-10-07T00:00:00"/>
    <x v="89"/>
    <n v="10"/>
    <n v="2023"/>
  </r>
  <r>
    <n v="309"/>
    <s v="KV1007"/>
    <s v="Khăn Napkin An An 100 tờ x 40 gói"/>
    <s v="Gói"/>
    <n v="270000"/>
    <n v="0"/>
    <n v="40"/>
    <n v="320000"/>
    <n v="50000"/>
    <d v="2023-10-07T00:00:00"/>
    <x v="90"/>
    <n v="10"/>
    <n v="2023"/>
  </r>
  <r>
    <n v="310"/>
    <s v="KR1000"/>
    <s v="Khăn giấy rút đa năng Jolly 1kg x 20 gói"/>
    <s v="Gói"/>
    <n v="1835160"/>
    <n v="5"/>
    <n v="40"/>
    <n v="1849000"/>
    <n v="13840"/>
    <d v="2023-10-13T00:00:00"/>
    <x v="91"/>
    <n v="10"/>
    <n v="2023"/>
  </r>
  <r>
    <n v="311"/>
    <s v="HTBTE30"/>
    <s v="Bánh TE Munchies Chuối &amp; Bí Đỏ 30g x 12 hộp"/>
    <s v="Hộp"/>
    <n v="633600"/>
    <n v="0"/>
    <n v="12"/>
    <n v="720000"/>
    <n v="86400"/>
    <d v="2023-10-13T00:00:00"/>
    <x v="92"/>
    <n v="10"/>
    <n v="2023"/>
  </r>
  <r>
    <n v="312"/>
    <s v="HTBTE301"/>
    <s v="Bánh TE Munchies Mâm Xôi &amp; Củ Dền 30g x 12 hộp"/>
    <s v="Hộp"/>
    <n v="633600"/>
    <n v="3"/>
    <n v="12"/>
    <n v="560000"/>
    <n v="-73600"/>
    <d v="2023-10-13T00:00:00"/>
    <x v="92"/>
    <n v="10"/>
    <n v="2023"/>
  </r>
  <r>
    <n v="313"/>
    <s v="HTBTE50"/>
    <s v="Bánh gạo TE Happy Bites Việt Quất 50g x 12 hộp"/>
    <s v="Hộp"/>
    <n v="362400"/>
    <n v="3"/>
    <n v="8"/>
    <n v="267000"/>
    <n v="-95400"/>
    <d v="2023-10-13T00:00:00"/>
    <x v="92"/>
    <n v="10"/>
    <n v="2023"/>
  </r>
  <r>
    <n v="314"/>
    <s v="HTBTE501"/>
    <s v="Bánh gạo TE Happy Bites Táo 50g x 12 hộp"/>
    <s v="Hộp"/>
    <n v="362400"/>
    <n v="0"/>
    <n v="8"/>
    <n v="400000"/>
    <n v="37600"/>
    <d v="2023-10-13T00:00:00"/>
    <x v="92"/>
    <n v="10"/>
    <n v="2023"/>
  </r>
  <r>
    <n v="315"/>
    <s v="HTBTE502"/>
    <s v="Bánh gạo TE Happy Bites Chuối 50g x 12 hộp"/>
    <s v="Hộp"/>
    <n v="362400"/>
    <n v="0"/>
    <n v="8"/>
    <n v="400000"/>
    <n v="37600"/>
    <d v="2023-10-13T00:00:00"/>
    <x v="92"/>
    <n v="10"/>
    <n v="2023"/>
  </r>
  <r>
    <n v="316"/>
    <s v="KR5003"/>
    <s v="Khăn rút lụa TiOne HQ xanh 500 tờ x 25 gói"/>
    <s v="Gói"/>
    <n v="0"/>
    <n v="10"/>
    <n v="0"/>
    <n v="-160000"/>
    <n v="-160000"/>
    <d v="2023-10-13T00:00:00"/>
    <x v="34"/>
    <n v="10"/>
    <n v="2023"/>
  </r>
  <r>
    <n v="317"/>
    <s v="KU50001"/>
    <s v="Khăn ướt đa năng TiOne 50 tờ x 24 gói"/>
    <s v="Gói"/>
    <n v="300000"/>
    <n v="0"/>
    <n v="20"/>
    <n v="540000"/>
    <n v="240000"/>
    <d v="2023-10-13T00:00:00"/>
    <x v="34"/>
    <n v="10"/>
    <n v="2023"/>
  </r>
  <r>
    <n v="318"/>
    <s v="CG50"/>
    <s v="Chân gà cay ăn liền ZL FOOD loại 50g x 30 x 7 túi"/>
    <s v="Cái"/>
    <n v="82500"/>
    <n v="0"/>
    <n v="15"/>
    <n v="97500"/>
    <n v="15000"/>
    <d v="2023-10-13T00:00:00"/>
    <x v="36"/>
    <n v="10"/>
    <n v="2023"/>
  </r>
  <r>
    <n v="319"/>
    <s v="CG501"/>
    <s v="Chân gà cay ăn liền ZL FOOD Acao 50g x 30 x 7 túi"/>
    <s v="Cái"/>
    <n v="82500"/>
    <n v="0"/>
    <n v="15"/>
    <n v="97500"/>
    <n v="15000"/>
    <d v="2023-10-13T00:00:00"/>
    <x v="36"/>
    <n v="10"/>
    <n v="2023"/>
  </r>
  <r>
    <n v="320"/>
    <s v="HTBD12"/>
    <s v="Bánh đũa Gap Dâu tây 12g x 12 hộp x 12"/>
    <s v="Hộp"/>
    <n v="42084"/>
    <n v="0"/>
    <n v="1"/>
    <n v="48000"/>
    <n v="5916"/>
    <d v="2023-10-13T00:00:00"/>
    <x v="36"/>
    <n v="10"/>
    <n v="2023"/>
  </r>
  <r>
    <n v="321"/>
    <s v="HTBD121"/>
    <s v="Bánh đũa Gap Sô cô la 12g x 12 hộp x 12"/>
    <s v="Hộp"/>
    <n v="42084"/>
    <n v="0"/>
    <n v="1"/>
    <n v="48000"/>
    <n v="5916"/>
    <d v="2023-10-13T00:00:00"/>
    <x v="36"/>
    <n v="10"/>
    <n v="2023"/>
  </r>
  <r>
    <n v="322"/>
    <s v="HTBD12"/>
    <s v="Bánh đũa Gap Dâu tây 12g x 12 hộp x 12"/>
    <s v="Hộp"/>
    <n v="42084"/>
    <n v="0"/>
    <n v="1"/>
    <n v="48000"/>
    <n v="5916"/>
    <d v="2023-10-13T00:00:00"/>
    <x v="72"/>
    <n v="10"/>
    <n v="2023"/>
  </r>
  <r>
    <n v="323"/>
    <s v="HTBD121"/>
    <s v="Bánh đũa Gap Sô cô la 12g x 12 hộp x 12"/>
    <s v="Hộp"/>
    <n v="42084"/>
    <n v="0"/>
    <n v="1"/>
    <n v="48000"/>
    <n v="5916"/>
    <d v="2023-10-13T00:00:00"/>
    <x v="72"/>
    <n v="10"/>
    <n v="2023"/>
  </r>
  <r>
    <n v="324"/>
    <s v="JA500G"/>
    <s v="Javel 550ml x 24 chai"/>
    <s v="Chai"/>
    <n v="90000"/>
    <n v="2"/>
    <n v="24"/>
    <n v="168000"/>
    <n v="78000"/>
    <d v="2023-10-13T00:00:00"/>
    <x v="72"/>
    <n v="10"/>
    <n v="2023"/>
  </r>
  <r>
    <n v="325"/>
    <s v="KTN80"/>
    <s v="Kẹo Trang Nghiêm DÂU TÂY 80gr x 100 gói/thùng"/>
    <s v="Gói"/>
    <n v="36750"/>
    <n v="0"/>
    <n v="7"/>
    <n v="49000"/>
    <n v="12250"/>
    <d v="2023-10-13T00:00:00"/>
    <x v="72"/>
    <n v="10"/>
    <n v="2023"/>
  </r>
  <r>
    <n v="326"/>
    <s v="KTN801"/>
    <s v="Kẹo Trang Nghiêm DÂU TẰM 80gr x 100 gói/thùng"/>
    <s v="Gói"/>
    <n v="36750"/>
    <n v="0"/>
    <n v="7"/>
    <n v="49000"/>
    <n v="12250"/>
    <d v="2023-10-13T00:00:00"/>
    <x v="72"/>
    <n v="10"/>
    <n v="2023"/>
  </r>
  <r>
    <n v="327"/>
    <s v="KTN802"/>
    <s v="Kẹo Trang Nghiêm ME ỚT 80gr x 100 gói/thùng"/>
    <s v="Gói"/>
    <n v="31500"/>
    <n v="0"/>
    <n v="6"/>
    <n v="42000"/>
    <n v="10500"/>
    <d v="2023-10-13T00:00:00"/>
    <x v="72"/>
    <n v="10"/>
    <n v="2023"/>
  </r>
  <r>
    <n v="328"/>
    <s v="NGT2000"/>
    <s v="Nước giặt Kimono (đen) 2kg x 6 túi"/>
    <s v="Túi"/>
    <n v="116000"/>
    <n v="0"/>
    <n v="2"/>
    <n v="150000"/>
    <n v="34000"/>
    <d v="2023-10-13T00:00:00"/>
    <x v="72"/>
    <n v="10"/>
    <n v="2023"/>
  </r>
  <r>
    <n v="329"/>
    <s v="NGT2001"/>
    <s v="Nước giặt Kimono (tím) 2kg x 6 túi"/>
    <s v="Túi"/>
    <n v="116000"/>
    <n v="0"/>
    <n v="2"/>
    <n v="150000"/>
    <n v="34000"/>
    <d v="2023-10-13T00:00:00"/>
    <x v="72"/>
    <n v="10"/>
    <n v="2023"/>
  </r>
  <r>
    <n v="330"/>
    <s v="NGT2002"/>
    <s v="Nước giặt Kimono (hồng) 2kg x 6 túi"/>
    <s v="Túi"/>
    <n v="58000"/>
    <n v="0"/>
    <n v="1"/>
    <n v="75000"/>
    <n v="17000"/>
    <d v="2023-10-13T00:00:00"/>
    <x v="72"/>
    <n v="10"/>
    <n v="2023"/>
  </r>
  <r>
    <n v="331"/>
    <s v="NGT2003"/>
    <s v="Nước giặt Kimono (vàng) 2kg x 6 túi"/>
    <s v="Túi"/>
    <n v="58000"/>
    <n v="0"/>
    <n v="1"/>
    <n v="75000"/>
    <n v="17000"/>
    <d v="2023-10-13T00:00:00"/>
    <x v="72"/>
    <n v="10"/>
    <n v="2023"/>
  </r>
  <r>
    <n v="332"/>
    <s v="NRC1500"/>
    <s v="NRC 107 - 1,5L x 8 bình"/>
    <s v="Bình"/>
    <n v="0"/>
    <n v="1"/>
    <n v="0"/>
    <n v="0"/>
    <n v="0"/>
    <d v="2023-10-13T00:00:00"/>
    <x v="72"/>
    <n v="10"/>
    <n v="2023"/>
  </r>
  <r>
    <n v="333"/>
    <s v="NRC400"/>
    <s v="NRC 107 - 400ml x 24 chai"/>
    <s v="Chai"/>
    <n v="190176"/>
    <n v="0"/>
    <n v="24"/>
    <n v="276000"/>
    <n v="85824"/>
    <d v="2023-10-13T00:00:00"/>
    <x v="72"/>
    <n v="10"/>
    <n v="2023"/>
  </r>
  <r>
    <n v="334"/>
    <s v="NRC750"/>
    <s v="NRC 107 - 750ml x 16 chai"/>
    <s v="Chai"/>
    <n v="212384"/>
    <n v="0"/>
    <n v="16"/>
    <n v="304000"/>
    <n v="91616"/>
    <d v="2023-10-13T00:00:00"/>
    <x v="72"/>
    <n v="10"/>
    <n v="2023"/>
  </r>
  <r>
    <n v="335"/>
    <s v="GC100"/>
    <s v="GVS cuộn trắng rẻ (xá) x 10 cây"/>
    <s v="Bao"/>
    <n v="57000"/>
    <n v="0"/>
    <n v="1"/>
    <n v="75000"/>
    <n v="18000"/>
    <d v="2023-10-13T00:00:00"/>
    <x v="74"/>
    <n v="10"/>
    <n v="2023"/>
  </r>
  <r>
    <n v="336"/>
    <s v="KV100"/>
    <s v="Khăn Napkin Toply 100 tờ x 48 gói"/>
    <s v="Gói"/>
    <n v="345600"/>
    <n v="4"/>
    <n v="48"/>
    <n v="536000"/>
    <n v="190400"/>
    <d v="2023-10-14T00:00:00"/>
    <x v="18"/>
    <n v="10"/>
    <n v="2023"/>
  </r>
  <r>
    <n v="337"/>
    <s v="GC606"/>
    <s v="GVS TiOne Gấu 6 cuộn x 12 cây"/>
    <s v="Cây"/>
    <n v="0"/>
    <n v="1"/>
    <n v="0"/>
    <n v="-31000"/>
    <n v="-31000"/>
    <d v="2023-10-14T00:00:00"/>
    <x v="44"/>
    <n v="10"/>
    <n v="2023"/>
  </r>
  <r>
    <n v="338"/>
    <s v="KV1009"/>
    <s v="Khăn Napkin TiOne Gấu 100 tờ x 48 gói"/>
    <s v="Gói"/>
    <n v="288000"/>
    <n v="0"/>
    <n v="48"/>
    <n v="360000"/>
    <n v="72000"/>
    <d v="2023-10-14T00:00:00"/>
    <x v="44"/>
    <n v="10"/>
    <n v="2023"/>
  </r>
  <r>
    <n v="339"/>
    <s v="GC613"/>
    <s v="GVS TiOne (HQ) xanh 6 cuộn x 12 cây"/>
    <s v="Cây"/>
    <n v="155004"/>
    <n v="0"/>
    <n v="6"/>
    <n v="222000"/>
    <n v="66996"/>
    <d v="2023-10-14T00:00:00"/>
    <x v="49"/>
    <n v="10"/>
    <n v="2023"/>
  </r>
  <r>
    <n v="340"/>
    <s v="GC617"/>
    <s v="GVS TiOne hồng 6 cuộn x 12 cây"/>
    <s v="Cây"/>
    <n v="0"/>
    <n v="1"/>
    <n v="0"/>
    <n v="-31000"/>
    <n v="-31000"/>
    <d v="2023-10-14T00:00:00"/>
    <x v="49"/>
    <n v="10"/>
    <n v="2023"/>
  </r>
  <r>
    <n v="341"/>
    <s v="NG3600"/>
    <s v="Nước giặt Kimono 6 in 1 (tím) x 3,6kg x 4 bình"/>
    <s v="Bình"/>
    <n v="1460000"/>
    <n v="0"/>
    <n v="16"/>
    <n v="1840000"/>
    <n v="380000"/>
    <d v="2023-10-14T00:00:00"/>
    <x v="1"/>
    <n v="10"/>
    <n v="2023"/>
  </r>
  <r>
    <n v="342"/>
    <s v="NG36002"/>
    <s v="Nước giặt Kimono 6 in 1 (đen) x 3,6kg x 4 bình"/>
    <s v="Bình"/>
    <n v="365000"/>
    <n v="0"/>
    <n v="4"/>
    <n v="460000"/>
    <n v="95000"/>
    <d v="2023-10-14T00:00:00"/>
    <x v="1"/>
    <n v="10"/>
    <n v="2023"/>
  </r>
  <r>
    <n v="343"/>
    <s v="NG36002"/>
    <s v="Nước giặt Kimono 6 in 1 (đen) x 3,6kg x 4 bình"/>
    <s v="Bình"/>
    <n v="365000"/>
    <n v="2"/>
    <n v="4"/>
    <n v="520000"/>
    <n v="155000"/>
    <d v="2023-10-14T00:00:00"/>
    <x v="51"/>
    <n v="10"/>
    <n v="2023"/>
  </r>
  <r>
    <n v="344"/>
    <s v="NGT2000"/>
    <s v="Nước giặt Kimono (đen) 2kg x 6 túi"/>
    <s v="Túi"/>
    <n v="290000"/>
    <n v="1"/>
    <n v="5"/>
    <n v="375000"/>
    <n v="85000"/>
    <d v="2023-10-14T00:00:00"/>
    <x v="51"/>
    <n v="10"/>
    <n v="2023"/>
  </r>
  <r>
    <n v="345"/>
    <s v="GC106"/>
    <s v="GVS Ruby (HQ) 10 cuộn x 8kg"/>
    <s v="Cây"/>
    <n v="180000"/>
    <n v="0"/>
    <n v="10"/>
    <n v="200000"/>
    <n v="20000"/>
    <d v="2023-10-14T00:00:00"/>
    <x v="93"/>
    <n v="10"/>
    <n v="2023"/>
  </r>
  <r>
    <n v="346"/>
    <s v="DCTD708"/>
    <s v="Dao cạo Dorco vàng TD 708 (12 cây x 40 vỉ)"/>
    <s v="Vỉ"/>
    <n v="211200"/>
    <n v="1"/>
    <n v="8"/>
    <n v="256000"/>
    <n v="44800"/>
    <d v="2023-10-14T00:00:00"/>
    <x v="94"/>
    <n v="10"/>
    <n v="2023"/>
  </r>
  <r>
    <n v="347"/>
    <s v="GC606"/>
    <s v="GVS TiOne Gấu 6 cuộn x 12 cây"/>
    <s v="Cây"/>
    <n v="310008"/>
    <n v="0"/>
    <n v="12"/>
    <n v="444000"/>
    <n v="133992"/>
    <d v="2023-10-14T00:00:00"/>
    <x v="94"/>
    <n v="10"/>
    <n v="2023"/>
  </r>
  <r>
    <n v="348"/>
    <s v="GC617"/>
    <s v="GVS TiOne hồng 6 cuộn x 12 cây"/>
    <s v="Cây"/>
    <n v="0"/>
    <n v="2"/>
    <n v="0"/>
    <n v="-63000"/>
    <n v="-63000"/>
    <d v="2023-10-14T00:00:00"/>
    <x v="94"/>
    <n v="10"/>
    <n v="2023"/>
  </r>
  <r>
    <n v="349"/>
    <s v="KU1505"/>
    <s v="Khăn ướt TE TiOne 150g x 30 gói"/>
    <s v="Gói"/>
    <n v="0"/>
    <n v="0"/>
    <n v="0"/>
    <n v="0"/>
    <n v="0"/>
    <d v="2023-10-14T00:00:00"/>
    <x v="94"/>
    <n v="10"/>
    <n v="2023"/>
  </r>
  <r>
    <n v="350"/>
    <s v="KU2501"/>
    <s v="Khăn ướt TiOne (khổ lớn) 250g x 20 gói"/>
    <s v="Gói"/>
    <n v="230000"/>
    <n v="5"/>
    <n v="20"/>
    <n v="352000"/>
    <n v="122000"/>
    <d v="2023-10-14T00:00:00"/>
    <x v="94"/>
    <n v="10"/>
    <n v="2023"/>
  </r>
  <r>
    <n v="351"/>
    <s v="LK500"/>
    <s v="Lau kính (kháng khuẩn, khủ mùi) 500ml x 24 chai"/>
    <s v="Chai"/>
    <n v="348000"/>
    <n v="1"/>
    <n v="24"/>
    <n v="415000"/>
    <n v="67000"/>
    <d v="2023-10-14T00:00:00"/>
    <x v="94"/>
    <n v="10"/>
    <n v="2023"/>
  </r>
  <r>
    <n v="352"/>
    <s v="HTBTE30"/>
    <s v="Bánh TE Munchies Chuối &amp; Bí Đỏ 30g x 12 hộp"/>
    <s v="Hộp"/>
    <n v="1267200"/>
    <n v="2"/>
    <n v="24"/>
    <n v="1301200"/>
    <n v="34000"/>
    <d v="2023-10-14T00:00:00"/>
    <x v="95"/>
    <n v="10"/>
    <n v="2023"/>
  </r>
  <r>
    <n v="353"/>
    <s v="HTBTE301"/>
    <s v="Bánh TE Munchies Mâm Xôi &amp; Củ Dền 30g x 12 hộp"/>
    <s v="Hộp"/>
    <n v="1267200"/>
    <n v="2"/>
    <n v="24"/>
    <n v="1301200"/>
    <n v="34000"/>
    <d v="2023-10-14T00:00:00"/>
    <x v="95"/>
    <n v="10"/>
    <n v="2023"/>
  </r>
  <r>
    <n v="354"/>
    <s v="HTBTE50"/>
    <s v="Bánh gạo TE Happy Bites Việt Quất 50g x 12 hộp"/>
    <s v="Hộp"/>
    <n v="2174400"/>
    <n v="8"/>
    <n v="48"/>
    <n v="2008000"/>
    <n v="-166400"/>
    <d v="2023-10-14T00:00:00"/>
    <x v="95"/>
    <n v="10"/>
    <n v="2023"/>
  </r>
  <r>
    <n v="355"/>
    <s v="HTBTE501"/>
    <s v="Bánh gạo TE Happy Bites Táo 50g x 12 hộp"/>
    <s v="Hộp"/>
    <n v="2174400"/>
    <n v="8"/>
    <n v="48"/>
    <n v="2008000"/>
    <n v="-166400"/>
    <d v="2023-10-14T00:00:00"/>
    <x v="95"/>
    <n v="10"/>
    <n v="2023"/>
  </r>
  <r>
    <n v="356"/>
    <s v="HTBTE502"/>
    <s v="Bánh gạo TE Happy Bites Chuối 50g x 12 hộp"/>
    <s v="Hộp"/>
    <n v="2174400"/>
    <n v="8"/>
    <n v="48"/>
    <n v="2008000"/>
    <n v="-166400"/>
    <d v="2023-10-14T00:00:00"/>
    <x v="95"/>
    <n v="10"/>
    <n v="2023"/>
  </r>
  <r>
    <n v="357"/>
    <s v="TT01"/>
    <s v="Thanh toán lần 1"/>
    <s v="VNĐ"/>
    <n v="0"/>
    <n v="0"/>
    <n v="0"/>
    <n v="-7878000"/>
    <n v="-7878000"/>
    <d v="2023-10-14T00:00:00"/>
    <x v="95"/>
    <n v="10"/>
    <n v="2023"/>
  </r>
  <r>
    <n v="358"/>
    <s v="NV102"/>
    <s v="Núm vú cổ rộng size M"/>
    <s v="Hộp"/>
    <n v="0"/>
    <n v="0"/>
    <n v="0"/>
    <n v="0"/>
    <n v="0"/>
    <d v="2023-10-14T00:00:00"/>
    <x v="10"/>
    <n v="10"/>
    <n v="2023"/>
  </r>
  <r>
    <n v="359"/>
    <s v="NV103"/>
    <s v="Núm vú cổ rộng size L"/>
    <s v="Hộp"/>
    <n v="240000"/>
    <n v="0"/>
    <n v="1"/>
    <n v="240000"/>
    <n v="0"/>
    <d v="2023-10-14T00:00:00"/>
    <x v="10"/>
    <n v="10"/>
    <n v="2023"/>
  </r>
  <r>
    <n v="360"/>
    <s v="TNS1"/>
    <s v="Tẩy toilet Nam Sơn NK 100% 1L x 12 chai"/>
    <s v="Chai"/>
    <n v="190008"/>
    <n v="0"/>
    <n v="12"/>
    <n v="312000"/>
    <n v="121992"/>
    <d v="2023-10-14T00:00:00"/>
    <x v="96"/>
    <n v="10"/>
    <n v="2023"/>
  </r>
  <r>
    <n v="361"/>
    <s v="GC101"/>
    <s v="GVS TiOne 10 cuộn xanh x 10 cây"/>
    <s v="Cây"/>
    <n v="110000"/>
    <n v="0"/>
    <n v="10"/>
    <n v="170000"/>
    <n v="60000"/>
    <d v="2023-10-14T00:00:00"/>
    <x v="97"/>
    <n v="10"/>
    <n v="2023"/>
  </r>
  <r>
    <n v="362"/>
    <s v="GC606"/>
    <s v="GVS TiOne Gấu 6 cuộn x 12 cây"/>
    <s v="Cây"/>
    <n v="310008"/>
    <n v="0"/>
    <n v="12"/>
    <n v="384000"/>
    <n v="73992"/>
    <d v="2023-10-14T00:00:00"/>
    <x v="97"/>
    <n v="10"/>
    <n v="2023"/>
  </r>
  <r>
    <n v="363"/>
    <s v="KV320"/>
    <s v="Khăn Napkin Fairy 320 x 100 tờ x 48 gói"/>
    <s v="Gói"/>
    <n v="528000"/>
    <n v="0"/>
    <n v="48"/>
    <n v="480000"/>
    <n v="-48000"/>
    <d v="2023-10-14T00:00:00"/>
    <x v="97"/>
    <n v="10"/>
    <n v="2023"/>
  </r>
  <r>
    <n v="364"/>
    <s v="BCTENEKO1"/>
    <s v="BÀN CHẢI ĐÁNH RĂNG TE ION - NEKO plus"/>
    <s v="Cây"/>
    <n v="500000"/>
    <n v="4"/>
    <n v="10"/>
    <n v="358000"/>
    <n v="-142000"/>
    <d v="2023-10-14T00:00:00"/>
    <x v="82"/>
    <n v="10"/>
    <n v="2023"/>
  </r>
  <r>
    <n v="365"/>
    <s v="XM6007"/>
    <s v="Xịt muỗi 600ml x 30 chai"/>
    <s v="Chai"/>
    <n v="540000"/>
    <n v="0"/>
    <n v="30"/>
    <n v="630000"/>
    <n v="90000"/>
    <d v="2023-10-14T00:00:00"/>
    <x v="58"/>
    <n v="10"/>
    <n v="2023"/>
  </r>
  <r>
    <n v="366"/>
    <s v="HM610"/>
    <s v="Yến sào Finenest CĐ đỏ x 6 hộp"/>
    <s v="Hộp"/>
    <n v="600000"/>
    <n v="6"/>
    <n v="6"/>
    <n v="654000"/>
    <n v="54000"/>
    <d v="2023-10-14T00:00:00"/>
    <x v="45"/>
    <n v="10"/>
    <n v="2023"/>
  </r>
  <r>
    <n v="367"/>
    <s v="HM608"/>
    <s v="Yến sào Seunest CĐ vàng x 6 hộp"/>
    <s v="Hộp"/>
    <n v="400000"/>
    <n v="0"/>
    <n v="4"/>
    <n v="540000"/>
    <n v="140000"/>
    <d v="2023-10-17T00:00:00"/>
    <x v="9"/>
    <n v="10"/>
    <n v="2023"/>
  </r>
  <r>
    <n v="368"/>
    <s v="KV1002"/>
    <s v="Khăn Napkin TiOne nâu 100 tờ x 30 gói"/>
    <s v="Gói"/>
    <n v="1296000"/>
    <n v="0"/>
    <n v="180"/>
    <n v="1692000"/>
    <n v="396000"/>
    <d v="2023-10-20T00:00:00"/>
    <x v="2"/>
    <n v="10"/>
    <n v="2023"/>
  </r>
  <r>
    <n v="369"/>
    <s v="GC10"/>
    <s v="V/S Bibi không lõi x 10 dây"/>
    <s v="Dây"/>
    <n v="130000"/>
    <n v="0"/>
    <n v="5"/>
    <n v="120000"/>
    <n v="-10000"/>
    <d v="2023-10-20T00:00:00"/>
    <x v="98"/>
    <n v="10"/>
    <n v="2023"/>
  </r>
  <r>
    <n v="370"/>
    <s v="GC1023"/>
    <s v="V/S Bibi có lõi x 10 dây"/>
    <s v="Dây"/>
    <n v="122500"/>
    <n v="0"/>
    <n v="5"/>
    <n v="120000"/>
    <n v="-2500"/>
    <d v="2023-10-20T00:00:00"/>
    <x v="98"/>
    <n v="10"/>
    <n v="2023"/>
  </r>
  <r>
    <n v="371"/>
    <s v="GC603"/>
    <s v="GVS Ruby Gold 6 cuộn (không lõi) x 12 cây"/>
    <s v="Cây"/>
    <n v="150000"/>
    <n v="0"/>
    <n v="6"/>
    <n v="222000"/>
    <n v="72000"/>
    <d v="2023-10-20T00:00:00"/>
    <x v="98"/>
    <n v="10"/>
    <n v="2023"/>
  </r>
  <r>
    <n v="372"/>
    <s v="GC606"/>
    <s v="GVS TiOne Gấu 6 cuộn x 12 cây"/>
    <s v="Cây"/>
    <n v="155004"/>
    <n v="1"/>
    <n v="6"/>
    <n v="191000"/>
    <n v="35996"/>
    <d v="2023-10-20T00:00:00"/>
    <x v="98"/>
    <n v="10"/>
    <n v="2023"/>
  </r>
  <r>
    <n v="373"/>
    <s v="KU250"/>
    <s v="Khăn ướt TE Villa 250g x 30 gói"/>
    <s v="Gói"/>
    <n v="231000"/>
    <n v="0"/>
    <n v="30"/>
    <n v="300000"/>
    <n v="69000"/>
    <d v="2023-10-20T00:00:00"/>
    <x v="98"/>
    <n v="10"/>
    <n v="2023"/>
  </r>
  <r>
    <n v="374"/>
    <s v="KU801"/>
    <s v="Khăn ướt Baby (đỏ) 80g x 50 gói"/>
    <s v="Gói"/>
    <n v="120000"/>
    <n v="0"/>
    <n v="30"/>
    <n v="180000"/>
    <n v="60000"/>
    <d v="2023-10-21T00:00:00"/>
    <x v="99"/>
    <n v="10"/>
    <n v="2023"/>
  </r>
  <r>
    <n v="375"/>
    <s v="KV100"/>
    <s v="Khăn Napkin Toply 100 tờ x 48 gói"/>
    <s v="Gói"/>
    <n v="172800"/>
    <n v="0"/>
    <n v="24"/>
    <n v="288000"/>
    <n v="115200"/>
    <d v="2023-10-21T00:00:00"/>
    <x v="99"/>
    <n v="10"/>
    <n v="2023"/>
  </r>
  <r>
    <n v="376"/>
    <s v="KV320"/>
    <s v="Khăn Napkin Fairy 320 x 100 tờ x 48 gói"/>
    <s v="Gói"/>
    <n v="0"/>
    <n v="3"/>
    <n v="0"/>
    <n v="-30000"/>
    <n v="-30000"/>
    <d v="2023-10-21T00:00:00"/>
    <x v="99"/>
    <n v="10"/>
    <n v="2023"/>
  </r>
  <r>
    <n v="377"/>
    <s v="GC600"/>
    <s v="GVS TiOne cuộn CN 600gr x 10 cuộn"/>
    <s v="Cuộn"/>
    <n v="210000"/>
    <n v="0"/>
    <n v="10"/>
    <n v="320000"/>
    <n v="110000"/>
    <d v="2023-10-21T00:00:00"/>
    <x v="79"/>
    <n v="10"/>
    <n v="2023"/>
  </r>
  <r>
    <n v="378"/>
    <s v="NRC38001"/>
    <s v="NRC KIMONO 3,6kg x 4 bình"/>
    <s v="Bình"/>
    <n v="0"/>
    <n v="0"/>
    <n v="0"/>
    <n v="-180000"/>
    <n v="-180000"/>
    <d v="2023-10-21T00:00:00"/>
    <x v="79"/>
    <n v="10"/>
    <n v="2023"/>
  </r>
  <r>
    <n v="379"/>
    <s v="KTN2001"/>
    <s v="Kẹo Trang Nghiêm ME CAM THẢO 200gr x 50 gói/thùng"/>
    <s v="Gói"/>
    <n v="61000"/>
    <n v="0"/>
    <n v="5"/>
    <n v="65000"/>
    <n v="4000"/>
    <d v="2023-10-21T00:00:00"/>
    <x v="80"/>
    <n v="10"/>
    <n v="2023"/>
  </r>
  <r>
    <n v="380"/>
    <s v="KTN2002"/>
    <s v="Kẹo Trang Nghiêm DÂU TÂY 200gr x 50 gói/thùng"/>
    <s v="Gói"/>
    <n v="73200"/>
    <n v="0"/>
    <n v="6"/>
    <n v="78000"/>
    <n v="4800"/>
    <d v="2023-10-21T00:00:00"/>
    <x v="80"/>
    <n v="10"/>
    <n v="2023"/>
  </r>
  <r>
    <n v="381"/>
    <s v="KTN2003"/>
    <s v="Kẹo Trang Nghiêm DÂU TẰM 200gr x 50 gói/thùng"/>
    <s v="Gói"/>
    <n v="61000"/>
    <n v="0"/>
    <n v="5"/>
    <n v="65000"/>
    <n v="4000"/>
    <d v="2023-10-21T00:00:00"/>
    <x v="80"/>
    <n v="10"/>
    <n v="2023"/>
  </r>
  <r>
    <n v="382"/>
    <s v="KTN2004"/>
    <s v="Kẹo Trang Nghiêm ME ỚT 200gr x 50 gói/thùng"/>
    <s v="Gói"/>
    <n v="61000"/>
    <n v="0"/>
    <n v="5"/>
    <n v="65000"/>
    <n v="4000"/>
    <d v="2023-10-21T00:00:00"/>
    <x v="80"/>
    <n v="10"/>
    <n v="2023"/>
  </r>
  <r>
    <n v="383"/>
    <s v="A1K15"/>
    <s v="Kẹo bạc hà (chanh muối) Himalaya 15g x 12 gói x 12 hộp"/>
    <s v="Hộp"/>
    <n v="362268"/>
    <n v="0"/>
    <n v="6"/>
    <n v="312000"/>
    <n v="-50268"/>
    <d v="2023-10-21T00:00:00"/>
    <x v="41"/>
    <n v="10"/>
    <n v="2023"/>
  </r>
  <r>
    <n v="384"/>
    <s v="KV100"/>
    <s v="Khăn Napkin Toply 100 tờ x 48 gói"/>
    <s v="Gói"/>
    <n v="345600"/>
    <n v="0"/>
    <n v="48"/>
    <n v="518400"/>
    <n v="172800"/>
    <d v="2023-10-21T00:00:00"/>
    <x v="0"/>
    <n v="10"/>
    <n v="2023"/>
  </r>
  <r>
    <n v="385"/>
    <s v="KV320"/>
    <s v="Khăn Napkin Fairy 320 x 100 tờ x 48 gói"/>
    <s v="Gói"/>
    <n v="1056000"/>
    <n v="0"/>
    <n v="96"/>
    <n v="960000"/>
    <n v="-96000"/>
    <d v="2023-10-21T00:00:00"/>
    <x v="0"/>
    <n v="10"/>
    <n v="2023"/>
  </r>
  <r>
    <n v="386"/>
    <s v="TLM"/>
    <s v="Tẩy toilet Liên Minh (nguyên liệu nhập khẩu) x 12 chai"/>
    <s v="Chai"/>
    <n v="320016"/>
    <n v="0"/>
    <n v="24"/>
    <n v="440016"/>
    <n v="120000"/>
    <d v="2023-10-21T00:00:00"/>
    <x v="0"/>
    <n v="10"/>
    <n v="2023"/>
  </r>
  <r>
    <n v="387"/>
    <s v="KU801"/>
    <s v="Khăn ướt Baby (đỏ) 80g x 50 gói"/>
    <s v="Gói"/>
    <n v="200000"/>
    <n v="0"/>
    <n v="50"/>
    <n v="300000"/>
    <n v="100000"/>
    <d v="2023-10-21T00:00:00"/>
    <x v="63"/>
    <n v="10"/>
    <n v="2023"/>
  </r>
  <r>
    <n v="388"/>
    <s v="HM607"/>
    <s v="Yến sào Seunest KĐ xanh x 6 hộp"/>
    <s v="Hộp"/>
    <n v="0"/>
    <n v="3"/>
    <n v="0"/>
    <n v="-327000"/>
    <n v="-327000"/>
    <d v="2023-10-21T00:00:00"/>
    <x v="21"/>
    <n v="10"/>
    <n v="2023"/>
  </r>
  <r>
    <n v="389"/>
    <s v="HM608"/>
    <s v="Yến sào Seunest CĐ vàng x 6 hộp"/>
    <s v="Hộp"/>
    <n v="300000"/>
    <n v="0"/>
    <n v="3"/>
    <n v="654000"/>
    <n v="354000"/>
    <d v="2023-10-21T00:00:00"/>
    <x v="21"/>
    <n v="10"/>
    <n v="2023"/>
  </r>
  <r>
    <n v="390"/>
    <s v="KV1001"/>
    <s v="Khăn Napkin Ruby Gold 100 tờ x 30 gói"/>
    <s v="Gói"/>
    <n v="225000"/>
    <n v="8"/>
    <n v="30"/>
    <n v="261000"/>
    <n v="36000"/>
    <d v="2023-10-21T00:00:00"/>
    <x v="21"/>
    <n v="10"/>
    <n v="2023"/>
  </r>
  <r>
    <n v="391"/>
    <s v="NG3600"/>
    <s v="Nước giặt Kimono 6 in 1 (tím) x 3,6kg x 4 bình"/>
    <s v="Bình"/>
    <n v="0"/>
    <n v="1"/>
    <n v="0"/>
    <n v="-130000"/>
    <n v="-130000"/>
    <d v="2023-10-21T00:00:00"/>
    <x v="21"/>
    <n v="10"/>
    <n v="2023"/>
  </r>
  <r>
    <n v="392"/>
    <s v="NG36002"/>
    <s v="Nước giặt Kimono 6 in 1 (đen) x 3,6kg x 4 bình"/>
    <s v="Bình"/>
    <n v="182500"/>
    <n v="0"/>
    <n v="2"/>
    <n v="390000"/>
    <n v="207500"/>
    <d v="2023-10-21T00:00:00"/>
    <x v="21"/>
    <n v="10"/>
    <n v="2023"/>
  </r>
  <r>
    <n v="393"/>
    <s v="KDR002"/>
    <s v="Kem đánh răng AquaStar TE cam x 60 hộp"/>
    <s v="Hộp"/>
    <n v="79998"/>
    <n v="1"/>
    <n v="6"/>
    <n v="83000"/>
    <n v="3002"/>
    <d v="2023-10-21T00:00:00"/>
    <x v="53"/>
    <n v="10"/>
    <n v="2023"/>
  </r>
  <r>
    <n v="394"/>
    <s v="KDR003"/>
    <s v="Kem đánh răng AquaStar TE dâu x 60 hộp"/>
    <s v="Hộp"/>
    <n v="79998"/>
    <n v="1"/>
    <n v="6"/>
    <n v="83000"/>
    <n v="3002"/>
    <d v="2023-10-21T00:00:00"/>
    <x v="53"/>
    <n v="10"/>
    <n v="2023"/>
  </r>
  <r>
    <n v="395"/>
    <s v="KV1002"/>
    <s v="Khăn Napkin TiOne nâu 100 tờ x 30 gói"/>
    <s v="Gói"/>
    <n v="216000"/>
    <n v="3"/>
    <n v="30"/>
    <n v="300000"/>
    <n v="84000"/>
    <d v="2023-10-21T00:00:00"/>
    <x v="53"/>
    <n v="10"/>
    <n v="2023"/>
  </r>
  <r>
    <n v="396"/>
    <s v="KV501"/>
    <s v="Khăn ăn Cocktail Paseo 50 tờ 2 lớp x 60 gói"/>
    <s v="Gói"/>
    <n v="37585"/>
    <n v="0"/>
    <n v="5"/>
    <n v="30000"/>
    <n v="-7585"/>
    <d v="2023-10-21T00:00:00"/>
    <x v="53"/>
    <n v="10"/>
    <n v="2023"/>
  </r>
  <r>
    <n v="397"/>
    <s v="KVK300"/>
    <s v="Khăn vải khô đa năng 300g x 30 gói"/>
    <s v="Gói"/>
    <n v="115000"/>
    <n v="0"/>
    <n v="5"/>
    <n v="165000"/>
    <n v="50000"/>
    <d v="2023-10-21T00:00:00"/>
    <x v="53"/>
    <n v="10"/>
    <n v="2023"/>
  </r>
  <r>
    <n v="398"/>
    <s v="GC10"/>
    <s v="V/S Bibi không lõi x 10 dây"/>
    <s v="Dây"/>
    <n v="260000"/>
    <n v="0"/>
    <n v="10"/>
    <n v="250000"/>
    <n v="-10000"/>
    <d v="2023-10-21T00:00:00"/>
    <x v="66"/>
    <n v="10"/>
    <n v="2023"/>
  </r>
  <r>
    <n v="399"/>
    <s v="HM608"/>
    <s v="Yến sào Seunest CĐ vàng x 6 hộp"/>
    <s v="Hộp"/>
    <n v="200000"/>
    <n v="0"/>
    <n v="2"/>
    <n v="260000"/>
    <n v="60000"/>
    <d v="2023-10-21T00:00:00"/>
    <x v="66"/>
    <n v="10"/>
    <n v="2023"/>
  </r>
  <r>
    <n v="400"/>
    <s v="KV1001"/>
    <s v="Khăn Napkin Ruby Gold 100 tờ x 30 gói"/>
    <s v="Gói"/>
    <n v="225000"/>
    <n v="0"/>
    <n v="30"/>
    <n v="330000"/>
    <n v="105000"/>
    <d v="2023-10-21T00:00:00"/>
    <x v="66"/>
    <n v="10"/>
    <n v="2023"/>
  </r>
  <r>
    <n v="401"/>
    <s v="KV1002"/>
    <s v="Khăn Napkin TiOne nâu 100 tờ x 30 gói"/>
    <s v="Gói"/>
    <n v="0"/>
    <n v="8"/>
    <n v="0"/>
    <n v="-80000"/>
    <n v="-80000"/>
    <d v="2023-10-21T00:00:00"/>
    <x v="66"/>
    <n v="10"/>
    <n v="2023"/>
  </r>
  <r>
    <n v="402"/>
    <s v="TNS1"/>
    <s v="Tẩy toilet Nam Sơn NK 100% 1L x 12 chai"/>
    <s v="Chai"/>
    <n v="190008"/>
    <n v="0"/>
    <n v="12"/>
    <n v="312000"/>
    <n v="121992"/>
    <d v="2023-10-21T00:00:00"/>
    <x v="66"/>
    <n v="10"/>
    <n v="2023"/>
  </r>
  <r>
    <n v="403"/>
    <s v="HTBTE50"/>
    <s v="Bánh gạo TE Happy Bites Việt Quất 50g x 12 hộp"/>
    <s v="Hộp"/>
    <n v="135900"/>
    <n v="4"/>
    <n v="3"/>
    <n v="-25000"/>
    <n v="-160900"/>
    <d v="2023-10-21T00:00:00"/>
    <x v="82"/>
    <n v="10"/>
    <n v="2023"/>
  </r>
  <r>
    <n v="404"/>
    <s v="HTBTE501"/>
    <s v="Bánh gạo TE Happy Bites Táo 50g x 12 hộp"/>
    <s v="Hộp"/>
    <n v="317100"/>
    <n v="0"/>
    <n v="7"/>
    <n v="343000"/>
    <n v="25900"/>
    <d v="2023-10-21T00:00:00"/>
    <x v="82"/>
    <n v="10"/>
    <n v="2023"/>
  </r>
  <r>
    <n v="405"/>
    <s v="HTBTE502"/>
    <s v="Bánh gạo TE Happy Bites Chuối 50g x 12 hộp"/>
    <s v="Hộp"/>
    <n v="634200"/>
    <n v="0"/>
    <n v="14"/>
    <n v="686000"/>
    <n v="51800"/>
    <d v="2023-10-21T00:00:00"/>
    <x v="82"/>
    <n v="10"/>
    <n v="2023"/>
  </r>
  <r>
    <n v="406"/>
    <s v="BG3500"/>
    <s v="Bột giặt Lady 107 - 3,5kg x 4 gói/thùng"/>
    <s v="Gói"/>
    <n v="331520"/>
    <n v="0"/>
    <n v="4"/>
    <n v="408000"/>
    <n v="76480"/>
    <d v="2023-10-21T00:00:00"/>
    <x v="58"/>
    <n v="10"/>
    <n v="2023"/>
  </r>
  <r>
    <n v="407"/>
    <s v="KU203"/>
    <s v="Khăn ướt TiOne 20g x 100 gói"/>
    <s v="Gói"/>
    <n v="50000"/>
    <n v="0"/>
    <n v="20"/>
    <n v="80000"/>
    <n v="30000"/>
    <d v="2023-10-21T00:00:00"/>
    <x v="58"/>
    <n v="10"/>
    <n v="2023"/>
  </r>
  <r>
    <n v="408"/>
    <s v="HM610"/>
    <s v="Yến sào Finenest CĐ đỏ x 6 hộp"/>
    <s v="Hộp"/>
    <n v="600000"/>
    <n v="6"/>
    <n v="6"/>
    <n v="654000"/>
    <n v="54000"/>
    <d v="2023-10-21T00:00:00"/>
    <x v="45"/>
    <n v="10"/>
    <n v="2023"/>
  </r>
  <r>
    <n v="409"/>
    <s v="KV1009"/>
    <s v="Khăn Napkin TiOne Gấu 100 tờ x 48 gói"/>
    <s v="Gói"/>
    <n v="288000"/>
    <n v="0"/>
    <n v="48"/>
    <n v="360000"/>
    <n v="72000"/>
    <d v="2023-10-21T00:00:00"/>
    <x v="12"/>
    <n v="10"/>
    <n v="2023"/>
  </r>
  <r>
    <n v="410"/>
    <s v="KV1011"/>
    <s v="Khăn Napkin EMos x 30 gói"/>
    <s v="Gói"/>
    <n v="200010"/>
    <n v="0"/>
    <n v="30"/>
    <n v="225000"/>
    <n v="24990"/>
    <d v="2023-10-21T00:00:00"/>
    <x v="12"/>
    <n v="10"/>
    <n v="2023"/>
  </r>
  <r>
    <n v="411"/>
    <s v="HM10"/>
    <s v="Yến sào Finenest nhân sâm x 10 hộp"/>
    <s v="Hộp"/>
    <n v="0"/>
    <n v="3"/>
    <n v="0"/>
    <n v="-327000"/>
    <n v="-327000"/>
    <d v="2023-10-21T00:00:00"/>
    <x v="89"/>
    <n v="10"/>
    <n v="2023"/>
  </r>
  <r>
    <n v="412"/>
    <s v="HM608"/>
    <s v="Yến sào Seunest CĐ vàng x 6 hộp"/>
    <s v="Hộp"/>
    <n v="300000"/>
    <n v="0"/>
    <n v="3"/>
    <n v="654000"/>
    <n v="354000"/>
    <d v="2023-10-21T00:00:00"/>
    <x v="89"/>
    <n v="10"/>
    <n v="2023"/>
  </r>
  <r>
    <n v="413"/>
    <s v="KDL01"/>
    <s v="Khăn giấy bỏ túi Paseo 9 tờ x 6 gói/cây x 40 cây"/>
    <s v="Cây"/>
    <n v="0"/>
    <n v="0"/>
    <n v="0"/>
    <n v="0"/>
    <n v="0"/>
    <d v="2023-10-23T00:00:00"/>
    <x v="4"/>
    <n v="10"/>
    <n v="2023"/>
  </r>
  <r>
    <n v="414"/>
    <s v="BT002"/>
    <s v="Bông tắm có mút cao cấp x 12 cái"/>
    <s v="Cái"/>
    <n v="693000"/>
    <n v="5"/>
    <n v="44"/>
    <n v="792000"/>
    <n v="99000"/>
    <d v="2023-10-26T00:00:00"/>
    <x v="59"/>
    <n v="10"/>
    <n v="2023"/>
  </r>
  <r>
    <n v="415"/>
    <s v="NV102"/>
    <s v="Núm vú cổ rộng size M"/>
    <s v="Hộp"/>
    <n v="240000"/>
    <n v="0"/>
    <n v="1"/>
    <n v="250000"/>
    <n v="10000"/>
    <d v="2023-10-26T00:00:00"/>
    <x v="14"/>
    <n v="10"/>
    <n v="2023"/>
  </r>
  <r>
    <n v="416"/>
    <s v="TNS1"/>
    <s v="Tẩy toilet Nam Sơn NK 100% 1L x 12 chai"/>
    <s v="Chai"/>
    <n v="950040"/>
    <n v="12"/>
    <n v="60"/>
    <n v="1325000"/>
    <n v="374960"/>
    <d v="2023-10-26T00:00:00"/>
    <x v="14"/>
    <n v="10"/>
    <n v="2023"/>
  </r>
  <r>
    <n v="417"/>
    <s v="CG50"/>
    <s v="Chân gà cay ăn liền ZL FOOD loại 50g x 30 x 7 túi"/>
    <s v="Cái"/>
    <n v="55000"/>
    <n v="0"/>
    <n v="10"/>
    <n v="60000"/>
    <n v="5000"/>
    <d v="2023-10-26T00:00:00"/>
    <x v="100"/>
    <n v="10"/>
    <n v="2023"/>
  </r>
  <r>
    <n v="418"/>
    <s v="CG501"/>
    <s v="Chân gà cay ăn liền ZL FOOD Acao 50g x 30 x 7 túi"/>
    <s v="Cái"/>
    <n v="110000"/>
    <n v="0"/>
    <n v="20"/>
    <n v="120000"/>
    <n v="10000"/>
    <d v="2023-10-26T00:00:00"/>
    <x v="100"/>
    <n v="10"/>
    <n v="2023"/>
  </r>
  <r>
    <n v="419"/>
    <s v="KTN802"/>
    <s v="Kẹo Trang Nghiêm ME ỚT 80gr x 100 gói/thùng"/>
    <s v="Gói"/>
    <n v="52500"/>
    <n v="0"/>
    <n v="10"/>
    <n v="70000"/>
    <n v="17500"/>
    <d v="2023-10-26T00:00:00"/>
    <x v="100"/>
    <n v="10"/>
    <n v="2023"/>
  </r>
  <r>
    <n v="420"/>
    <s v="CG50"/>
    <s v="Chân gà cay ăn liền ZL FOOD loại 50g x 30 x 7 túi"/>
    <s v="Cái"/>
    <n v="165000"/>
    <n v="0"/>
    <n v="30"/>
    <n v="180000"/>
    <n v="15000"/>
    <d v="2023-10-26T00:00:00"/>
    <x v="31"/>
    <n v="10"/>
    <n v="2023"/>
  </r>
  <r>
    <n v="421"/>
    <s v="CG501"/>
    <s v="Chân gà cay ăn liền ZL FOOD Acao 50g x 30 x 7 túi"/>
    <s v="Cái"/>
    <n v="165000"/>
    <n v="0"/>
    <n v="30"/>
    <n v="180000"/>
    <n v="15000"/>
    <d v="2023-10-26T00:00:00"/>
    <x v="31"/>
    <n v="10"/>
    <n v="2023"/>
  </r>
  <r>
    <n v="422"/>
    <s v="KU250"/>
    <s v="Khăn ướt TE Villa 250g x 30 gói"/>
    <s v="Gói"/>
    <n v="231000"/>
    <n v="0"/>
    <n v="30"/>
    <n v="300000"/>
    <n v="69000"/>
    <d v="2023-10-26T00:00:00"/>
    <x v="31"/>
    <n v="10"/>
    <n v="2023"/>
  </r>
  <r>
    <n v="423"/>
    <s v="KV320"/>
    <s v="Khăn Napkin Fairy 320 x 100 tờ x 48 gói"/>
    <s v="Gói"/>
    <n v="110000"/>
    <n v="0"/>
    <n v="10"/>
    <n v="110000"/>
    <n v="0"/>
    <d v="2023-10-26T00:00:00"/>
    <x v="31"/>
    <n v="10"/>
    <n v="2023"/>
  </r>
  <r>
    <n v="424"/>
    <s v="TNS1"/>
    <s v="Tẩy toilet Nam Sơn NK 100% 1L x 12 chai"/>
    <s v="Chai"/>
    <n v="190008"/>
    <n v="0"/>
    <n v="12"/>
    <n v="270000"/>
    <n v="79992"/>
    <d v="2023-10-26T00:00:00"/>
    <x v="31"/>
    <n v="10"/>
    <n v="2023"/>
  </r>
  <r>
    <n v="425"/>
    <s v="KMQCL"/>
    <s v="Quạt SENKO 1638 chân lỡ"/>
    <s v="Cây"/>
    <n v="0"/>
    <n v="1"/>
    <n v="0"/>
    <n v="-282000"/>
    <n v="-282000"/>
    <d v="2023-10-26T00:00:00"/>
    <x v="34"/>
    <n v="10"/>
    <n v="2023"/>
  </r>
  <r>
    <n v="426"/>
    <s v="KTN3001"/>
    <s v="Kẹo Trang Nghiêm DÂU TÂY hộp 200g x 24 hộp/thùng"/>
    <s v="Hộp"/>
    <n v="145000"/>
    <n v="0"/>
    <n v="10"/>
    <n v="140000"/>
    <n v="-5000"/>
    <d v="2023-10-26T00:00:00"/>
    <x v="34"/>
    <n v="10"/>
    <n v="2023"/>
  </r>
  <r>
    <n v="427"/>
    <s v="KTN3002"/>
    <s v="Kẹo Trang Nghiêm DÂU TẰM hộp 200g x 24 hộp/thùng"/>
    <s v="Hộp"/>
    <n v="145000"/>
    <n v="0"/>
    <n v="10"/>
    <n v="140000"/>
    <n v="-5000"/>
    <d v="2023-10-26T00:00:00"/>
    <x v="34"/>
    <n v="10"/>
    <n v="2023"/>
  </r>
  <r>
    <n v="428"/>
    <s v="KTN400"/>
    <s v="Kẹo Trang Nghiêm DÂU TÂY hộp 400g x 24 hộp/thùng"/>
    <s v="Hộp"/>
    <n v="86400"/>
    <n v="0"/>
    <n v="3"/>
    <n v="90000"/>
    <n v="3600"/>
    <d v="2023-10-26T00:00:00"/>
    <x v="34"/>
    <n v="10"/>
    <n v="2023"/>
  </r>
  <r>
    <n v="429"/>
    <s v="KTN4001"/>
    <s v="Kẹo Trang Nghiêm DÂU TẰM hộp 400g x 24 hộp/thùng"/>
    <s v="Hộp"/>
    <n v="86400"/>
    <n v="0"/>
    <n v="3"/>
    <n v="90000"/>
    <n v="3600"/>
    <d v="2023-10-26T00:00:00"/>
    <x v="34"/>
    <n v="10"/>
    <n v="2023"/>
  </r>
  <r>
    <n v="430"/>
    <s v="KU1509"/>
    <s v="Khăn ướt BBIWINEW (khổ lớn) 150g x 30 gói"/>
    <s v="Gói"/>
    <n v="540000"/>
    <n v="0"/>
    <n v="60"/>
    <n v="1080000"/>
    <n v="540000"/>
    <d v="2023-10-26T00:00:00"/>
    <x v="34"/>
    <n v="10"/>
    <n v="2023"/>
  </r>
  <r>
    <n v="431"/>
    <s v="KU250"/>
    <s v="Khăn ướt TE Villa 250g x 30 gói"/>
    <s v="Gói"/>
    <n v="231000"/>
    <n v="0"/>
    <n v="30"/>
    <n v="300000"/>
    <n v="69000"/>
    <d v="2023-10-26T00:00:00"/>
    <x v="101"/>
    <n v="10"/>
    <n v="2023"/>
  </r>
  <r>
    <n v="432"/>
    <s v="HTNM"/>
    <s v="Nhang muỗi đen ThaiLan"/>
    <s v="Hộp"/>
    <n v="90000"/>
    <n v="1"/>
    <n v="12"/>
    <n v="133000"/>
    <n v="43000"/>
    <d v="2023-10-26T00:00:00"/>
    <x v="72"/>
    <n v="10"/>
    <n v="2023"/>
  </r>
  <r>
    <n v="433"/>
    <s v="GC10"/>
    <s v="V/S Bibi không lõi x 10 dây"/>
    <s v="Dây"/>
    <n v="260000"/>
    <n v="0"/>
    <n v="10"/>
    <n v="240000"/>
    <n v="-20000"/>
    <d v="2023-10-27T00:00:00"/>
    <x v="18"/>
    <n v="10"/>
    <n v="2023"/>
  </r>
  <r>
    <n v="434"/>
    <s v="GC617"/>
    <s v="GVS TiOne hồng 6 cuộn x 12 cây"/>
    <s v="Cây"/>
    <n v="265716"/>
    <n v="0"/>
    <n v="12"/>
    <n v="360000"/>
    <n v="94284"/>
    <d v="2023-10-27T00:00:00"/>
    <x v="102"/>
    <n v="10"/>
    <n v="2023"/>
  </r>
  <r>
    <n v="435"/>
    <s v="HTF3000"/>
    <s v="Nước giặt Fineline tím 3L x 4 bình"/>
    <s v="Bình"/>
    <n v="170000"/>
    <n v="0"/>
    <n v="2"/>
    <n v="240000"/>
    <n v="70000"/>
    <d v="2023-10-27T00:00:00"/>
    <x v="103"/>
    <n v="10"/>
    <n v="2023"/>
  </r>
  <r>
    <n v="436"/>
    <s v="HTF30001"/>
    <s v="Nước giặt Fineline hồng 3L x 4 bình"/>
    <s v="Bình"/>
    <n v="170000"/>
    <n v="0"/>
    <n v="2"/>
    <n v="240000"/>
    <n v="70000"/>
    <d v="2023-10-27T00:00:00"/>
    <x v="103"/>
    <n v="10"/>
    <n v="2023"/>
  </r>
  <r>
    <n v="437"/>
    <s v="KV100"/>
    <s v="Khăn Napkin Toply 100 tờ x 48 gói"/>
    <s v="Gói"/>
    <n v="172800"/>
    <n v="2"/>
    <n v="24"/>
    <n v="268000"/>
    <n v="95200"/>
    <d v="2023-10-27T00:00:00"/>
    <x v="104"/>
    <n v="10"/>
    <n v="2023"/>
  </r>
  <r>
    <n v="438"/>
    <s v="KDL01"/>
    <s v="Khăn giấy bỏ túi Paseo 9 tờ x 6 gói/cây x 40 cây"/>
    <s v="Cây"/>
    <n v="0"/>
    <n v="0"/>
    <n v="0"/>
    <n v="0"/>
    <n v="0"/>
    <d v="2023-10-27T00:00:00"/>
    <x v="105"/>
    <n v="10"/>
    <n v="2023"/>
  </r>
  <r>
    <n v="439"/>
    <s v="KR402"/>
    <s v="Khăn giấy rút SSS BiBi 2 lớp x 400gr x 12 gói"/>
    <s v="Gói"/>
    <n v="211200"/>
    <n v="2"/>
    <n v="10"/>
    <n v="184000"/>
    <n v="-27200"/>
    <d v="2023-10-27T00:00:00"/>
    <x v="106"/>
    <n v="10"/>
    <n v="2023"/>
  </r>
  <r>
    <n v="440"/>
    <s v="HM608"/>
    <s v="Yến sào Seunest CĐ vàng x 6 hộp"/>
    <s v="Hộp"/>
    <n v="300000"/>
    <n v="3"/>
    <n v="3"/>
    <n v="327000"/>
    <n v="27000"/>
    <d v="2023-10-28T00:00:00"/>
    <x v="107"/>
    <n v="10"/>
    <n v="2023"/>
  </r>
  <r>
    <n v="441"/>
    <s v="KV320"/>
    <s v="Khăn Napkin Fairy 320 x 100 tờ x 48 gói"/>
    <s v="Gói"/>
    <n v="528000"/>
    <n v="6"/>
    <n v="48"/>
    <n v="516000"/>
    <n v="-12000"/>
    <d v="2023-10-28T00:00:00"/>
    <x v="4"/>
    <n v="10"/>
    <n v="2023"/>
  </r>
  <r>
    <n v="442"/>
    <s v="KV1001"/>
    <s v="Khăn Napkin Ruby Gold 100 tờ x 30 gói"/>
    <s v="Gói"/>
    <n v="225000"/>
    <n v="3"/>
    <n v="30"/>
    <n v="300000"/>
    <n v="75000"/>
    <d v="2023-10-28T00:00:00"/>
    <x v="17"/>
    <n v="10"/>
    <n v="2023"/>
  </r>
  <r>
    <n v="443"/>
    <s v="A1K15"/>
    <s v="Kẹo bạc hà (chanh muối) Himalaya 15g x 12 gói x 12 hộp"/>
    <s v="Hộp"/>
    <n v="120756"/>
    <n v="0"/>
    <n v="2"/>
    <n v="108000"/>
    <n v="-12756"/>
    <d v="2023-10-28T00:00:00"/>
    <x v="108"/>
    <n v="10"/>
    <n v="2023"/>
  </r>
  <r>
    <n v="444"/>
    <s v="KU250"/>
    <s v="Khăn ướt TE Villa 250g x 30 gói"/>
    <s v="Gói"/>
    <n v="231000"/>
    <n v="0"/>
    <n v="30"/>
    <n v="300000"/>
    <n v="69000"/>
    <d v="2023-10-28T00:00:00"/>
    <x v="44"/>
    <n v="10"/>
    <n v="2023"/>
  </r>
  <r>
    <n v="445"/>
    <s v="BCTEM32"/>
    <s v="BCTE N32 (xe) x 12 x 30 hộp"/>
    <s v="Cây"/>
    <n v="46800"/>
    <n v="0"/>
    <n v="6"/>
    <n v="66000"/>
    <n v="19200"/>
    <d v="2023-10-28T00:00:00"/>
    <x v="63"/>
    <n v="10"/>
    <n v="2023"/>
  </r>
  <r>
    <n v="446"/>
    <s v="BCTEM35"/>
    <s v="BCTE N35 (búp bê) x 12 x 30 hộp"/>
    <s v="Cây"/>
    <n v="46800"/>
    <n v="0"/>
    <n v="6"/>
    <n v="66000"/>
    <n v="19200"/>
    <d v="2023-10-28T00:00:00"/>
    <x v="63"/>
    <n v="10"/>
    <n v="2023"/>
  </r>
  <r>
    <n v="447"/>
    <s v="BCTEN36"/>
    <s v="BCTE N36 (đồng hồ) x 18 x 20 hộp"/>
    <s v="Cây"/>
    <n v="46800"/>
    <n v="0"/>
    <n v="6"/>
    <n v="66000"/>
    <n v="19200"/>
    <d v="2023-10-28T00:00:00"/>
    <x v="63"/>
    <n v="10"/>
    <n v="2023"/>
  </r>
  <r>
    <n v="448"/>
    <s v="A1K15"/>
    <s v="Kẹo bạc hà (chanh muối) Himalaya 15g x 12 gói x 12 hộp"/>
    <s v="Hộp"/>
    <n v="120756"/>
    <n v="0"/>
    <n v="2"/>
    <n v="104000"/>
    <n v="-16756"/>
    <d v="2023-10-28T00:00:00"/>
    <x v="109"/>
    <n v="10"/>
    <n v="2023"/>
  </r>
  <r>
    <n v="449"/>
    <s v="BCA11"/>
    <s v="BC Ion Eco care (NK Hàn Quốc) 48 cây x 2 hộp"/>
    <s v="Cây"/>
    <n v="170200"/>
    <n v="0"/>
    <n v="5"/>
    <n v="150000"/>
    <n v="-20200"/>
    <d v="2023-10-28T00:00:00"/>
    <x v="109"/>
    <n v="10"/>
    <n v="2023"/>
  </r>
  <r>
    <n v="450"/>
    <s v="BCJEWELL"/>
    <s v="BÀN CHẢI ĐÁNH RĂNG ION - JEWEL"/>
    <s v="Cây"/>
    <n v="212500"/>
    <n v="0"/>
    <n v="5"/>
    <n v="150000"/>
    <n v="-62500"/>
    <d v="2023-10-28T00:00:00"/>
    <x v="109"/>
    <n v="10"/>
    <n v="2023"/>
  </r>
  <r>
    <n v="451"/>
    <s v="BCN306"/>
    <s v="BC KAKA NANO N306 x 50 cây x 6 hộp"/>
    <s v="Cây"/>
    <n v="275000"/>
    <n v="0"/>
    <n v="50"/>
    <n v="400000"/>
    <n v="125000"/>
    <d v="2023-10-28T00:00:00"/>
    <x v="109"/>
    <n v="10"/>
    <n v="2023"/>
  </r>
  <r>
    <n v="452"/>
    <s v="BCOCEAN"/>
    <s v="BÀN CHẢI ĐÁNH RĂNG ION - OCEAN"/>
    <s v="Cây"/>
    <n v="240000"/>
    <n v="0"/>
    <n v="5"/>
    <n v="150000"/>
    <n v="-90000"/>
    <d v="2023-10-28T00:00:00"/>
    <x v="109"/>
    <n v="10"/>
    <n v="2023"/>
  </r>
  <r>
    <n v="453"/>
    <s v="TBTE180"/>
    <s v="TBTE THÂN NHỰA BABA 180 cây x 12 hộp x 20 block"/>
    <s v="Cây"/>
    <n v="0"/>
    <n v="0"/>
    <n v="0"/>
    <n v="0"/>
    <n v="0"/>
    <d v="2023-10-28T00:00:00"/>
    <x v="109"/>
    <n v="10"/>
    <n v="2023"/>
  </r>
  <r>
    <n v="454"/>
    <s v="TBTE20002"/>
    <s v="Tăm bông thân nhựa TE hộp tròn 200 cây x 12 hộp"/>
    <s v="Hộp"/>
    <n v="178500"/>
    <n v="0"/>
    <n v="12"/>
    <n v="192000"/>
    <n v="13500"/>
    <d v="2023-10-28T00:00:00"/>
    <x v="109"/>
    <n v="10"/>
    <n v="2023"/>
  </r>
  <r>
    <n v="455"/>
    <s v="A1K15"/>
    <s v="Kẹo bạc hà (chanh muối) Himalaya 15g x 12 gói x 12 hộp"/>
    <s v="Hộp"/>
    <n v="60378"/>
    <n v="0"/>
    <n v="1"/>
    <n v="54000"/>
    <n v="-6378"/>
    <d v="2023-10-28T00:00:00"/>
    <x v="110"/>
    <n v="10"/>
    <n v="2023"/>
  </r>
  <r>
    <n v="456"/>
    <s v="A1K15"/>
    <s v="Kẹo bạc hà (chanh muối) Himalaya 15g x 12 gói x 12 hộp"/>
    <s v="Hộp"/>
    <n v="181134"/>
    <n v="0"/>
    <n v="3"/>
    <n v="156000"/>
    <n v="-25134"/>
    <d v="2023-10-28T00:00:00"/>
    <x v="111"/>
    <n v="10"/>
    <n v="2023"/>
  </r>
  <r>
    <n v="457"/>
    <s v="GC603"/>
    <s v="GVS Ruby Gold 6 cuộn (không lõi) x 12 cây"/>
    <s v="Cây"/>
    <n v="300000"/>
    <n v="0"/>
    <n v="12"/>
    <n v="444000"/>
    <n v="144000"/>
    <d v="2023-10-28T00:00:00"/>
    <x v="112"/>
    <n v="10"/>
    <n v="2023"/>
  </r>
  <r>
    <n v="458"/>
    <s v="GC617"/>
    <s v="GVS TiOne hồng 6 cuộn x 12 cây"/>
    <s v="Cây"/>
    <n v="0"/>
    <n v="2"/>
    <n v="0"/>
    <n v="-63000"/>
    <n v="-63000"/>
    <d v="2023-10-28T00:00:00"/>
    <x v="112"/>
    <n v="10"/>
    <n v="2023"/>
  </r>
  <r>
    <n v="459"/>
    <s v="GC10"/>
    <s v="V/S Bibi không lõi x 10 dây"/>
    <s v="Dây"/>
    <n v="130000"/>
    <n v="0"/>
    <n v="5"/>
    <n v="120000"/>
    <n v="-10000"/>
    <d v="2023-10-28T00:00:00"/>
    <x v="113"/>
    <n v="10"/>
    <n v="2023"/>
  </r>
  <r>
    <n v="460"/>
    <s v="GC603"/>
    <s v="GVS Ruby Gold 6 cuộn (không lõi) x 12 cây"/>
    <s v="Cây"/>
    <n v="300000"/>
    <n v="0"/>
    <n v="12"/>
    <n v="444000"/>
    <n v="144000"/>
    <d v="2023-10-28T00:00:00"/>
    <x v="114"/>
    <n v="10"/>
    <n v="2023"/>
  </r>
  <r>
    <n v="461"/>
    <s v="GC617"/>
    <s v="GVS TiOne hồng 6 cuộn x 12 cây"/>
    <s v="Cây"/>
    <n v="0"/>
    <n v="2"/>
    <n v="0"/>
    <n v="-63000"/>
    <n v="-63000"/>
    <d v="2023-10-28T00:00:00"/>
    <x v="114"/>
    <n v="10"/>
    <n v="2023"/>
  </r>
  <r>
    <n v="462"/>
    <s v="KU250"/>
    <s v="Khăn ướt TE Villa 250g x 30 gói"/>
    <s v="Gói"/>
    <n v="231000"/>
    <n v="0"/>
    <n v="30"/>
    <n v="300000"/>
    <n v="69000"/>
    <d v="2023-10-28T00:00:00"/>
    <x v="114"/>
    <n v="10"/>
    <n v="2023"/>
  </r>
  <r>
    <n v="463"/>
    <s v="HM607"/>
    <s v="Yến sào Seunest KĐ xanh x 6 hộp"/>
    <s v="Hộp"/>
    <n v="0"/>
    <n v="3"/>
    <n v="0"/>
    <n v="-327000"/>
    <n v="-327000"/>
    <d v="2023-10-28T00:00:00"/>
    <x v="24"/>
    <n v="10"/>
    <n v="2023"/>
  </r>
  <r>
    <n v="464"/>
    <s v="HM608"/>
    <s v="Yến sào Seunest CĐ vàng x 6 hộp"/>
    <s v="Hộp"/>
    <n v="600000"/>
    <n v="0"/>
    <n v="6"/>
    <n v="1308000"/>
    <n v="708000"/>
    <d v="2023-10-28T00:00:00"/>
    <x v="24"/>
    <n v="10"/>
    <n v="2023"/>
  </r>
  <r>
    <n v="465"/>
    <s v="HM610"/>
    <s v="Yến sào Finenest CĐ đỏ x 6 hộp"/>
    <s v="Hộp"/>
    <n v="0"/>
    <n v="3"/>
    <n v="0"/>
    <n v="-327000"/>
    <n v="-327000"/>
    <d v="2023-10-28T00:00:00"/>
    <x v="24"/>
    <n v="10"/>
    <n v="2023"/>
  </r>
  <r>
    <n v="466"/>
    <s v="HTD3000"/>
    <s v="Nước giặt D-nee tím 3L x 4 bình"/>
    <s v="Bình"/>
    <n v="170000"/>
    <n v="0"/>
    <n v="2"/>
    <n v="250000"/>
    <n v="80000"/>
    <d v="2023-10-28T00:00:00"/>
    <x v="115"/>
    <n v="10"/>
    <n v="2023"/>
  </r>
  <r>
    <n v="467"/>
    <s v="HTD30001"/>
    <s v="Nước giặt D-nee hồng 3L x 4 bình"/>
    <s v="Bình"/>
    <n v="85000"/>
    <n v="0"/>
    <n v="1"/>
    <n v="125000"/>
    <n v="40000"/>
    <d v="2023-10-28T00:00:00"/>
    <x v="115"/>
    <n v="10"/>
    <n v="2023"/>
  </r>
  <r>
    <n v="468"/>
    <s v="KU250"/>
    <s v="Khăn ướt TE Villa 250g x 30 gói"/>
    <s v="Gói"/>
    <n v="231000"/>
    <n v="0"/>
    <n v="30"/>
    <n v="300000"/>
    <n v="69000"/>
    <d v="2023-10-28T00:00:00"/>
    <x v="115"/>
    <n v="10"/>
    <n v="2023"/>
  </r>
  <r>
    <n v="469"/>
    <s v="KU802"/>
    <s v="Khăn ướt TiOne 80g x 40 gói"/>
    <s v="Gói"/>
    <n v="55000"/>
    <n v="0"/>
    <n v="10"/>
    <n v="60000"/>
    <n v="5000"/>
    <d v="2023-10-28T00:00:00"/>
    <x v="115"/>
    <n v="10"/>
    <n v="2023"/>
  </r>
  <r>
    <n v="470"/>
    <s v="KU250"/>
    <s v="Khăn ướt TE Villa 250g x 30 gói"/>
    <s v="Gói"/>
    <n v="231000"/>
    <n v="0"/>
    <n v="30"/>
    <n v="300000"/>
    <n v="69000"/>
    <d v="2023-10-28T00:00:00"/>
    <x v="116"/>
    <n v="10"/>
    <n v="2023"/>
  </r>
  <r>
    <n v="471"/>
    <s v="KU802"/>
    <s v="Khăn ướt TiOne 80g x 40 gói"/>
    <s v="Gói"/>
    <n v="55000"/>
    <n v="0"/>
    <n v="10"/>
    <n v="60000"/>
    <n v="5000"/>
    <d v="2023-10-28T00:00:00"/>
    <x v="116"/>
    <n v="10"/>
    <n v="2023"/>
  </r>
  <r>
    <n v="472"/>
    <s v="GC617"/>
    <s v="GVS TiOne hồng 6 cuộn x 12 cây"/>
    <s v="Cây"/>
    <n v="265716"/>
    <n v="2"/>
    <n v="12"/>
    <n v="345000"/>
    <n v="79284"/>
    <d v="2023-10-28T00:00:00"/>
    <x v="45"/>
    <n v="10"/>
    <n v="2023"/>
  </r>
  <r>
    <n v="473"/>
    <s v="HM10"/>
    <s v="Yến sào Finenest nhân sâm x 10 hộp"/>
    <s v="Hộp"/>
    <n v="0"/>
    <n v="6"/>
    <n v="0"/>
    <n v="-654000"/>
    <n v="-654000"/>
    <d v="2023-10-28T00:00:00"/>
    <x v="117"/>
    <n v="10"/>
    <n v="2023"/>
  </r>
  <r>
    <n v="474"/>
    <s v="HM110"/>
    <s v="Yến sào Finenest Saffron (hoa nghệ tây) x 10 hộp"/>
    <s v="Hộp"/>
    <n v="0"/>
    <n v="6"/>
    <n v="0"/>
    <n v="-654000"/>
    <n v="-654000"/>
    <d v="2023-10-28T00:00:00"/>
    <x v="117"/>
    <n v="10"/>
    <n v="2023"/>
  </r>
  <r>
    <n v="475"/>
    <s v="HM607"/>
    <s v="Yến sào Seunest KĐ xanh x 6 hộp"/>
    <s v="Hộp"/>
    <n v="600000"/>
    <n v="6"/>
    <n v="6"/>
    <n v="654000"/>
    <n v="54000"/>
    <d v="2023-10-28T00:00:00"/>
    <x v="117"/>
    <n v="10"/>
    <n v="2023"/>
  </r>
  <r>
    <n v="476"/>
    <s v="HM608"/>
    <s v="Yến sào Seunest CĐ vàng x 6 hộp"/>
    <s v="Hộp"/>
    <n v="600000"/>
    <n v="6"/>
    <n v="6"/>
    <n v="654000"/>
    <n v="54000"/>
    <d v="2023-10-28T00:00:00"/>
    <x v="117"/>
    <n v="10"/>
    <n v="2023"/>
  </r>
  <r>
    <n v="477"/>
    <s v="HM610"/>
    <s v="Yến sào Finenest CĐ đỏ x 6 hộp"/>
    <s v="Hộp"/>
    <n v="600000"/>
    <n v="6"/>
    <n v="6"/>
    <n v="654000"/>
    <n v="54000"/>
    <d v="2023-10-28T00:00:00"/>
    <x v="117"/>
    <n v="10"/>
    <n v="2023"/>
  </r>
  <r>
    <n v="478"/>
    <s v="HM613"/>
    <s v="HIMA Seunest DTHT có đường 6 lọ x 6 hộp"/>
    <s v="Hộp"/>
    <n v="780000"/>
    <n v="0"/>
    <n v="6"/>
    <n v="1680000"/>
    <n v="900000"/>
    <d v="2023-10-28T00:00:00"/>
    <x v="117"/>
    <n v="10"/>
    <n v="2023"/>
  </r>
  <r>
    <n v="479"/>
    <s v="HM614"/>
    <s v="HIMA Seunest Colagen có đường 6 lọ x 6 hộp"/>
    <s v="Hộp"/>
    <n v="780000"/>
    <n v="0"/>
    <n v="6"/>
    <n v="1680000"/>
    <n v="900000"/>
    <d v="2023-10-28T00:00:00"/>
    <x v="117"/>
    <n v="10"/>
    <n v="2023"/>
  </r>
  <r>
    <n v="480"/>
    <s v="GC617"/>
    <s v="GVS TiOne hồng 6 cuộn x 12 cây"/>
    <s v="Cây"/>
    <n v="265716"/>
    <n v="2"/>
    <n v="12"/>
    <n v="345000"/>
    <n v="79284"/>
    <d v="2023-10-28T00:00:00"/>
    <x v="27"/>
    <n v="10"/>
    <n v="2023"/>
  </r>
  <r>
    <n v="481"/>
    <s v="HTBTE50"/>
    <s v="Bánh gạo TE Happy Bites Việt Quất 50g x 12 hộp"/>
    <s v="Hộp"/>
    <n v="181200"/>
    <n v="1"/>
    <n v="4"/>
    <n v="158000"/>
    <n v="-23200"/>
    <d v="2023-10-28T00:00:00"/>
    <x v="27"/>
    <n v="10"/>
    <n v="2023"/>
  </r>
  <r>
    <n v="482"/>
    <s v="HTBTE501"/>
    <s v="Bánh gạo TE Happy Bites Táo 50g x 12 hộp"/>
    <s v="Hộp"/>
    <n v="181200"/>
    <n v="0"/>
    <n v="4"/>
    <n v="200000"/>
    <n v="18800"/>
    <d v="2023-10-28T00:00:00"/>
    <x v="27"/>
    <n v="10"/>
    <n v="2023"/>
  </r>
  <r>
    <n v="483"/>
    <s v="HTBTE502"/>
    <s v="Bánh gạo TE Happy Bites Chuối 50g x 12 hộp"/>
    <s v="Hộp"/>
    <n v="181200"/>
    <n v="0"/>
    <n v="4"/>
    <n v="200000"/>
    <n v="18800"/>
    <d v="2023-10-28T00:00:00"/>
    <x v="27"/>
    <n v="10"/>
    <n v="2023"/>
  </r>
  <r>
    <n v="484"/>
    <s v="KDR002"/>
    <s v="Kem đánh răng AquaStar TE cam x 60 hộp"/>
    <s v="Hộp"/>
    <n v="133330"/>
    <n v="0"/>
    <n v="10"/>
    <n v="160000"/>
    <n v="26670"/>
    <d v="2023-10-28T00:00:00"/>
    <x v="27"/>
    <n v="10"/>
    <n v="2023"/>
  </r>
  <r>
    <n v="485"/>
    <s v="KDR003"/>
    <s v="Kem đánh răng AquaStar TE dâu x 60 hộp"/>
    <s v="Hộp"/>
    <n v="106664"/>
    <n v="3"/>
    <n v="8"/>
    <n v="87000"/>
    <n v="-19664"/>
    <d v="2023-10-28T00:00:00"/>
    <x v="27"/>
    <n v="10"/>
    <n v="2023"/>
  </r>
  <r>
    <n v="486"/>
    <s v="HTBSN80"/>
    <s v="Snack bắp Otori vị Phô Mai 80g x 12"/>
    <s v="Lon"/>
    <n v="55440"/>
    <n v="0"/>
    <n v="2"/>
    <n v="64000"/>
    <n v="8560"/>
    <d v="2023-10-28T00:00:00"/>
    <x v="28"/>
    <n v="10"/>
    <n v="2023"/>
  </r>
  <r>
    <n v="487"/>
    <s v="HTBSN90"/>
    <s v="Snack bắp Otori vị Gà cay 90g x 12"/>
    <s v="Lon"/>
    <n v="55440"/>
    <n v="0"/>
    <n v="2"/>
    <n v="64000"/>
    <n v="8560"/>
    <d v="2023-10-28T00:00:00"/>
    <x v="28"/>
    <n v="10"/>
    <n v="2023"/>
  </r>
  <r>
    <n v="488"/>
    <s v="HTBSN902"/>
    <s v="Snack bắp Otori vị Tomyum Kung 90g x 12"/>
    <s v="Lon"/>
    <n v="27720"/>
    <n v="0"/>
    <n v="1"/>
    <n v="32000"/>
    <n v="4280"/>
    <d v="2023-10-28T00:00:00"/>
    <x v="28"/>
    <n v="10"/>
    <n v="2023"/>
  </r>
  <r>
    <n v="489"/>
    <s v="HTBSN903"/>
    <s v="Snack bắp Otori vị Rong Biển 90g x 12"/>
    <s v="Lon"/>
    <n v="27720"/>
    <n v="0"/>
    <n v="1"/>
    <n v="32000"/>
    <n v="4280"/>
    <d v="2023-10-28T00:00:00"/>
    <x v="28"/>
    <n v="10"/>
    <n v="2023"/>
  </r>
  <r>
    <n v="490"/>
    <s v="HTK151"/>
    <s v="Kẹo Tommy trái cây 15g x 12 gói x 12 dây"/>
    <s v="Dây"/>
    <n v="75000"/>
    <n v="0"/>
    <n v="2"/>
    <n v="82000"/>
    <n v="7000"/>
    <d v="2023-10-28T00:00:00"/>
    <x v="28"/>
    <n v="10"/>
    <n v="2023"/>
  </r>
  <r>
    <n v="491"/>
    <s v="KTN3001"/>
    <s v="Kẹo Trang Nghiêm DÂU TÂY hộp 200g x 24 hộp/thùng"/>
    <s v="Hộp"/>
    <n v="58000"/>
    <n v="0"/>
    <n v="4"/>
    <n v="56000"/>
    <n v="-2000"/>
    <d v="2023-10-28T00:00:00"/>
    <x v="28"/>
    <n v="10"/>
    <n v="2023"/>
  </r>
  <r>
    <n v="492"/>
    <s v="KTN3003"/>
    <s v="Kẹo Trang Nghiêm ME ỚT hộp 200g x 24 hộp/thùng"/>
    <s v="Hộp"/>
    <n v="87000"/>
    <n v="0"/>
    <n v="6"/>
    <n v="84000"/>
    <n v="-3000"/>
    <d v="2023-10-28T00:00:00"/>
    <x v="28"/>
    <n v="10"/>
    <n v="2023"/>
  </r>
  <r>
    <n v="493"/>
    <s v="GC106"/>
    <s v="GVS Ruby (HQ) 10 cuộn x 8kg"/>
    <s v="Cây"/>
    <n v="180000"/>
    <n v="0"/>
    <n v="10"/>
    <n v="230000"/>
    <n v="50000"/>
    <d v="2023-10-28T00:00:00"/>
    <x v="118"/>
    <n v="10"/>
    <n v="2023"/>
  </r>
  <r>
    <n v="494"/>
    <s v="HM607"/>
    <s v="Yến sào Seunest KĐ xanh x 6 hộp"/>
    <s v="Hộp"/>
    <n v="600000"/>
    <n v="0"/>
    <n v="6"/>
    <n v="1308000"/>
    <n v="708000"/>
    <d v="2023-10-28T00:00:00"/>
    <x v="118"/>
    <n v="10"/>
    <n v="2023"/>
  </r>
  <r>
    <n v="495"/>
    <s v="HM608"/>
    <s v="Yến sào Seunest CĐ vàng x 6 hộp"/>
    <s v="Hộp"/>
    <n v="300000"/>
    <n v="3"/>
    <n v="3"/>
    <n v="327000"/>
    <n v="27000"/>
    <d v="2023-10-28T00:00:00"/>
    <x v="118"/>
    <n v="10"/>
    <n v="2023"/>
  </r>
  <r>
    <n v="496"/>
    <s v="HM610"/>
    <s v="Yến sào Finenest CĐ đỏ x 6 hộp"/>
    <s v="Hộp"/>
    <n v="0"/>
    <n v="6"/>
    <n v="0"/>
    <n v="-654000"/>
    <n v="-654000"/>
    <d v="2023-10-28T00:00:00"/>
    <x v="118"/>
    <n v="10"/>
    <n v="2023"/>
  </r>
  <r>
    <n v="497"/>
    <s v="GC603"/>
    <s v="GVS Ruby Gold 6 cuộn (không lõi) x 12 cây"/>
    <s v="Cây"/>
    <n v="300000"/>
    <n v="0"/>
    <n v="12"/>
    <n v="444000"/>
    <n v="144000"/>
    <d v="2023-10-28T00:00:00"/>
    <x v="119"/>
    <n v="10"/>
    <n v="2023"/>
  </r>
  <r>
    <n v="498"/>
    <s v="GC617"/>
    <s v="GVS TiOne hồng 6 cuộn x 12 cây"/>
    <s v="Cây"/>
    <n v="0"/>
    <n v="2"/>
    <n v="0"/>
    <n v="-63000"/>
    <n v="-63000"/>
    <d v="2023-10-28T00:00:00"/>
    <x v="119"/>
    <n v="10"/>
    <n v="2023"/>
  </r>
  <r>
    <n v="499"/>
    <s v="GC617"/>
    <s v="GVS TiOne hồng 6 cuộn x 12 cây"/>
    <s v="Cây"/>
    <n v="66429"/>
    <n v="0"/>
    <n v="3"/>
    <n v="90000"/>
    <n v="23571"/>
    <d v="2023-10-28T00:00:00"/>
    <x v="120"/>
    <n v="10"/>
    <n v="2023"/>
  </r>
  <r>
    <n v="500"/>
    <s v="KU250"/>
    <s v="Khăn ướt TE Villa 250g x 30 gói"/>
    <s v="Gói"/>
    <n v="38500"/>
    <n v="0"/>
    <n v="5"/>
    <n v="50000"/>
    <n v="11500"/>
    <d v="2023-10-28T00:00:00"/>
    <x v="120"/>
    <n v="10"/>
    <n v="2023"/>
  </r>
  <r>
    <n v="501"/>
    <s v="KU802"/>
    <s v="Khăn ướt TiOne 80g x 40 gói"/>
    <s v="Gói"/>
    <n v="55000"/>
    <n v="0"/>
    <n v="10"/>
    <n v="60000"/>
    <n v="5000"/>
    <d v="2023-10-28T00:00:00"/>
    <x v="120"/>
    <n v="10"/>
    <n v="2023"/>
  </r>
  <r>
    <n v="502"/>
    <s v="KV1007"/>
    <s v="Khăn Napkin An An 100 tờ x 40 gói"/>
    <s v="Gói"/>
    <n v="67500"/>
    <n v="0"/>
    <n v="10"/>
    <n v="75000"/>
    <n v="7500"/>
    <d v="2023-10-28T00:00:00"/>
    <x v="120"/>
    <n v="10"/>
    <n v="2023"/>
  </r>
  <r>
    <n v="503"/>
    <s v="SBOMGROW900"/>
    <s v="SURE OMEGA-GROW IQ 900G"/>
    <s v="Lon"/>
    <n v="0"/>
    <n v="0"/>
    <n v="0"/>
    <n v="0"/>
    <n v="0"/>
    <d v="2023-11-01T00:00:00"/>
    <x v="15"/>
    <n v="11"/>
    <n v="2023"/>
  </r>
  <r>
    <n v="504"/>
    <s v="BCN193"/>
    <s v="BC KAKA NANO N193 x 30 cây x 10 hộp"/>
    <s v="Cây"/>
    <n v="80000"/>
    <n v="4"/>
    <n v="20"/>
    <n v="217000"/>
    <n v="137000"/>
    <d v="2023-11-02T00:00:00"/>
    <x v="83"/>
    <n v="11"/>
    <n v="2023"/>
  </r>
  <r>
    <n v="505"/>
    <s v="BCN302"/>
    <s v="BC KAKA NANO N302 x 20 cây x 20 hộp"/>
    <s v="Cây"/>
    <n v="75000"/>
    <n v="4"/>
    <n v="20"/>
    <n v="217000"/>
    <n v="142000"/>
    <d v="2023-11-02T00:00:00"/>
    <x v="83"/>
    <n v="11"/>
    <n v="2023"/>
  </r>
  <r>
    <n v="506"/>
    <s v="BCN82"/>
    <s v="BC KaKa Nhật N82 bộ 3 cây x 9 bộ x 33 túi"/>
    <s v="Bộ"/>
    <n v="36000"/>
    <n v="1"/>
    <n v="9"/>
    <n v="121500"/>
    <n v="85500"/>
    <d v="2023-11-02T00:00:00"/>
    <x v="83"/>
    <n v="11"/>
    <n v="2023"/>
  </r>
  <r>
    <n v="507"/>
    <s v="BCSILISON"/>
    <s v="BÀN CHẢI ĐÁNH RĂNG ION - SILISON NANO"/>
    <s v="Cây"/>
    <n v="1008000"/>
    <n v="4"/>
    <n v="24"/>
    <n v="762000"/>
    <n v="-246000"/>
    <d v="2023-11-02T00:00:00"/>
    <x v="83"/>
    <n v="11"/>
    <n v="2023"/>
  </r>
  <r>
    <n v="508"/>
    <s v="BCTE001"/>
    <s v="BCTE AquaStar (con chó) x 24 cây"/>
    <s v="Cây"/>
    <n v="93336"/>
    <n v="0"/>
    <n v="8"/>
    <n v="120000"/>
    <n v="26664"/>
    <d v="2023-11-02T00:00:00"/>
    <x v="83"/>
    <n v="11"/>
    <n v="2023"/>
  </r>
  <r>
    <n v="509"/>
    <s v="BCTE002"/>
    <s v="BCTE AquaStar (con kiến) x 24 cây"/>
    <s v="Cây"/>
    <n v="93336"/>
    <n v="0"/>
    <n v="8"/>
    <n v="120000"/>
    <n v="26664"/>
    <d v="2023-11-02T00:00:00"/>
    <x v="83"/>
    <n v="11"/>
    <n v="2023"/>
  </r>
  <r>
    <n v="510"/>
    <s v="BCTE003"/>
    <s v="BCTE AquaStar (con sâu) x 24 cây"/>
    <s v="Cây"/>
    <n v="93336"/>
    <n v="4"/>
    <n v="8"/>
    <n v="69000"/>
    <n v="-24336"/>
    <d v="2023-11-02T00:00:00"/>
    <x v="83"/>
    <n v="11"/>
    <n v="2023"/>
  </r>
  <r>
    <n v="511"/>
    <s v="BCTEM35"/>
    <s v="BCTE N35 (búp bê) x 12 x 30 hộp"/>
    <s v="Cây"/>
    <n v="93600"/>
    <n v="0"/>
    <n v="12"/>
    <n v="150000"/>
    <n v="56400"/>
    <d v="2023-11-02T00:00:00"/>
    <x v="83"/>
    <n v="11"/>
    <n v="2023"/>
  </r>
  <r>
    <n v="512"/>
    <s v="TT01"/>
    <s v="Thanh toán lần 1"/>
    <s v="VNĐ"/>
    <n v="0"/>
    <n v="0"/>
    <n v="0"/>
    <n v="-1053000"/>
    <n v="-1053000"/>
    <d v="2023-11-02T00:00:00"/>
    <x v="83"/>
    <n v="11"/>
    <n v="2023"/>
  </r>
  <r>
    <n v="513"/>
    <s v="HTNM"/>
    <s v="Nhang muỗi đen ThaiLan"/>
    <s v="Hộp"/>
    <n v="450000"/>
    <n v="0"/>
    <n v="60"/>
    <n v="660000"/>
    <n v="210000"/>
    <d v="2023-11-03T00:00:00"/>
    <x v="98"/>
    <n v="11"/>
    <n v="2023"/>
  </r>
  <r>
    <n v="514"/>
    <s v="KV1011"/>
    <s v="Khăn Napkin EMos x 30 gói"/>
    <s v="Gói"/>
    <n v="200010"/>
    <n v="0"/>
    <n v="30"/>
    <n v="225000"/>
    <n v="24990"/>
    <d v="2023-11-03T00:00:00"/>
    <x v="98"/>
    <n v="11"/>
    <n v="2023"/>
  </r>
  <r>
    <n v="515"/>
    <s v="T3501"/>
    <s v="Tẩy quần áo màu KIMONO 350ml x 30 chai"/>
    <s v="Chai"/>
    <n v="38335"/>
    <n v="1"/>
    <n v="5"/>
    <n v="62500"/>
    <n v="24165"/>
    <d v="2023-11-03T00:00:00"/>
    <x v="98"/>
    <n v="11"/>
    <n v="2023"/>
  </r>
  <r>
    <n v="516"/>
    <s v="KTN80"/>
    <s v="Kẹo Trang Nghiêm DÂU TÂY 80gr x 100 gói/thùng"/>
    <s v="Gói"/>
    <n v="52500"/>
    <n v="0"/>
    <n v="10"/>
    <n v="70000"/>
    <n v="17500"/>
    <d v="2023-11-03T00:00:00"/>
    <x v="121"/>
    <n v="11"/>
    <n v="2023"/>
  </r>
  <r>
    <n v="517"/>
    <s v="KTN802"/>
    <s v="Kẹo Trang Nghiêm ME ỚT 80gr x 100 gói/thùng"/>
    <s v="Gói"/>
    <n v="52500"/>
    <n v="0"/>
    <n v="10"/>
    <n v="70000"/>
    <n v="17500"/>
    <d v="2023-11-03T00:00:00"/>
    <x v="121"/>
    <n v="11"/>
    <n v="2023"/>
  </r>
  <r>
    <n v="518"/>
    <s v="KV1007"/>
    <s v="Khăn Napkin An An 100 tờ x 40 gói"/>
    <s v="Gói"/>
    <n v="67500"/>
    <n v="0"/>
    <n v="10"/>
    <n v="75000"/>
    <n v="7500"/>
    <d v="2023-11-03T00:00:00"/>
    <x v="121"/>
    <n v="11"/>
    <n v="2023"/>
  </r>
  <r>
    <n v="519"/>
    <s v="KV1009"/>
    <s v="Khăn Napkin TiOne Gấu 100 tờ x 48 gói"/>
    <s v="Gói"/>
    <n v="60000"/>
    <n v="0"/>
    <n v="10"/>
    <n v="80000"/>
    <n v="20000"/>
    <d v="2023-11-03T00:00:00"/>
    <x v="121"/>
    <n v="11"/>
    <n v="2023"/>
  </r>
  <r>
    <n v="520"/>
    <s v="SBOMMUM900"/>
    <s v="SURE OMEGA- PRO MUM 900"/>
    <s v="Lon"/>
    <n v="0"/>
    <n v="0"/>
    <n v="0"/>
    <n v="0"/>
    <n v="0"/>
    <d v="2023-11-04T00:00:00"/>
    <x v="15"/>
    <n v="11"/>
    <n v="2023"/>
  </r>
  <r>
    <n v="521"/>
    <s v="HTBTE50"/>
    <s v="Bánh gạo TE Happy Bites Việt Quất 50g x 12 hộp"/>
    <s v="Hộp"/>
    <n v="181200"/>
    <n v="1"/>
    <n v="4"/>
    <n v="157000"/>
    <n v="-24200"/>
    <d v="2023-11-04T00:00:00"/>
    <x v="39"/>
    <n v="11"/>
    <n v="2023"/>
  </r>
  <r>
    <n v="522"/>
    <s v="HTBTE501"/>
    <s v="Bánh gạo TE Happy Bites Táo 50g x 12 hộp"/>
    <s v="Hộp"/>
    <n v="181200"/>
    <n v="0"/>
    <n v="4"/>
    <n v="200000"/>
    <n v="18800"/>
    <d v="2023-11-04T00:00:00"/>
    <x v="39"/>
    <n v="11"/>
    <n v="2023"/>
  </r>
  <r>
    <n v="523"/>
    <s v="HTBTE502"/>
    <s v="Bánh gạo TE Happy Bites Chuối 50g x 12 hộp"/>
    <s v="Hộp"/>
    <n v="181200"/>
    <n v="0"/>
    <n v="4"/>
    <n v="200000"/>
    <n v="18800"/>
    <d v="2023-11-04T00:00:00"/>
    <x v="39"/>
    <n v="11"/>
    <n v="2023"/>
  </r>
  <r>
    <n v="524"/>
    <s v="TNS1"/>
    <s v="Tẩy toilet Nam Sơn NK 100% 1L x 12 chai"/>
    <s v="Chai"/>
    <n v="950040"/>
    <n v="12"/>
    <n v="60"/>
    <n v="1325000"/>
    <n v="374960"/>
    <d v="2023-11-04T00:00:00"/>
    <x v="16"/>
    <n v="11"/>
    <n v="2023"/>
  </r>
  <r>
    <n v="525"/>
    <s v="BCA001"/>
    <s v="BC Ion Exciting lông xoắn kép 24 cây x 1 hộp"/>
    <s v="Cây"/>
    <n v="110400"/>
    <n v="0"/>
    <n v="5"/>
    <n v="105000"/>
    <n v="-5400"/>
    <d v="2023-11-04T00:00:00"/>
    <x v="80"/>
    <n v="11"/>
    <n v="2023"/>
  </r>
  <r>
    <n v="526"/>
    <s v="BCA12"/>
    <s v="BC AquaStar AQ-01 24 cây x 20 hộp"/>
    <s v="Cây"/>
    <n v="156400"/>
    <n v="0"/>
    <n v="10"/>
    <n v="140000"/>
    <n v="-16400"/>
    <d v="2023-11-04T00:00:00"/>
    <x v="80"/>
    <n v="11"/>
    <n v="2023"/>
  </r>
  <r>
    <n v="527"/>
    <s v="BCUNIQUE"/>
    <s v="BÀN CHẢI ĐÁNH RĂNG ION- UNIQUE"/>
    <s v="Cây"/>
    <n v="160000"/>
    <n v="0"/>
    <n v="5"/>
    <n v="105000"/>
    <n v="-55000"/>
    <d v="2023-11-04T00:00:00"/>
    <x v="80"/>
    <n v="11"/>
    <n v="2023"/>
  </r>
  <r>
    <n v="528"/>
    <s v="KR402"/>
    <s v="Khăn giấy rút SSS BiBi 2 lớp x 400gr x 12 gói"/>
    <s v="Gói"/>
    <n v="126720"/>
    <n v="0"/>
    <n v="6"/>
    <n v="108000"/>
    <n v="-18720"/>
    <d v="2023-11-04T00:00:00"/>
    <x v="80"/>
    <n v="11"/>
    <n v="2023"/>
  </r>
  <r>
    <n v="529"/>
    <s v="TBTE1001"/>
    <s v="Tăm bông thân nhựa TE túi 100 cây x 24 túi"/>
    <s v="Túi"/>
    <n v="0"/>
    <n v="0"/>
    <n v="0"/>
    <n v="0"/>
    <n v="0"/>
    <d v="2023-11-04T00:00:00"/>
    <x v="80"/>
    <n v="11"/>
    <n v="2023"/>
  </r>
  <r>
    <n v="530"/>
    <s v="BSOGI12"/>
    <s v="Bánh SOGI CHOCOLATE 12g x 24 cây x 6 hủ"/>
    <s v="Hủ"/>
    <n v="63000"/>
    <n v="0"/>
    <n v="1"/>
    <n v="73000"/>
    <n v="10000"/>
    <d v="2023-11-04T00:00:00"/>
    <x v="122"/>
    <n v="11"/>
    <n v="2023"/>
  </r>
  <r>
    <n v="531"/>
    <s v="BSOGI121"/>
    <s v="Bánh SOGI CHOCOLATE WITH STRAWBERRY CREAM 12g x 24 cây x 6 hủ"/>
    <s v="Hủ"/>
    <n v="63000"/>
    <n v="0"/>
    <n v="1"/>
    <n v="73000"/>
    <n v="10000"/>
    <d v="2023-11-04T00:00:00"/>
    <x v="122"/>
    <n v="11"/>
    <n v="2023"/>
  </r>
  <r>
    <n v="532"/>
    <s v="HM600"/>
    <s v="HIMA Yến Huyết 6 lọ x 6 hộp"/>
    <s v="Hộp"/>
    <n v="0"/>
    <n v="0"/>
    <n v="0"/>
    <n v="0"/>
    <n v="0"/>
    <d v="2023-11-04T00:00:00"/>
    <x v="123"/>
    <n v="11"/>
    <n v="2023"/>
  </r>
  <r>
    <n v="533"/>
    <s v="HM607"/>
    <s v="Yến sào Seunest KĐ xanh x 6 hộp"/>
    <s v="Hộp"/>
    <n v="0"/>
    <n v="0"/>
    <n v="0"/>
    <n v="0"/>
    <n v="0"/>
    <d v="2023-11-04T00:00:00"/>
    <x v="123"/>
    <n v="11"/>
    <n v="2023"/>
  </r>
  <r>
    <n v="534"/>
    <s v="HM608"/>
    <s v="Yến sào Seunest CĐ vàng x 6 hộp"/>
    <s v="Hộp"/>
    <n v="0"/>
    <n v="0"/>
    <n v="0"/>
    <n v="0"/>
    <n v="0"/>
    <d v="2023-11-04T00:00:00"/>
    <x v="123"/>
    <n v="11"/>
    <n v="2023"/>
  </r>
  <r>
    <n v="535"/>
    <s v="HM610"/>
    <s v="Yến sào Finenest CĐ đỏ x 6 hộp"/>
    <s v="Hộp"/>
    <n v="0"/>
    <n v="0"/>
    <n v="0"/>
    <n v="0"/>
    <n v="0"/>
    <d v="2023-11-04T00:00:00"/>
    <x v="123"/>
    <n v="11"/>
    <n v="2023"/>
  </r>
  <r>
    <n v="536"/>
    <s v="BG1000"/>
    <s v="Bột giặt 107 Thái 100% - 1kg x 12 gói/thùng"/>
    <s v="Gói"/>
    <n v="320004"/>
    <n v="6"/>
    <n v="12"/>
    <n v="210000"/>
    <n v="-110004"/>
    <d v="2023-11-04T00:00:00"/>
    <x v="20"/>
    <n v="11"/>
    <n v="2023"/>
  </r>
  <r>
    <n v="537"/>
    <s v="BG5200"/>
    <s v="Bột giặt Lady 107 -  5,2kg x 3 gói/thùng"/>
    <s v="Gói"/>
    <n v="1058940"/>
    <n v="0"/>
    <n v="9"/>
    <n v="1431000"/>
    <n v="372060"/>
    <d v="2023-11-04T00:00:00"/>
    <x v="20"/>
    <n v="11"/>
    <n v="2023"/>
  </r>
  <r>
    <n v="538"/>
    <s v="BSOGI12"/>
    <s v="Bánh SOGI CHOCOLATE 12g x 24 cây x 6 hủ"/>
    <s v="Hủ"/>
    <n v="63000"/>
    <n v="0"/>
    <n v="1"/>
    <n v="73000"/>
    <n v="10000"/>
    <d v="2023-11-04T00:00:00"/>
    <x v="124"/>
    <n v="11"/>
    <n v="2023"/>
  </r>
  <r>
    <n v="539"/>
    <s v="BSOGI121"/>
    <s v="Bánh SOGI CHOCOLATE WITH STRAWBERRY CREAM 12g x 24 cây x 6 hủ"/>
    <s v="Hủ"/>
    <n v="63000"/>
    <n v="0"/>
    <n v="1"/>
    <n v="73000"/>
    <n v="10000"/>
    <d v="2023-11-04T00:00:00"/>
    <x v="124"/>
    <n v="11"/>
    <n v="2023"/>
  </r>
  <r>
    <n v="540"/>
    <s v="HTBX3501"/>
    <s v="Bánh xốp Papang vị Cam 350g x 12"/>
    <s v="Hộp"/>
    <n v="114400"/>
    <n v="0"/>
    <n v="2"/>
    <n v="134000"/>
    <n v="19600"/>
    <d v="2023-11-04T00:00:00"/>
    <x v="124"/>
    <n v="11"/>
    <n v="2023"/>
  </r>
  <r>
    <n v="541"/>
    <s v="HTBX3502"/>
    <s v="Bánh xốp Papang vị Sữa 350g x 12"/>
    <s v="Hộp"/>
    <n v="114400"/>
    <n v="0"/>
    <n v="2"/>
    <n v="134000"/>
    <n v="19600"/>
    <d v="2023-11-04T00:00:00"/>
    <x v="124"/>
    <n v="11"/>
    <n v="2023"/>
  </r>
  <r>
    <n v="542"/>
    <s v="HTBXG350"/>
    <s v="Bánh xốp Papang vị Chocolate 350g x 12"/>
    <s v="Hộp"/>
    <n v="114400"/>
    <n v="0"/>
    <n v="2"/>
    <n v="134000"/>
    <n v="19600"/>
    <d v="2023-11-04T00:00:00"/>
    <x v="124"/>
    <n v="11"/>
    <n v="2023"/>
  </r>
  <r>
    <n v="543"/>
    <s v="KTN2004"/>
    <s v="Kẹo Trang Nghiêm ME ỚT 200gr x 50 gói/thùng"/>
    <s v="Gói"/>
    <n v="122000"/>
    <n v="0"/>
    <n v="10"/>
    <n v="140000"/>
    <n v="18000"/>
    <d v="2023-11-04T00:00:00"/>
    <x v="124"/>
    <n v="11"/>
    <n v="2023"/>
  </r>
  <r>
    <n v="544"/>
    <s v="HTBX3501"/>
    <s v="Bánh xốp Papang vị Cam 350g x 12"/>
    <s v="Hộp"/>
    <n v="114400"/>
    <n v="0"/>
    <n v="2"/>
    <n v="134000"/>
    <n v="19600"/>
    <d v="2023-11-04T00:00:00"/>
    <x v="125"/>
    <n v="11"/>
    <n v="2023"/>
  </r>
  <r>
    <n v="545"/>
    <s v="HTBX3502"/>
    <s v="Bánh xốp Papang vị Sữa 350g x 12"/>
    <s v="Hộp"/>
    <n v="114400"/>
    <n v="0"/>
    <n v="2"/>
    <n v="134000"/>
    <n v="19600"/>
    <d v="2023-11-04T00:00:00"/>
    <x v="125"/>
    <n v="11"/>
    <n v="2023"/>
  </r>
  <r>
    <n v="546"/>
    <s v="HTBXG350"/>
    <s v="Bánh xốp Papang vị Chocolate 350g x 12"/>
    <s v="Hộp"/>
    <n v="114400"/>
    <n v="0"/>
    <n v="2"/>
    <n v="134000"/>
    <n v="19600"/>
    <d v="2023-11-04T00:00:00"/>
    <x v="125"/>
    <n v="11"/>
    <n v="2023"/>
  </r>
  <r>
    <n v="547"/>
    <s v="GC10"/>
    <s v="V/S Bibi không lõi x 10 dây"/>
    <s v="Dây"/>
    <n v="0"/>
    <n v="0"/>
    <n v="0"/>
    <n v="0"/>
    <n v="0"/>
    <d v="2023-11-04T00:00:00"/>
    <x v="10"/>
    <n v="11"/>
    <n v="2023"/>
  </r>
  <r>
    <n v="548"/>
    <s v="GC109"/>
    <s v="GVS Toply 10 cuộn x 10 cây"/>
    <s v="Cây"/>
    <n v="0"/>
    <n v="0"/>
    <n v="0"/>
    <n v="0"/>
    <n v="0"/>
    <d v="2023-11-04T00:00:00"/>
    <x v="10"/>
    <n v="11"/>
    <n v="2023"/>
  </r>
  <r>
    <n v="549"/>
    <s v="HTBTE50"/>
    <s v="Bánh gạo TE Happy Bites Việt Quất 50g x 12 hộp"/>
    <s v="Hộp"/>
    <n v="543600"/>
    <n v="0"/>
    <n v="12"/>
    <n v="600000"/>
    <n v="56400"/>
    <d v="2023-11-04T00:00:00"/>
    <x v="10"/>
    <n v="11"/>
    <n v="2023"/>
  </r>
  <r>
    <n v="550"/>
    <s v="HTBTE501"/>
    <s v="Bánh gạo TE Happy Bites Táo 50g x 12 hộp"/>
    <s v="Hộp"/>
    <n v="815400"/>
    <n v="0"/>
    <n v="18"/>
    <n v="900000"/>
    <n v="84600"/>
    <d v="2023-11-04T00:00:00"/>
    <x v="10"/>
    <n v="11"/>
    <n v="2023"/>
  </r>
  <r>
    <n v="551"/>
    <s v="HTBTE502"/>
    <s v="Bánh gạo TE Happy Bites Chuối 50g x 12 hộp"/>
    <s v="Hộp"/>
    <n v="815400"/>
    <n v="0"/>
    <n v="18"/>
    <n v="900000"/>
    <n v="84600"/>
    <d v="2023-11-04T00:00:00"/>
    <x v="10"/>
    <n v="11"/>
    <n v="2023"/>
  </r>
  <r>
    <n v="552"/>
    <s v="KMQCL"/>
    <s v="Quạt SENKO 1638 chân lỡ"/>
    <s v="Cây"/>
    <n v="0"/>
    <n v="1"/>
    <n v="0"/>
    <n v="-282000"/>
    <n v="-282000"/>
    <d v="2023-11-04T00:00:00"/>
    <x v="10"/>
    <n v="11"/>
    <n v="2023"/>
  </r>
  <r>
    <n v="553"/>
    <s v="HTBX288"/>
    <s v="Bánh xốp Uni Chocolate 288g x 12"/>
    <s v="Hộp"/>
    <n v="125400"/>
    <n v="0"/>
    <n v="3"/>
    <n v="147000"/>
    <n v="21600"/>
    <d v="2023-11-04T00:00:00"/>
    <x v="81"/>
    <n v="11"/>
    <n v="2023"/>
  </r>
  <r>
    <n v="554"/>
    <s v="HTBX2881"/>
    <s v="Bánh xốp Uni Vanila 288g x 12"/>
    <s v="Hộp"/>
    <n v="125400"/>
    <n v="0"/>
    <n v="3"/>
    <n v="147000"/>
    <n v="21600"/>
    <d v="2023-11-04T00:00:00"/>
    <x v="81"/>
    <n v="11"/>
    <n v="2023"/>
  </r>
  <r>
    <n v="555"/>
    <s v="HM10"/>
    <s v="Yến sào Finenest nhân sâm x 10 hộp"/>
    <s v="Hộp"/>
    <n v="0"/>
    <n v="6"/>
    <n v="0"/>
    <n v="-654000"/>
    <n v="-654000"/>
    <d v="2023-11-04T00:00:00"/>
    <x v="126"/>
    <n v="11"/>
    <n v="2023"/>
  </r>
  <r>
    <n v="556"/>
    <s v="HM608"/>
    <s v="Yến sào Seunest CĐ vàng x 6 hộp"/>
    <s v="Hộp"/>
    <n v="600000"/>
    <n v="0"/>
    <n v="6"/>
    <n v="1308000"/>
    <n v="708000"/>
    <d v="2023-11-04T00:00:00"/>
    <x v="126"/>
    <n v="11"/>
    <n v="2023"/>
  </r>
  <r>
    <n v="557"/>
    <s v="HM10"/>
    <s v="Yến sào Finenest nhân sâm x 10 hộp"/>
    <s v="Hộp"/>
    <n v="0"/>
    <n v="3"/>
    <n v="0"/>
    <n v="-327000"/>
    <n v="-327000"/>
    <d v="2023-11-04T00:00:00"/>
    <x v="127"/>
    <n v="11"/>
    <n v="2023"/>
  </r>
  <r>
    <n v="558"/>
    <s v="HM608"/>
    <s v="Yến sào Seunest CĐ vàng x 6 hộp"/>
    <s v="Hộp"/>
    <n v="300000"/>
    <n v="0"/>
    <n v="3"/>
    <n v="654000"/>
    <n v="354000"/>
    <d v="2023-11-04T00:00:00"/>
    <x v="127"/>
    <n v="11"/>
    <n v="2023"/>
  </r>
  <r>
    <n v="559"/>
    <s v="HTK151"/>
    <s v="Kẹo Tommy trái cây 15g x 12 gói x 12 dây"/>
    <s v="Dây"/>
    <n v="150000"/>
    <n v="0"/>
    <n v="4"/>
    <n v="168000"/>
    <n v="18000"/>
    <d v="2023-11-04T00:00:00"/>
    <x v="127"/>
    <n v="11"/>
    <n v="2023"/>
  </r>
  <r>
    <n v="560"/>
    <s v="KTN2004"/>
    <s v="Kẹo Trang Nghiêm ME ỚT 200gr x 50 gói/thùng"/>
    <s v="Gói"/>
    <n v="122000"/>
    <n v="0"/>
    <n v="10"/>
    <n v="140000"/>
    <n v="18000"/>
    <d v="2023-11-04T00:00:00"/>
    <x v="127"/>
    <n v="11"/>
    <n v="2023"/>
  </r>
  <r>
    <n v="561"/>
    <s v="BSOGI12"/>
    <s v="Bánh SOGI CHOCOLATE 12g x 24 cây x 6 hủ"/>
    <s v="Hủ"/>
    <n v="63000"/>
    <n v="0"/>
    <n v="1"/>
    <n v="72000"/>
    <n v="9000"/>
    <d v="2023-11-04T00:00:00"/>
    <x v="128"/>
    <n v="11"/>
    <n v="2023"/>
  </r>
  <r>
    <n v="562"/>
    <s v="CG50"/>
    <s v="Chân gà cay ăn liền ZL FOOD loại 50g x 30 x 7 túi"/>
    <s v="Cái"/>
    <n v="165000"/>
    <n v="0"/>
    <n v="30"/>
    <n v="200000"/>
    <n v="35000"/>
    <d v="2023-11-04T00:00:00"/>
    <x v="128"/>
    <n v="11"/>
    <n v="2023"/>
  </r>
  <r>
    <n v="563"/>
    <s v="HTBX3501"/>
    <s v="Bánh xốp Papang vị Cam 350g x 12"/>
    <s v="Hộp"/>
    <n v="114400"/>
    <n v="0"/>
    <n v="2"/>
    <n v="134000"/>
    <n v="19600"/>
    <d v="2023-11-04T00:00:00"/>
    <x v="58"/>
    <n v="11"/>
    <n v="2023"/>
  </r>
  <r>
    <n v="564"/>
    <s v="HTBX3502"/>
    <s v="Bánh xốp Papang vị Sữa 350g x 12"/>
    <s v="Hộp"/>
    <n v="114400"/>
    <n v="0"/>
    <n v="2"/>
    <n v="134000"/>
    <n v="19600"/>
    <d v="2023-11-04T00:00:00"/>
    <x v="58"/>
    <n v="11"/>
    <n v="2023"/>
  </r>
  <r>
    <n v="565"/>
    <s v="HTBXG350"/>
    <s v="Bánh xốp Papang vị Chocolate 350g x 12"/>
    <s v="Hộp"/>
    <n v="57200"/>
    <n v="0"/>
    <n v="1"/>
    <n v="67000"/>
    <n v="9800"/>
    <d v="2023-11-04T00:00:00"/>
    <x v="58"/>
    <n v="11"/>
    <n v="2023"/>
  </r>
  <r>
    <n v="566"/>
    <s v="HTKCF140"/>
    <s v="Kẹo Cafe United 140g X 24 gói"/>
    <s v="Gói"/>
    <n v="0"/>
    <n v="0"/>
    <n v="0"/>
    <n v="0"/>
    <n v="0"/>
    <d v="2023-11-04T00:00:00"/>
    <x v="58"/>
    <n v="11"/>
    <n v="2023"/>
  </r>
  <r>
    <n v="567"/>
    <s v="SBOMGROW900"/>
    <s v="SURE OMEGA-GROW IQ 900G"/>
    <s v="Lon"/>
    <n v="2548800"/>
    <n v="0"/>
    <n v="12"/>
    <n v="2865600"/>
    <n v="316800"/>
    <d v="2023-11-06T00:00:00"/>
    <x v="15"/>
    <n v="11"/>
    <n v="2023"/>
  </r>
  <r>
    <n v="568"/>
    <s v="KR1001"/>
    <s v="Khăn giấy rút lụa SSS BiBi 2 lớp x 1kg x 10 gói"/>
    <s v="Gói"/>
    <n v="3360000"/>
    <n v="0"/>
    <n v="70"/>
    <n v="2912000"/>
    <n v="-448000"/>
    <d v="2023-11-06T00:00:00"/>
    <x v="61"/>
    <n v="11"/>
    <n v="2023"/>
  </r>
  <r>
    <n v="569"/>
    <s v="HTBD12"/>
    <s v="Bánh đũa Gap Dâu tây 12g x 12 hộp x 12"/>
    <s v="Hộp"/>
    <n v="42084"/>
    <n v="0"/>
    <n v="1"/>
    <n v="48000"/>
    <n v="5916"/>
    <d v="2023-11-06T00:00:00"/>
    <x v="33"/>
    <n v="11"/>
    <n v="2023"/>
  </r>
  <r>
    <n v="570"/>
    <s v="HTBD121"/>
    <s v="Bánh đũa Gap Sô cô la 12g x 12 hộp x 12"/>
    <s v="Hộp"/>
    <n v="42084"/>
    <n v="0"/>
    <n v="1"/>
    <n v="48000"/>
    <n v="5916"/>
    <d v="2023-11-06T00:00:00"/>
    <x v="33"/>
    <n v="11"/>
    <n v="2023"/>
  </r>
  <r>
    <n v="571"/>
    <s v="HTBD122"/>
    <s v="Bánh đũa Gap Sữa 12g x 12 hộp x 12"/>
    <s v="Hộp"/>
    <n v="0"/>
    <n v="0"/>
    <n v="0"/>
    <n v="0"/>
    <n v="0"/>
    <d v="2023-11-06T00:00:00"/>
    <x v="33"/>
    <n v="11"/>
    <n v="2023"/>
  </r>
  <r>
    <n v="572"/>
    <s v="HTBTE501"/>
    <s v="Bánh gạo TE Happy Bites Táo 50g x 12 hộp"/>
    <s v="Hộp"/>
    <n v="271800"/>
    <n v="0"/>
    <n v="6"/>
    <n v="300000"/>
    <n v="28200"/>
    <d v="2023-11-06T00:00:00"/>
    <x v="33"/>
    <n v="11"/>
    <n v="2023"/>
  </r>
  <r>
    <n v="573"/>
    <s v="HTBTE502"/>
    <s v="Bánh gạo TE Happy Bites Chuối 50g x 12 hộp"/>
    <s v="Hộp"/>
    <n v="271800"/>
    <n v="1"/>
    <n v="6"/>
    <n v="300000"/>
    <n v="28200"/>
    <d v="2023-11-06T00:00:00"/>
    <x v="33"/>
    <n v="11"/>
    <n v="2023"/>
  </r>
  <r>
    <n v="574"/>
    <s v="HTKD802"/>
    <s v="Kẹo dẻo YOYO Assorted Mix (Thập cẩm) 80g x 24 gói"/>
    <s v="Gói"/>
    <n v="78320"/>
    <n v="0"/>
    <n v="5"/>
    <n v="92500"/>
    <n v="14180"/>
    <d v="2023-11-06T00:00:00"/>
    <x v="33"/>
    <n v="11"/>
    <n v="2023"/>
  </r>
  <r>
    <n v="575"/>
    <s v="HTCTBC180"/>
    <s v="Cốc thả bồn cầu 180g x 24 hũ"/>
    <s v="Hủ"/>
    <n v="0"/>
    <n v="0"/>
    <n v="0"/>
    <n v="0"/>
    <n v="0"/>
    <d v="2023-11-09T00:00:00"/>
    <x v="31"/>
    <n v="11"/>
    <n v="2023"/>
  </r>
  <r>
    <n v="576"/>
    <s v="KTN80"/>
    <s v="Kẹo Trang Nghiêm DÂU TÂY 80gr x 100 gói/thùng"/>
    <s v="Gói"/>
    <n v="26250"/>
    <n v="0"/>
    <n v="5"/>
    <n v="35000"/>
    <n v="8750"/>
    <d v="2023-11-09T00:00:00"/>
    <x v="31"/>
    <n v="11"/>
    <n v="2023"/>
  </r>
  <r>
    <n v="577"/>
    <s v="KTN801"/>
    <s v="Kẹo Trang Nghiêm DÂU TẰM 80gr x 100 gói/thùng"/>
    <s v="Gói"/>
    <n v="26250"/>
    <n v="0"/>
    <n v="5"/>
    <n v="35000"/>
    <n v="8750"/>
    <d v="2023-11-09T00:00:00"/>
    <x v="31"/>
    <n v="11"/>
    <n v="2023"/>
  </r>
  <r>
    <n v="578"/>
    <s v="KTN802"/>
    <s v="Kẹo Trang Nghiêm ME ỚT 80gr x 100 gói/thùng"/>
    <s v="Gói"/>
    <n v="26250"/>
    <n v="0"/>
    <n v="5"/>
    <n v="35000"/>
    <n v="8750"/>
    <d v="2023-11-09T00:00:00"/>
    <x v="31"/>
    <n v="11"/>
    <n v="2023"/>
  </r>
  <r>
    <n v="579"/>
    <s v="BWW18"/>
    <s v="Bánh quy WINWIN - Hương vị BẮP (943) 8 gói x 180g x 24 hộp"/>
    <s v="Hộp"/>
    <n v="82500"/>
    <n v="0"/>
    <n v="3"/>
    <n v="84000"/>
    <n v="1500"/>
    <d v="2023-11-09T00:00:00"/>
    <x v="33"/>
    <n v="11"/>
    <n v="2023"/>
  </r>
  <r>
    <n v="580"/>
    <s v="BWW181"/>
    <s v="Bánh quy WINWIN - Hương vị HẢI SẢN (997) 8 gói x 18g x 24 hộp"/>
    <s v="Hộp"/>
    <n v="82500"/>
    <n v="0"/>
    <n v="3"/>
    <n v="84000"/>
    <n v="1500"/>
    <d v="2023-11-09T00:00:00"/>
    <x v="33"/>
    <n v="11"/>
    <n v="2023"/>
  </r>
  <r>
    <n v="581"/>
    <s v="BWW202"/>
    <s v="Bánh quy WINWIN - Khoai tây vị BBQ (908) 8 gói x 20g x 24 hộp"/>
    <s v="Hộp"/>
    <n v="82500"/>
    <n v="0"/>
    <n v="3"/>
    <n v="84000"/>
    <n v="1500"/>
    <d v="2023-11-09T00:00:00"/>
    <x v="33"/>
    <n v="11"/>
    <n v="2023"/>
  </r>
  <r>
    <n v="582"/>
    <s v="BWW203"/>
    <s v="Bánh quy WINWIN - Khoai tây vị RAU CẢI (910) 8 gói x 20g x 24 hộp"/>
    <s v="Hộp"/>
    <n v="82500"/>
    <n v="0"/>
    <n v="3"/>
    <n v="84000"/>
    <n v="1500"/>
    <d v="2023-11-09T00:00:00"/>
    <x v="33"/>
    <n v="11"/>
    <n v="2023"/>
  </r>
  <r>
    <n v="583"/>
    <s v="CG50"/>
    <s v="Chân gà cay ăn liền ZL FOOD loại 50g x 30 x 7 túi"/>
    <s v="Cái"/>
    <n v="165000"/>
    <n v="0"/>
    <n v="30"/>
    <n v="195000"/>
    <n v="30000"/>
    <d v="2023-11-09T00:00:00"/>
    <x v="33"/>
    <n v="11"/>
    <n v="2023"/>
  </r>
  <r>
    <n v="584"/>
    <s v="HTBD121"/>
    <s v="Bánh đũa Gap Sô cô la 12g x 12 hộp x 12"/>
    <s v="Hộp"/>
    <n v="42084"/>
    <n v="0"/>
    <n v="1"/>
    <n v="48000"/>
    <n v="5916"/>
    <d v="2023-11-09T00:00:00"/>
    <x v="33"/>
    <n v="11"/>
    <n v="2023"/>
  </r>
  <r>
    <n v="585"/>
    <s v="KGC10"/>
    <s v="KHÔ GÀ CAY - 10 GR x 500 gói"/>
    <s v="Gói"/>
    <n v="90000"/>
    <n v="0"/>
    <n v="25"/>
    <n v="100000"/>
    <n v="10000"/>
    <d v="2023-11-09T00:00:00"/>
    <x v="33"/>
    <n v="11"/>
    <n v="2023"/>
  </r>
  <r>
    <n v="586"/>
    <s v="JA1KG"/>
    <s v="Javel 1L x 12 chai"/>
    <s v="Chai"/>
    <n v="450000"/>
    <n v="12"/>
    <n v="60"/>
    <n v="650000"/>
    <n v="200000"/>
    <d v="2023-11-09T00:00:00"/>
    <x v="34"/>
    <n v="11"/>
    <n v="2023"/>
  </r>
  <r>
    <n v="587"/>
    <s v="BC32C189"/>
    <s v="BC ThaiLan ống 30 cây x 15 hũ"/>
    <s v="Hủ"/>
    <n v="230000"/>
    <n v="0"/>
    <n v="2"/>
    <n v="390000"/>
    <n v="160000"/>
    <d v="2023-11-09T00:00:00"/>
    <x v="70"/>
    <n v="11"/>
    <n v="2023"/>
  </r>
  <r>
    <n v="588"/>
    <s v="CG50"/>
    <s v="Chân gà cay ăn liền ZL FOOD loại 50g x 30 x 7 túi"/>
    <s v="Cái"/>
    <n v="165000"/>
    <n v="0"/>
    <n v="30"/>
    <n v="180000"/>
    <n v="15000"/>
    <d v="2023-11-09T00:00:00"/>
    <x v="70"/>
    <n v="11"/>
    <n v="2023"/>
  </r>
  <r>
    <n v="589"/>
    <s v="HTK151"/>
    <s v="Kẹo Tommy trái cây 15g x 12 gói x 12 dây"/>
    <s v="Dây"/>
    <n v="75000"/>
    <n v="0"/>
    <n v="2"/>
    <n v="82000"/>
    <n v="7000"/>
    <d v="2023-11-09T00:00:00"/>
    <x v="70"/>
    <n v="11"/>
    <n v="2023"/>
  </r>
  <r>
    <n v="590"/>
    <s v="KMQ"/>
    <s v="Quạt chân cao"/>
    <s v="Cây"/>
    <n v="0"/>
    <n v="1"/>
    <n v="0"/>
    <n v="0"/>
    <n v="0"/>
    <d v="2023-11-09T00:00:00"/>
    <x v="70"/>
    <n v="11"/>
    <n v="2023"/>
  </r>
  <r>
    <n v="591"/>
    <s v="VMS002"/>
    <s v="VM Kẹo Thạch 500g (500g x 20 túi)"/>
    <s v="Túi"/>
    <n v="46562"/>
    <n v="0"/>
    <n v="2"/>
    <n v="63000"/>
    <n v="16438"/>
    <d v="2023-11-09T00:00:00"/>
    <x v="70"/>
    <n v="11"/>
    <n v="2023"/>
  </r>
  <r>
    <n v="592"/>
    <s v="CG50"/>
    <s v="Chân gà cay ăn liền ZL FOOD loại 50g x 30 x 7 túi"/>
    <s v="Cái"/>
    <n v="82500"/>
    <n v="0"/>
    <n v="15"/>
    <n v="97500"/>
    <n v="15000"/>
    <d v="2023-11-09T00:00:00"/>
    <x v="36"/>
    <n v="11"/>
    <n v="2023"/>
  </r>
  <r>
    <n v="593"/>
    <s v="CG501"/>
    <s v="Chân gà cay ăn liền ZL FOOD Acao 50g x 30 x 7 túi"/>
    <s v="Cái"/>
    <n v="82500"/>
    <n v="0"/>
    <n v="15"/>
    <n v="97500"/>
    <n v="15000"/>
    <d v="2023-11-09T00:00:00"/>
    <x v="36"/>
    <n v="11"/>
    <n v="2023"/>
  </r>
  <r>
    <n v="594"/>
    <s v="KR1500"/>
    <s v="Khăn rút TiOne treo tường 1500 tờ x 15 gói"/>
    <s v="Gói"/>
    <n v="57000"/>
    <n v="0"/>
    <n v="3"/>
    <n v="84000"/>
    <n v="27000"/>
    <d v="2023-11-09T00:00:00"/>
    <x v="72"/>
    <n v="11"/>
    <n v="2023"/>
  </r>
  <r>
    <n v="595"/>
    <s v="KU1509"/>
    <s v="Khăn ướt BBIWINEW (khổ lớn) 150g x 30 gói"/>
    <s v="Gói"/>
    <n v="90000"/>
    <n v="0"/>
    <n v="10"/>
    <n v="130000"/>
    <n v="40000"/>
    <d v="2023-11-09T00:00:00"/>
    <x v="72"/>
    <n v="11"/>
    <n v="2023"/>
  </r>
  <r>
    <n v="596"/>
    <s v="KV1001"/>
    <s v="Khăn Napkin Ruby Gold 100 tờ x 30 gói"/>
    <s v="Gói"/>
    <n v="75000"/>
    <n v="0"/>
    <n v="10"/>
    <n v="90000"/>
    <n v="15000"/>
    <d v="2023-11-09T00:00:00"/>
    <x v="72"/>
    <n v="11"/>
    <n v="2023"/>
  </r>
  <r>
    <n v="597"/>
    <s v="KV1007"/>
    <s v="Khăn Napkin An An 100 tờ x 40 gói"/>
    <s v="Gói"/>
    <n v="270000"/>
    <n v="0"/>
    <n v="40"/>
    <n v="300000"/>
    <n v="30000"/>
    <d v="2023-11-09T00:00:00"/>
    <x v="72"/>
    <n v="11"/>
    <n v="2023"/>
  </r>
  <r>
    <n v="598"/>
    <s v="KU250"/>
    <s v="Khăn ướt TE Villa 250g x 30 gói"/>
    <s v="Gói"/>
    <n v="231000"/>
    <n v="0"/>
    <n v="30"/>
    <n v="300000"/>
    <n v="69000"/>
    <d v="2023-11-10T00:00:00"/>
    <x v="129"/>
    <n v="11"/>
    <n v="2023"/>
  </r>
  <r>
    <n v="599"/>
    <s v="KV100"/>
    <s v="Khăn Napkin Toply 100 tờ x 48 gói"/>
    <s v="Gói"/>
    <n v="0"/>
    <n v="0"/>
    <n v="0"/>
    <n v="0"/>
    <n v="0"/>
    <d v="2023-11-10T00:00:00"/>
    <x v="130"/>
    <n v="11"/>
    <n v="2023"/>
  </r>
  <r>
    <n v="600"/>
    <s v="KV320"/>
    <s v="Khăn Napkin Fairy 320 x 100 tờ x 48 gói"/>
    <s v="Gói"/>
    <n v="264000"/>
    <n v="0"/>
    <n v="24"/>
    <n v="240000"/>
    <n v="-24000"/>
    <d v="2023-11-10T00:00:00"/>
    <x v="130"/>
    <n v="11"/>
    <n v="2023"/>
  </r>
  <r>
    <n v="601"/>
    <s v="KV1002"/>
    <s v="Khăn Napkin TiOne nâu 100 tờ x 30 gói"/>
    <s v="Gói"/>
    <n v="1296000"/>
    <n v="0"/>
    <n v="180"/>
    <n v="1692000"/>
    <n v="396000"/>
    <d v="2023-11-10T00:00:00"/>
    <x v="2"/>
    <n v="11"/>
    <n v="2023"/>
  </r>
  <r>
    <n v="602"/>
    <s v="BSOGI12"/>
    <s v="Bánh SOGI CHOCOLATE 12g x 24 cây x 6 hủ"/>
    <s v="Hủ"/>
    <n v="63000"/>
    <n v="0"/>
    <n v="1"/>
    <n v="73000"/>
    <n v="10000"/>
    <d v="2023-11-10T00:00:00"/>
    <x v="131"/>
    <n v="11"/>
    <n v="2023"/>
  </r>
  <r>
    <n v="603"/>
    <s v="HTK151"/>
    <s v="Kẹo Tommy trái cây 15g x 12 gói x 12 dây"/>
    <s v="Dây"/>
    <n v="75000"/>
    <n v="0"/>
    <n v="2"/>
    <n v="84000"/>
    <n v="9000"/>
    <d v="2023-11-10T00:00:00"/>
    <x v="131"/>
    <n v="11"/>
    <n v="2023"/>
  </r>
  <r>
    <n v="604"/>
    <s v="KDL03"/>
    <s v="Khăn giấy bỏ túi Jembo 10 gói x 30 cây"/>
    <s v="Cây"/>
    <n v="225000"/>
    <n v="0"/>
    <n v="30"/>
    <n v="285000"/>
    <n v="60000"/>
    <d v="2023-11-10T00:00:00"/>
    <x v="105"/>
    <n v="11"/>
    <n v="2023"/>
  </r>
  <r>
    <n v="605"/>
    <s v="KU20"/>
    <s v="Khăn ướt Anpa 20g x 120 gói"/>
    <s v="Gói"/>
    <n v="104400"/>
    <n v="0"/>
    <n v="36"/>
    <n v="144000"/>
    <n v="39600"/>
    <d v="2023-11-10T00:00:00"/>
    <x v="132"/>
    <n v="11"/>
    <n v="2023"/>
  </r>
  <r>
    <n v="606"/>
    <s v="GC616"/>
    <s v="GVS Panda 6 cuộn cao x 12 cuộn x 12kg"/>
    <s v="Cây"/>
    <n v="64000"/>
    <n v="0"/>
    <n v="2"/>
    <n v="80000"/>
    <n v="16000"/>
    <d v="2023-11-10T00:00:00"/>
    <x v="133"/>
    <n v="11"/>
    <n v="2023"/>
  </r>
  <r>
    <n v="607"/>
    <s v="NSSK555"/>
    <s v="Saka 555ml x 24 chai"/>
    <s v="Thùng"/>
    <n v="156000"/>
    <n v="0"/>
    <n v="2"/>
    <n v="172000"/>
    <n v="16000"/>
    <d v="2023-11-10T00:00:00"/>
    <x v="133"/>
    <n v="11"/>
    <n v="2023"/>
  </r>
  <r>
    <n v="608"/>
    <s v="HM608"/>
    <s v="Yến sào Seunest CĐ vàng x 6 hộp"/>
    <s v="Hộp"/>
    <n v="600000"/>
    <n v="0"/>
    <n v="6"/>
    <n v="1308000"/>
    <n v="708000"/>
    <d v="2023-11-11T00:00:00"/>
    <x v="134"/>
    <n v="11"/>
    <n v="2023"/>
  </r>
  <r>
    <n v="609"/>
    <s v="HM610"/>
    <s v="Yến sào Finenest CĐ đỏ x 6 hộp"/>
    <s v="Hộp"/>
    <n v="0"/>
    <n v="6"/>
    <n v="0"/>
    <n v="-654000"/>
    <n v="-654000"/>
    <d v="2023-11-11T00:00:00"/>
    <x v="134"/>
    <n v="11"/>
    <n v="2023"/>
  </r>
  <r>
    <n v="610"/>
    <s v="KU250"/>
    <s v="Khăn ướt TE Villa 250g x 30 gói"/>
    <s v="Gói"/>
    <n v="231000"/>
    <n v="0"/>
    <n v="30"/>
    <n v="300000"/>
    <n v="69000"/>
    <d v="2023-11-11T00:00:00"/>
    <x v="134"/>
    <n v="11"/>
    <n v="2023"/>
  </r>
  <r>
    <n v="611"/>
    <s v="BC32C189"/>
    <s v="BC ThaiLan ống 30 cây x 15 hũ"/>
    <s v="Hủ"/>
    <n v="115000"/>
    <n v="0"/>
    <n v="1"/>
    <n v="150000"/>
    <n v="35000"/>
    <d v="2023-11-13T00:00:00"/>
    <x v="39"/>
    <n v="11"/>
    <n v="2023"/>
  </r>
  <r>
    <n v="612"/>
    <s v="BCTE001"/>
    <s v="BCTE AquaStar (con chó) x 24 cây"/>
    <s v="Cây"/>
    <n v="93336"/>
    <n v="0"/>
    <n v="8"/>
    <n v="112000"/>
    <n v="18664"/>
    <d v="2023-11-13T00:00:00"/>
    <x v="39"/>
    <n v="11"/>
    <n v="2023"/>
  </r>
  <r>
    <n v="613"/>
    <s v="BCTE002"/>
    <s v="BCTE AquaStar (con kiến) x 24 cây"/>
    <s v="Cây"/>
    <n v="93336"/>
    <n v="0"/>
    <n v="8"/>
    <n v="112000"/>
    <n v="18664"/>
    <d v="2023-11-13T00:00:00"/>
    <x v="39"/>
    <n v="11"/>
    <n v="2023"/>
  </r>
  <r>
    <n v="614"/>
    <s v="BCTE003"/>
    <s v="BCTE AquaStar (con sâu) x 24 cây"/>
    <s v="Cây"/>
    <n v="93336"/>
    <n v="4"/>
    <n v="8"/>
    <n v="64000"/>
    <n v="-29336"/>
    <d v="2023-11-13T00:00:00"/>
    <x v="39"/>
    <n v="11"/>
    <n v="2023"/>
  </r>
  <r>
    <n v="615"/>
    <s v="KDR002"/>
    <s v="Kem đánh răng AquaStar TE cam x 60 hộp"/>
    <s v="Hộp"/>
    <n v="66665"/>
    <n v="2"/>
    <n v="5"/>
    <n v="54000"/>
    <n v="-12665"/>
    <d v="2023-11-13T00:00:00"/>
    <x v="39"/>
    <n v="11"/>
    <n v="2023"/>
  </r>
  <r>
    <n v="616"/>
    <s v="KDR003"/>
    <s v="Kem đánh răng AquaStar TE dâu x 60 hộp"/>
    <s v="Hộp"/>
    <n v="66665"/>
    <n v="0"/>
    <n v="5"/>
    <n v="80000"/>
    <n v="13335"/>
    <d v="2023-11-13T00:00:00"/>
    <x v="39"/>
    <n v="11"/>
    <n v="2023"/>
  </r>
  <r>
    <n v="617"/>
    <s v="KV1001"/>
    <s v="Khăn Napkin Ruby Gold 100 tờ x 30 gói"/>
    <s v="Gói"/>
    <n v="450000"/>
    <n v="0"/>
    <n v="60"/>
    <n v="480000"/>
    <n v="30000"/>
    <d v="2023-11-13T00:00:00"/>
    <x v="39"/>
    <n v="11"/>
    <n v="2023"/>
  </r>
  <r>
    <n v="618"/>
    <s v="HM600"/>
    <s v="HIMA Yến Huyết 6 lọ x 6 hộp"/>
    <s v="Hộp"/>
    <n v="1215000"/>
    <n v="0"/>
    <n v="6"/>
    <n v="1620000"/>
    <n v="405000"/>
    <d v="2023-11-13T00:00:00"/>
    <x v="16"/>
    <n v="11"/>
    <n v="2023"/>
  </r>
  <r>
    <n v="619"/>
    <s v="HM601"/>
    <s v="HIMA DAILY (new) 6 lọ x 6 hộp"/>
    <s v="Hộp"/>
    <n v="1152000"/>
    <n v="0"/>
    <n v="6"/>
    <n v="1440000"/>
    <n v="288000"/>
    <d v="2023-11-13T00:00:00"/>
    <x v="16"/>
    <n v="11"/>
    <n v="2023"/>
  </r>
  <r>
    <n v="620"/>
    <s v="HM607"/>
    <s v="Yến sào Seunest KĐ xanh x 6 hộp"/>
    <s v="Hộp"/>
    <n v="0"/>
    <n v="6"/>
    <n v="0"/>
    <n v="-654000"/>
    <n v="-654000"/>
    <d v="2023-11-13T00:00:00"/>
    <x v="16"/>
    <n v="11"/>
    <n v="2023"/>
  </r>
  <r>
    <n v="621"/>
    <s v="HM608"/>
    <s v="Yến sào Seunest CĐ vàng x 6 hộp"/>
    <s v="Hộp"/>
    <n v="0"/>
    <n v="3"/>
    <n v="0"/>
    <n v="-327000"/>
    <n v="-327000"/>
    <d v="2023-11-13T00:00:00"/>
    <x v="16"/>
    <n v="11"/>
    <n v="2023"/>
  </r>
  <r>
    <n v="622"/>
    <s v="HM609"/>
    <s v="HIMA Hoa Hồng 35% yến 6 lọ x 6 hộp"/>
    <s v="Hộp"/>
    <n v="900000"/>
    <n v="0"/>
    <n v="6"/>
    <n v="1308000"/>
    <n v="408000"/>
    <d v="2023-11-13T00:00:00"/>
    <x v="16"/>
    <n v="11"/>
    <n v="2023"/>
  </r>
  <r>
    <n v="623"/>
    <s v="TBTE20002"/>
    <s v="Tăm bông thân nhựa TE hộp tròn 200 cây x 12 hộp"/>
    <s v="Hộp"/>
    <n v="535500"/>
    <n v="6"/>
    <n v="36"/>
    <n v="525000"/>
    <n v="-10500"/>
    <d v="2023-11-13T00:00:00"/>
    <x v="4"/>
    <n v="11"/>
    <n v="2023"/>
  </r>
  <r>
    <n v="624"/>
    <s v="KU600"/>
    <s v="Khăn ướt Anpa Nano bạc 600gr x 30 gói"/>
    <s v="Gói"/>
    <n v="175000"/>
    <n v="2"/>
    <n v="10"/>
    <n v="167000"/>
    <n v="-8000"/>
    <d v="2023-11-13T00:00:00"/>
    <x v="135"/>
    <n v="11"/>
    <n v="2023"/>
  </r>
  <r>
    <n v="625"/>
    <s v="HTBD12"/>
    <s v="Bánh đũa Gap Dâu tây 12g x 12 hộp x 12"/>
    <s v="Hộp"/>
    <n v="42084"/>
    <n v="0"/>
    <n v="1"/>
    <n v="48000"/>
    <n v="5916"/>
    <d v="2023-11-13T00:00:00"/>
    <x v="136"/>
    <n v="11"/>
    <n v="2023"/>
  </r>
  <r>
    <n v="626"/>
    <s v="KV1007"/>
    <s v="Khăn Napkin An An 100 tờ x 40 gói"/>
    <s v="Gói"/>
    <n v="195750"/>
    <n v="0"/>
    <n v="29"/>
    <n v="217500"/>
    <n v="21750"/>
    <d v="2023-11-13T00:00:00"/>
    <x v="136"/>
    <n v="11"/>
    <n v="2023"/>
  </r>
  <r>
    <n v="627"/>
    <s v="KH1802"/>
    <s v="Khăn hộp Hà Nội 180 tờ x 2 lớp x 36 hộp"/>
    <s v="Hộp"/>
    <n v="692064"/>
    <n v="0"/>
    <n v="36"/>
    <n v="648000"/>
    <n v="-44064"/>
    <d v="2023-11-13T00:00:00"/>
    <x v="5"/>
    <n v="11"/>
    <n v="2023"/>
  </r>
  <r>
    <n v="628"/>
    <s v="KV1009"/>
    <s v="Khăn Napkin TiOne Gấu 100 tờ x 48 gói"/>
    <s v="Gói"/>
    <n v="576000"/>
    <n v="0"/>
    <n v="96"/>
    <n v="720000"/>
    <n v="144000"/>
    <d v="2023-11-13T00:00:00"/>
    <x v="44"/>
    <n v="11"/>
    <n v="2023"/>
  </r>
  <r>
    <n v="629"/>
    <s v="HM607"/>
    <s v="Yến sào Seunest KĐ xanh x 6 hộp"/>
    <s v="Hộp"/>
    <n v="600000"/>
    <n v="6"/>
    <n v="6"/>
    <n v="654000"/>
    <n v="54000"/>
    <d v="2023-11-13T00:00:00"/>
    <x v="123"/>
    <n v="11"/>
    <n v="2023"/>
  </r>
  <r>
    <n v="630"/>
    <s v="HM608"/>
    <s v="Yến sào Seunest CĐ vàng x 6 hộp"/>
    <s v="Hộp"/>
    <n v="600000"/>
    <n v="6"/>
    <n v="6"/>
    <n v="654000"/>
    <n v="54000"/>
    <d v="2023-11-13T00:00:00"/>
    <x v="123"/>
    <n v="11"/>
    <n v="2023"/>
  </r>
  <r>
    <n v="631"/>
    <s v="BC32C189"/>
    <s v="BC ThaiLan ống 30 cây x 15 hũ"/>
    <s v="Hủ"/>
    <n v="230000"/>
    <n v="0"/>
    <n v="2"/>
    <n v="390000"/>
    <n v="160000"/>
    <d v="2023-11-13T00:00:00"/>
    <x v="26"/>
    <n v="11"/>
    <n v="2023"/>
  </r>
  <r>
    <n v="632"/>
    <s v="HM607"/>
    <s v="Yến sào Seunest KĐ xanh x 6 hộp"/>
    <s v="Hộp"/>
    <n v="0"/>
    <n v="3"/>
    <n v="0"/>
    <n v="-327000"/>
    <n v="-327000"/>
    <d v="2023-11-13T00:00:00"/>
    <x v="26"/>
    <n v="11"/>
    <n v="2023"/>
  </r>
  <r>
    <n v="633"/>
    <s v="HM608"/>
    <s v="Yến sào Seunest CĐ vàng x 6 hộp"/>
    <s v="Hộp"/>
    <n v="600000"/>
    <n v="3"/>
    <n v="6"/>
    <n v="981000"/>
    <n v="381000"/>
    <d v="2023-11-13T00:00:00"/>
    <x v="26"/>
    <n v="11"/>
    <n v="2023"/>
  </r>
  <r>
    <n v="634"/>
    <s v="KDL03"/>
    <s v="Khăn giấy bỏ túi Jembo 10 gói x 30 cây"/>
    <s v="Cây"/>
    <n v="75000"/>
    <n v="0"/>
    <n v="10"/>
    <n v="95000"/>
    <n v="20000"/>
    <d v="2023-11-13T00:00:00"/>
    <x v="26"/>
    <n v="11"/>
    <n v="2023"/>
  </r>
  <r>
    <n v="635"/>
    <s v="KMQ"/>
    <s v="Quạt chân cao"/>
    <s v="Cây"/>
    <n v="0"/>
    <n v="1"/>
    <n v="0"/>
    <n v="0"/>
    <n v="0"/>
    <d v="2023-11-13T00:00:00"/>
    <x v="26"/>
    <n v="11"/>
    <n v="2023"/>
  </r>
  <r>
    <n v="636"/>
    <s v="BCN189"/>
    <s v="BC KAKA NANO N189 x 30 x 10 hộp"/>
    <s v="Cây"/>
    <n v="144000"/>
    <n v="0"/>
    <n v="30"/>
    <n v="210000"/>
    <n v="66000"/>
    <d v="2023-11-13T00:00:00"/>
    <x v="20"/>
    <n v="11"/>
    <n v="2023"/>
  </r>
  <r>
    <n v="637"/>
    <s v="GC605"/>
    <s v="GVS Ruby 6 cuộn Mèo (không lõi) x 10 cây"/>
    <s v="Cây"/>
    <n v="290000"/>
    <n v="1"/>
    <n v="10"/>
    <n v="355000"/>
    <n v="65000"/>
    <d v="2023-11-13T00:00:00"/>
    <x v="137"/>
    <n v="11"/>
    <n v="2023"/>
  </r>
  <r>
    <n v="638"/>
    <s v="KU250"/>
    <s v="Khăn ướt TE Villa 250g x 30 gói"/>
    <s v="Gói"/>
    <n v="77000"/>
    <n v="0"/>
    <n v="10"/>
    <n v="100000"/>
    <n v="23000"/>
    <d v="2023-11-13T00:00:00"/>
    <x v="137"/>
    <n v="11"/>
    <n v="2023"/>
  </r>
  <r>
    <n v="639"/>
    <s v="HM607"/>
    <s v="Yến sào Seunest KĐ xanh x 6 hộp"/>
    <s v="Hộp"/>
    <n v="1800000"/>
    <n v="0"/>
    <n v="18"/>
    <n v="3924000"/>
    <n v="2124000"/>
    <d v="2023-11-13T00:00:00"/>
    <x v="138"/>
    <n v="11"/>
    <n v="2023"/>
  </r>
  <r>
    <n v="640"/>
    <s v="HM608"/>
    <s v="Yến sào Seunest CĐ vàng x 6 hộp"/>
    <s v="Hộp"/>
    <n v="0"/>
    <n v="18"/>
    <n v="0"/>
    <n v="-1962000"/>
    <n v="-1962000"/>
    <d v="2023-11-13T00:00:00"/>
    <x v="138"/>
    <n v="11"/>
    <n v="2023"/>
  </r>
  <r>
    <n v="641"/>
    <s v="BSOGI12"/>
    <s v="Bánh SOGI CHOCOLATE 12g x 24 cây x 6 hủ"/>
    <s v="Hủ"/>
    <n v="63000"/>
    <n v="0"/>
    <n v="1"/>
    <n v="73000"/>
    <n v="10000"/>
    <d v="2023-11-13T00:00:00"/>
    <x v="65"/>
    <n v="11"/>
    <n v="2023"/>
  </r>
  <r>
    <n v="642"/>
    <s v="KTN2002"/>
    <s v="Kẹo Trang Nghiêm DÂU TÂY 200gr x 50 gói/thùng"/>
    <s v="Gói"/>
    <n v="61000"/>
    <n v="0"/>
    <n v="5"/>
    <n v="70000"/>
    <n v="9000"/>
    <d v="2023-11-13T00:00:00"/>
    <x v="65"/>
    <n v="11"/>
    <n v="2023"/>
  </r>
  <r>
    <n v="643"/>
    <s v="KTN2003"/>
    <s v="Kẹo Trang Nghiêm DÂU TẰM 200gr x 50 gói/thùng"/>
    <s v="Gói"/>
    <n v="61000"/>
    <n v="0"/>
    <n v="5"/>
    <n v="70000"/>
    <n v="9000"/>
    <d v="2023-11-13T00:00:00"/>
    <x v="65"/>
    <n v="11"/>
    <n v="2023"/>
  </r>
  <r>
    <n v="644"/>
    <s v="KTN2004"/>
    <s v="Kẹo Trang Nghiêm ME ỚT 200gr x 50 gói/thùng"/>
    <s v="Gói"/>
    <n v="12200"/>
    <n v="0"/>
    <n v="1"/>
    <n v="14000"/>
    <n v="1800"/>
    <d v="2023-11-13T00:00:00"/>
    <x v="65"/>
    <n v="11"/>
    <n v="2023"/>
  </r>
  <r>
    <n v="645"/>
    <s v="KTN3001"/>
    <s v="Kẹo Trang Nghiêm DÂU TÂY hộp 200g x 24 hộp/thùng"/>
    <s v="Hộp"/>
    <n v="174000"/>
    <n v="0"/>
    <n v="12"/>
    <n v="168000"/>
    <n v="-6000"/>
    <d v="2023-11-13T00:00:00"/>
    <x v="112"/>
    <n v="11"/>
    <n v="2023"/>
  </r>
  <r>
    <n v="646"/>
    <s v="GC10"/>
    <s v="V/S Bibi không lõi x 10 dây"/>
    <s v="Dây"/>
    <n v="130000"/>
    <n v="0"/>
    <n v="5"/>
    <n v="120000"/>
    <n v="-10000"/>
    <d v="2023-11-13T00:00:00"/>
    <x v="113"/>
    <n v="11"/>
    <n v="2023"/>
  </r>
  <r>
    <n v="647"/>
    <s v="GC605"/>
    <s v="GVS Ruby 6 cuộn Mèo (không lõi) x 10 cây"/>
    <s v="Cây"/>
    <n v="174000"/>
    <n v="0"/>
    <n v="6"/>
    <n v="210000"/>
    <n v="36000"/>
    <d v="2023-11-13T00:00:00"/>
    <x v="113"/>
    <n v="11"/>
    <n v="2023"/>
  </r>
  <r>
    <n v="648"/>
    <s v="KR402"/>
    <s v="Khăn giấy rút SSS BiBi 2 lớp x 400gr x 12 gói"/>
    <s v="Gói"/>
    <n v="211200"/>
    <n v="2"/>
    <n v="10"/>
    <n v="180000"/>
    <n v="-31200"/>
    <d v="2023-11-13T00:00:00"/>
    <x v="139"/>
    <n v="11"/>
    <n v="2023"/>
  </r>
  <r>
    <n v="649"/>
    <s v="KU250"/>
    <s v="Khăn ướt TE Villa 250g x 30 gói"/>
    <s v="Gói"/>
    <n v="154000"/>
    <n v="0"/>
    <n v="20"/>
    <n v="200000"/>
    <n v="46000"/>
    <d v="2023-11-13T00:00:00"/>
    <x v="140"/>
    <n v="11"/>
    <n v="2023"/>
  </r>
  <r>
    <n v="650"/>
    <s v="KV1011"/>
    <s v="Khăn Napkin EMos x 30 gói"/>
    <s v="Gói"/>
    <n v="66670"/>
    <n v="0"/>
    <n v="10"/>
    <n v="75000"/>
    <n v="8330"/>
    <d v="2023-11-13T00:00:00"/>
    <x v="140"/>
    <n v="11"/>
    <n v="2023"/>
  </r>
  <r>
    <n v="651"/>
    <s v="KU250"/>
    <s v="Khăn ướt TE Villa 250g x 30 gói"/>
    <s v="Gói"/>
    <n v="231000"/>
    <n v="0"/>
    <n v="30"/>
    <n v="330000"/>
    <n v="99000"/>
    <d v="2023-11-13T00:00:00"/>
    <x v="45"/>
    <n v="11"/>
    <n v="2023"/>
  </r>
  <r>
    <n v="652"/>
    <s v="KV1001"/>
    <s v="Khăn Napkin Ruby Gold 100 tờ x 30 gói"/>
    <s v="Gói"/>
    <n v="0"/>
    <n v="3"/>
    <n v="0"/>
    <n v="-3000"/>
    <n v="-3000"/>
    <d v="2023-11-13T00:00:00"/>
    <x v="45"/>
    <n v="11"/>
    <n v="2023"/>
  </r>
  <r>
    <n v="653"/>
    <s v="TNS1"/>
    <s v="Tẩy toilet Nam Sơn NK 100% 1L x 12 chai"/>
    <s v="Chai"/>
    <n v="190008"/>
    <n v="0"/>
    <n v="12"/>
    <n v="270000"/>
    <n v="79992"/>
    <d v="2023-11-13T00:00:00"/>
    <x v="45"/>
    <n v="11"/>
    <n v="2023"/>
  </r>
  <r>
    <n v="654"/>
    <s v="GC1023"/>
    <s v="V/S Bibi có lõi x 10 dây"/>
    <s v="Dây"/>
    <n v="294000"/>
    <n v="2"/>
    <n v="12"/>
    <n v="288000"/>
    <n v="-6000"/>
    <d v="2023-11-13T00:00:00"/>
    <x v="12"/>
    <n v="11"/>
    <n v="2023"/>
  </r>
  <r>
    <n v="655"/>
    <s v="KMQCL"/>
    <s v="Quạt SENKO 1638 chân lỡ"/>
    <s v="Cây"/>
    <n v="0"/>
    <n v="1"/>
    <n v="0"/>
    <n v="-281000"/>
    <n v="-281000"/>
    <d v="2023-11-13T00:00:00"/>
    <x v="117"/>
    <n v="11"/>
    <n v="2023"/>
  </r>
  <r>
    <n v="656"/>
    <s v="KU600"/>
    <s v="Khăn ướt Anpa Nano bạc 600gr x 30 gói"/>
    <s v="Gói"/>
    <n v="1575000"/>
    <n v="0"/>
    <n v="90"/>
    <n v="1800000"/>
    <n v="225000"/>
    <d v="2023-11-13T00:00:00"/>
    <x v="117"/>
    <n v="11"/>
    <n v="2023"/>
  </r>
  <r>
    <n v="657"/>
    <s v="KV1011"/>
    <s v="Khăn Napkin EMos x 30 gói"/>
    <s v="Gói"/>
    <n v="0"/>
    <n v="0"/>
    <n v="0"/>
    <n v="0"/>
    <n v="0"/>
    <d v="2023-11-13T00:00:00"/>
    <x v="141"/>
    <n v="11"/>
    <n v="2023"/>
  </r>
  <r>
    <n v="658"/>
    <s v="TNS1"/>
    <s v="Tẩy toilet Nam Sơn NK 100% 1L x 12 chai"/>
    <s v="Chai"/>
    <n v="190008"/>
    <n v="0"/>
    <n v="12"/>
    <n v="264000"/>
    <n v="73992"/>
    <d v="2023-11-13T00:00:00"/>
    <x v="142"/>
    <n v="11"/>
    <n v="2023"/>
  </r>
  <r>
    <n v="659"/>
    <s v="GC605"/>
    <s v="GVS Ruby 6 cuộn Mèo (không lõi) x 10 cây"/>
    <s v="Cây"/>
    <n v="290000"/>
    <n v="1"/>
    <n v="10"/>
    <n v="355000"/>
    <n v="65000"/>
    <d v="2023-11-13T00:00:00"/>
    <x v="143"/>
    <n v="11"/>
    <n v="2023"/>
  </r>
  <r>
    <n v="660"/>
    <s v="KV100"/>
    <s v="Khăn Napkin Toply 100 tờ x 48 gói"/>
    <s v="Gói"/>
    <n v="345600"/>
    <n v="4"/>
    <n v="48"/>
    <n v="536000"/>
    <n v="190400"/>
    <d v="2023-11-14T00:00:00"/>
    <x v="4"/>
    <n v="11"/>
    <n v="2023"/>
  </r>
  <r>
    <n v="661"/>
    <s v="KV100"/>
    <s v="Khăn Napkin Toply 100 tờ x 48 gói"/>
    <s v="Gói"/>
    <n v="691200"/>
    <n v="0"/>
    <n v="96"/>
    <n v="1017600"/>
    <n v="326400"/>
    <d v="2023-11-14T00:00:00"/>
    <x v="91"/>
    <n v="11"/>
    <n v="2023"/>
  </r>
  <r>
    <n v="662"/>
    <s v="KV100"/>
    <s v="Khăn Napkin Toply 100 tờ x 48 gói"/>
    <s v="Gói"/>
    <n v="0"/>
    <n v="0"/>
    <n v="0"/>
    <n v="0"/>
    <n v="0"/>
    <d v="2023-11-14T00:00:00"/>
    <x v="144"/>
    <n v="11"/>
    <n v="2023"/>
  </r>
  <r>
    <n v="663"/>
    <s v="HM608"/>
    <s v="Yến sào Seunest CĐ vàng x 6 hộp"/>
    <s v="Hộp"/>
    <n v="600000"/>
    <n v="6"/>
    <n v="6"/>
    <n v="654000"/>
    <n v="54000"/>
    <d v="2023-11-14T00:00:00"/>
    <x v="145"/>
    <n v="11"/>
    <n v="2023"/>
  </r>
  <r>
    <n v="664"/>
    <s v="KV1007"/>
    <s v="Khăn Napkin An An 100 tờ x 40 gói"/>
    <s v="Gói"/>
    <n v="270000"/>
    <n v="0"/>
    <n v="40"/>
    <n v="320000"/>
    <n v="50000"/>
    <d v="2023-11-14T00:00:00"/>
    <x v="145"/>
    <n v="11"/>
    <n v="2023"/>
  </r>
  <r>
    <n v="665"/>
    <s v="KV60"/>
    <s v="Khăn Napkin Ruby hồng 64 gói"/>
    <s v="Gói"/>
    <n v="0"/>
    <n v="0"/>
    <n v="0"/>
    <n v="0"/>
    <n v="0"/>
    <d v="2023-11-15T00:00:00"/>
    <x v="52"/>
    <n v="11"/>
    <n v="2023"/>
  </r>
  <r>
    <n v="666"/>
    <s v="KV1007"/>
    <s v="Khăn Napkin An An 100 tờ x 40 gói"/>
    <s v="Gói"/>
    <n v="0"/>
    <n v="0"/>
    <n v="0"/>
    <n v="0"/>
    <n v="0"/>
    <d v="2023-11-15T00:00:00"/>
    <x v="68"/>
    <n v="11"/>
    <n v="2023"/>
  </r>
  <r>
    <n v="667"/>
    <s v="BCAKIRA"/>
    <s v="BÀN CHẢI ĐÁNH RĂNG ION - AKIRA Hộp"/>
    <s v="Cây"/>
    <n v="672000"/>
    <n v="2"/>
    <n v="12"/>
    <n v="441600"/>
    <n v="-230400"/>
    <d v="2023-11-16T00:00:00"/>
    <x v="59"/>
    <n v="11"/>
    <n v="2023"/>
  </r>
  <r>
    <n v="668"/>
    <s v="BCHARU"/>
    <s v="BÀN CHẢI ĐÁNH RĂNG ION - HARU"/>
    <s v="Cây"/>
    <n v="330000"/>
    <n v="1"/>
    <n v="6"/>
    <n v="217000"/>
    <n v="-113000"/>
    <d v="2023-11-16T00:00:00"/>
    <x v="59"/>
    <n v="11"/>
    <n v="2023"/>
  </r>
  <r>
    <n v="669"/>
    <s v="KTN2004"/>
    <s v="Kẹo Trang Nghiêm ME ỚT 200gr x 50 gói/thùng"/>
    <s v="Gói"/>
    <n v="122000"/>
    <n v="0"/>
    <n v="10"/>
    <n v="140000"/>
    <n v="18000"/>
    <d v="2023-11-17T00:00:00"/>
    <x v="130"/>
    <n v="11"/>
    <n v="2023"/>
  </r>
  <r>
    <n v="670"/>
    <s v="KU250"/>
    <s v="Khăn ướt TE Villa 250g x 30 gói"/>
    <s v="Gói"/>
    <n v="77000"/>
    <n v="0"/>
    <n v="10"/>
    <n v="100000"/>
    <n v="23000"/>
    <d v="2023-11-17T00:00:00"/>
    <x v="130"/>
    <n v="11"/>
    <n v="2023"/>
  </r>
  <r>
    <n v="671"/>
    <s v="KU700"/>
    <s v="Khăn ướt Anpa Nano 700gr x 24 gói"/>
    <s v="Gói"/>
    <n v="504000"/>
    <n v="0"/>
    <n v="24"/>
    <n v="480000"/>
    <n v="-24000"/>
    <d v="2023-11-17T00:00:00"/>
    <x v="125"/>
    <n v="11"/>
    <n v="2023"/>
  </r>
  <r>
    <n v="672"/>
    <s v="KR1001"/>
    <s v="Khăn giấy rút lụa SSS BiBi 2 lớp x 1kg x 10 gói"/>
    <s v="Gói"/>
    <n v="240000"/>
    <n v="1"/>
    <n v="5"/>
    <n v="217000"/>
    <n v="-23000"/>
    <d v="2023-11-18T00:00:00"/>
    <x v="80"/>
    <n v="11"/>
    <n v="2023"/>
  </r>
  <r>
    <n v="673"/>
    <s v="KTN2001"/>
    <s v="Kẹo Trang Nghiêm ME CAM THẢO 200gr x 50 gói/thùng"/>
    <s v="Gói"/>
    <n v="122000"/>
    <n v="0"/>
    <n v="10"/>
    <n v="130000"/>
    <n v="8000"/>
    <d v="2023-11-18T00:00:00"/>
    <x v="80"/>
    <n v="11"/>
    <n v="2023"/>
  </r>
  <r>
    <n v="674"/>
    <s v="TBTE1001"/>
    <s v="Tăm bông thân nhựa TE túi 100 cây x 24 túi"/>
    <s v="Túi"/>
    <n v="126000"/>
    <n v="0"/>
    <n v="24"/>
    <n v="144000"/>
    <n v="18000"/>
    <d v="2023-11-18T00:00:00"/>
    <x v="80"/>
    <n v="11"/>
    <n v="2023"/>
  </r>
  <r>
    <n v="675"/>
    <s v="GC100"/>
    <s v="GVS cuộn trắng rẻ (xá) x 10 cây"/>
    <s v="Bao"/>
    <n v="57000"/>
    <n v="0"/>
    <n v="1"/>
    <n v="70000"/>
    <n v="13000"/>
    <d v="2023-11-18T00:00:00"/>
    <x v="41"/>
    <n v="11"/>
    <n v="2023"/>
  </r>
  <r>
    <n v="676"/>
    <s v="HTBG145"/>
    <s v="Bánh gạo Bin Bin Tuyết Cay 145g x 20 gói"/>
    <s v="Gói"/>
    <n v="31328"/>
    <n v="0"/>
    <n v="1"/>
    <n v="37000"/>
    <n v="5672"/>
    <d v="2023-11-18T00:00:00"/>
    <x v="41"/>
    <n v="11"/>
    <n v="2023"/>
  </r>
  <r>
    <n v="677"/>
    <s v="HTBG1502"/>
    <s v="Bánh gạo Bin Bin Rong Biển 150g x 20 gói"/>
    <s v="Gói"/>
    <n v="27720"/>
    <n v="0"/>
    <n v="1"/>
    <n v="32000"/>
    <n v="4280"/>
    <d v="2023-11-18T00:00:00"/>
    <x v="41"/>
    <n v="11"/>
    <n v="2023"/>
  </r>
  <r>
    <n v="678"/>
    <s v="HTKSB90"/>
    <s v="Kẹo Sữa bò Sakara 90g x 24 gói"/>
    <s v="Gói"/>
    <n v="75328"/>
    <n v="0"/>
    <n v="4"/>
    <n v="90000"/>
    <n v="14672"/>
    <d v="2023-11-18T00:00:00"/>
    <x v="41"/>
    <n v="11"/>
    <n v="2023"/>
  </r>
  <r>
    <n v="679"/>
    <s v="KU801"/>
    <s v="Khăn ướt Baby (đỏ) 80g x 50 gói"/>
    <s v="Gói"/>
    <n v="40000"/>
    <n v="0"/>
    <n v="10"/>
    <n v="60000"/>
    <n v="20000"/>
    <d v="2023-11-18T00:00:00"/>
    <x v="41"/>
    <n v="11"/>
    <n v="2023"/>
  </r>
  <r>
    <n v="680"/>
    <s v="A1K15"/>
    <s v="Kẹo bạc hà (chanh muối) Himalaya 15g x 12 gói x 12 hộp"/>
    <s v="Hộp"/>
    <n v="301890"/>
    <n v="1"/>
    <n v="5"/>
    <n v="275000"/>
    <n v="-26890"/>
    <d v="2023-11-18T00:00:00"/>
    <x v="19"/>
    <n v="11"/>
    <n v="2023"/>
  </r>
  <r>
    <n v="681"/>
    <s v="KU1506"/>
    <s v="Khăn ướt Lovely (khổ lớn) 150g x 30 gói"/>
    <s v="Gói"/>
    <n v="285000"/>
    <n v="0"/>
    <n v="30"/>
    <n v="420000"/>
    <n v="135000"/>
    <d v="2023-11-18T00:00:00"/>
    <x v="19"/>
    <n v="11"/>
    <n v="2023"/>
  </r>
  <r>
    <n v="682"/>
    <s v="KU203"/>
    <s v="Khăn ướt TiOne 20g x 100 gói"/>
    <s v="Gói"/>
    <n v="25000"/>
    <n v="0"/>
    <n v="10"/>
    <n v="40000"/>
    <n v="15000"/>
    <d v="2023-11-18T00:00:00"/>
    <x v="19"/>
    <n v="11"/>
    <n v="2023"/>
  </r>
  <r>
    <n v="683"/>
    <s v="TB20001"/>
    <s v="Tăm bông thân gỗ hộp 200 cây x 12 hộp"/>
    <s v="Hộp"/>
    <n v="299250"/>
    <n v="3"/>
    <n v="18"/>
    <n v="370300"/>
    <n v="71050"/>
    <d v="2023-11-18T00:00:00"/>
    <x v="19"/>
    <n v="11"/>
    <n v="2023"/>
  </r>
  <r>
    <n v="684"/>
    <s v="TBTE1001"/>
    <s v="Tăm bông thân nhựa TE túi 100 cây x 24 túi"/>
    <s v="Túi"/>
    <n v="378000"/>
    <n v="12"/>
    <n v="72"/>
    <n v="432000"/>
    <n v="54000"/>
    <d v="2023-11-18T00:00:00"/>
    <x v="19"/>
    <n v="11"/>
    <n v="2023"/>
  </r>
  <r>
    <n v="685"/>
    <s v="TBTE20002"/>
    <s v="Tăm bông thân nhựa TE hộp tròn 200 cây x 12 hộp"/>
    <s v="Hộp"/>
    <n v="178500"/>
    <n v="2"/>
    <n v="12"/>
    <n v="185200"/>
    <n v="6700"/>
    <d v="2023-11-18T00:00:00"/>
    <x v="19"/>
    <n v="11"/>
    <n v="2023"/>
  </r>
  <r>
    <n v="686"/>
    <s v="TBTE20003"/>
    <s v="Tăm bông thân giấy TE hộp chữ nhật 200 cây x 12 hộp"/>
    <s v="Hộp"/>
    <n v="346500"/>
    <n v="3"/>
    <n v="18"/>
    <n v="370300"/>
    <n v="23800"/>
    <d v="2023-11-18T00:00:00"/>
    <x v="19"/>
    <n v="11"/>
    <n v="2023"/>
  </r>
  <r>
    <n v="687"/>
    <s v="GC106"/>
    <s v="GVS Ruby (HQ) 10 cuộn x 8kg"/>
    <s v="Cây"/>
    <n v="180000"/>
    <n v="0"/>
    <n v="10"/>
    <n v="220000"/>
    <n v="40000"/>
    <d v="2023-11-18T00:00:00"/>
    <x v="42"/>
    <n v="11"/>
    <n v="2023"/>
  </r>
  <r>
    <n v="688"/>
    <s v="HMK1"/>
    <s v="Yến sào Finenest kids xanh 1 lọ x 60 hộp"/>
    <s v="Hộp"/>
    <n v="384000"/>
    <n v="8"/>
    <n v="24"/>
    <n v="630000"/>
    <n v="246000"/>
    <d v="2023-11-18T00:00:00"/>
    <x v="62"/>
    <n v="11"/>
    <n v="2023"/>
  </r>
  <r>
    <n v="689"/>
    <s v="HTBTE50"/>
    <s v="Bánh gạo TE Happy Bites Việt Quất 50g x 12 hộp"/>
    <s v="Hộp"/>
    <n v="181200"/>
    <n v="1"/>
    <n v="4"/>
    <n v="156000"/>
    <n v="-25200"/>
    <d v="2023-11-18T00:00:00"/>
    <x v="63"/>
    <n v="11"/>
    <n v="2023"/>
  </r>
  <r>
    <n v="690"/>
    <s v="HTBTE501"/>
    <s v="Bánh gạo TE Happy Bites Táo 50g x 12 hộp"/>
    <s v="Hộp"/>
    <n v="181200"/>
    <n v="0"/>
    <n v="4"/>
    <n v="200000"/>
    <n v="18800"/>
    <d v="2023-11-18T00:00:00"/>
    <x v="63"/>
    <n v="11"/>
    <n v="2023"/>
  </r>
  <r>
    <n v="691"/>
    <s v="HTBTE502"/>
    <s v="Bánh gạo TE Happy Bites Chuối 50g x 12 hộp"/>
    <s v="Hộp"/>
    <n v="181200"/>
    <n v="0"/>
    <n v="4"/>
    <n v="200000"/>
    <n v="18800"/>
    <d v="2023-11-18T00:00:00"/>
    <x v="63"/>
    <n v="11"/>
    <n v="2023"/>
  </r>
  <r>
    <n v="692"/>
    <s v="KV100"/>
    <s v="Khăn Napkin Toply 100 tờ x 48 gói"/>
    <s v="Gói"/>
    <n v="345600"/>
    <n v="4"/>
    <n v="48"/>
    <n v="536000"/>
    <n v="190400"/>
    <d v="2023-11-18T00:00:00"/>
    <x v="48"/>
    <n v="11"/>
    <n v="2023"/>
  </r>
  <r>
    <n v="693"/>
    <s v="HM601"/>
    <s v="HIMA DAILY (new) 6 lọ x 6 hộp"/>
    <s v="Hộp"/>
    <n v="1152000"/>
    <n v="0"/>
    <n v="6"/>
    <n v="1440000"/>
    <n v="288000"/>
    <d v="2023-11-18T00:00:00"/>
    <x v="123"/>
    <n v="11"/>
    <n v="2023"/>
  </r>
  <r>
    <n v="694"/>
    <s v="KMQCL"/>
    <s v="Quạt SENKO 1638 chân lỡ"/>
    <s v="Cây"/>
    <n v="0"/>
    <n v="1"/>
    <n v="0"/>
    <n v="-281000"/>
    <n v="-281000"/>
    <d v="2023-11-18T00:00:00"/>
    <x v="123"/>
    <n v="11"/>
    <n v="2023"/>
  </r>
  <r>
    <n v="695"/>
    <s v="KTN2001"/>
    <s v="Kẹo Trang Nghiêm ME CAM THẢO 200gr x 50 gói/thùng"/>
    <s v="Gói"/>
    <n v="122000"/>
    <n v="0"/>
    <n v="10"/>
    <n v="125000"/>
    <n v="3000"/>
    <d v="2023-11-18T00:00:00"/>
    <x v="123"/>
    <n v="11"/>
    <n v="2023"/>
  </r>
  <r>
    <n v="696"/>
    <s v="KTN2002"/>
    <s v="Kẹo Trang Nghiêm DÂU TÂY 200gr x 50 gói/thùng"/>
    <s v="Gói"/>
    <n v="122000"/>
    <n v="0"/>
    <n v="10"/>
    <n v="125000"/>
    <n v="3000"/>
    <d v="2023-11-18T00:00:00"/>
    <x v="123"/>
    <n v="11"/>
    <n v="2023"/>
  </r>
  <r>
    <n v="697"/>
    <s v="KTN2003"/>
    <s v="Kẹo Trang Nghiêm DÂU TẰM 200gr x 50 gói/thùng"/>
    <s v="Gói"/>
    <n v="122000"/>
    <n v="0"/>
    <n v="10"/>
    <n v="125000"/>
    <n v="3000"/>
    <d v="2023-11-18T00:00:00"/>
    <x v="123"/>
    <n v="11"/>
    <n v="2023"/>
  </r>
  <r>
    <n v="698"/>
    <s v="KTN2004"/>
    <s v="Kẹo Trang Nghiêm ME ỚT 200gr x 50 gói/thùng"/>
    <s v="Gói"/>
    <n v="122000"/>
    <n v="0"/>
    <n v="10"/>
    <n v="125000"/>
    <n v="3000"/>
    <d v="2023-11-18T00:00:00"/>
    <x v="123"/>
    <n v="11"/>
    <n v="2023"/>
  </r>
  <r>
    <n v="699"/>
    <s v="KR1001"/>
    <s v="Khăn giấy rút lụa SSS BiBi 2 lớp x 1kg x 10 gói"/>
    <s v="Gói"/>
    <n v="480000"/>
    <n v="2"/>
    <n v="10"/>
    <n v="434000"/>
    <n v="-46000"/>
    <d v="2023-11-18T00:00:00"/>
    <x v="86"/>
    <n v="11"/>
    <n v="2023"/>
  </r>
  <r>
    <n v="700"/>
    <s v="GC605"/>
    <s v="GVS Ruby 6 cuộn Mèo (không lõi) x 10 cây"/>
    <s v="Cây"/>
    <n v="290000"/>
    <n v="1"/>
    <n v="10"/>
    <n v="355000"/>
    <n v="65000"/>
    <d v="2023-11-18T00:00:00"/>
    <x v="3"/>
    <n v="11"/>
    <n v="2023"/>
  </r>
  <r>
    <n v="701"/>
    <s v="KV1001"/>
    <s v="Khăn Napkin Ruby Gold 100 tờ x 30 gói"/>
    <s v="Gói"/>
    <n v="1125000"/>
    <n v="30"/>
    <n v="150"/>
    <n v="1350000"/>
    <n v="225000"/>
    <d v="2023-11-18T00:00:00"/>
    <x v="3"/>
    <n v="11"/>
    <n v="2023"/>
  </r>
  <r>
    <n v="702"/>
    <s v="GC605"/>
    <s v="GVS Ruby 6 cuộn Mèo (không lõi) x 10 cây"/>
    <s v="Cây"/>
    <n v="290000"/>
    <n v="1"/>
    <n v="10"/>
    <n v="355000"/>
    <n v="65000"/>
    <d v="2023-11-18T00:00:00"/>
    <x v="21"/>
    <n v="11"/>
    <n v="2023"/>
  </r>
  <r>
    <n v="703"/>
    <s v="KT50-4"/>
    <s v="Khẩu trang y tế 4 lớp MEDICAL MASK 50 x 50 hộp"/>
    <s v="Hộp"/>
    <n v="160000"/>
    <n v="0"/>
    <n v="10"/>
    <n v="180000"/>
    <n v="20000"/>
    <d v="2023-11-18T00:00:00"/>
    <x v="21"/>
    <n v="11"/>
    <n v="2023"/>
  </r>
  <r>
    <n v="704"/>
    <s v="KU1505"/>
    <s v="Khăn ướt TE TiOne 150g x 30 gói"/>
    <s v="Gói"/>
    <n v="100000"/>
    <n v="2"/>
    <n v="10"/>
    <n v="150000"/>
    <n v="50000"/>
    <d v="2023-11-18T00:00:00"/>
    <x v="53"/>
    <n v="11"/>
    <n v="2023"/>
  </r>
  <r>
    <n v="705"/>
    <s v="KV100"/>
    <s v="Khăn Napkin Toply 100 tờ x 48 gói"/>
    <s v="Gói"/>
    <n v="0"/>
    <n v="0"/>
    <n v="0"/>
    <n v="0"/>
    <n v="0"/>
    <d v="2023-11-18T00:00:00"/>
    <x v="10"/>
    <n v="11"/>
    <n v="2023"/>
  </r>
  <r>
    <n v="706"/>
    <s v="TBTE20003"/>
    <s v="Tăm bông thân giấy TE hộp chữ nhật 200 cây x 12 hộp"/>
    <s v="Hộp"/>
    <n v="231000"/>
    <n v="2"/>
    <n v="12"/>
    <n v="288000"/>
    <n v="57000"/>
    <d v="2023-11-18T00:00:00"/>
    <x v="10"/>
    <n v="11"/>
    <n v="2023"/>
  </r>
  <r>
    <n v="707"/>
    <s v="KU100"/>
    <s v="Khăn ướt Begin 100 tờ x 20 gói"/>
    <s v="Gói"/>
    <n v="102000"/>
    <n v="0"/>
    <n v="6"/>
    <n v="144000"/>
    <n v="42000"/>
    <d v="2023-11-18T00:00:00"/>
    <x v="23"/>
    <n v="11"/>
    <n v="2023"/>
  </r>
  <r>
    <n v="708"/>
    <s v="BCN198"/>
    <s v="BC KAKA NANO N198 x 20 x 15 hộp"/>
    <s v="Cây"/>
    <n v="135000"/>
    <n v="0"/>
    <n v="30"/>
    <n v="300000"/>
    <n v="165000"/>
    <d v="2023-11-18T00:00:00"/>
    <x v="54"/>
    <n v="11"/>
    <n v="2023"/>
  </r>
  <r>
    <n v="709"/>
    <s v="GC100"/>
    <s v="GVS cuộn trắng rẻ (xá) x 10 cây"/>
    <s v="Bao"/>
    <n v="57000"/>
    <n v="0"/>
    <n v="1"/>
    <n v="75000"/>
    <n v="18000"/>
    <d v="2023-11-18T00:00:00"/>
    <x v="54"/>
    <n v="11"/>
    <n v="2023"/>
  </r>
  <r>
    <n v="710"/>
    <s v="GC606"/>
    <s v="GVS TiOne Gấu 6 cuộn x 12 cây"/>
    <s v="Cây"/>
    <n v="155004"/>
    <n v="0"/>
    <n v="6"/>
    <n v="222000"/>
    <n v="66996"/>
    <d v="2023-11-18T00:00:00"/>
    <x v="54"/>
    <n v="11"/>
    <n v="2023"/>
  </r>
  <r>
    <n v="711"/>
    <s v="GC617"/>
    <s v="GVS TiOne hồng 6 cuộn x 12 cây"/>
    <s v="Cây"/>
    <n v="0"/>
    <n v="1"/>
    <n v="0"/>
    <n v="-31000"/>
    <n v="-31000"/>
    <d v="2023-11-18T00:00:00"/>
    <x v="54"/>
    <n v="11"/>
    <n v="2023"/>
  </r>
  <r>
    <n v="712"/>
    <s v="KKDN300"/>
    <s v="Khăn khô đa năng 300gr x 30 gói"/>
    <s v="Gói"/>
    <n v="1069200"/>
    <n v="3"/>
    <n v="27"/>
    <n v="1069200"/>
    <n v="0"/>
    <d v="2023-11-18T00:00:00"/>
    <x v="146"/>
    <n v="11"/>
    <n v="2023"/>
  </r>
  <r>
    <n v="713"/>
    <s v="GC100"/>
    <s v="GVS cuộn trắng rẻ (xá) x 10 cây"/>
    <s v="Bao"/>
    <n v="114000"/>
    <n v="0"/>
    <n v="2"/>
    <n v="140000"/>
    <n v="26000"/>
    <d v="2023-11-18T00:00:00"/>
    <x v="58"/>
    <n v="11"/>
    <n v="2023"/>
  </r>
  <r>
    <n v="714"/>
    <s v="HTBG145"/>
    <s v="Bánh gạo Bin Bin Tuyết Cay 145g x 20 gói"/>
    <s v="Gói"/>
    <n v="156640"/>
    <n v="0"/>
    <n v="5"/>
    <n v="175000"/>
    <n v="18360"/>
    <d v="2023-11-18T00:00:00"/>
    <x v="58"/>
    <n v="11"/>
    <n v="2023"/>
  </r>
  <r>
    <n v="715"/>
    <s v="HTBG1502"/>
    <s v="Bánh gạo Bin Bin Rong Biển 150g x 20 gói"/>
    <s v="Gói"/>
    <n v="138600"/>
    <n v="0"/>
    <n v="5"/>
    <n v="160000"/>
    <n v="21400"/>
    <d v="2023-11-18T00:00:00"/>
    <x v="58"/>
    <n v="11"/>
    <n v="2023"/>
  </r>
  <r>
    <n v="716"/>
    <s v="NSSK555"/>
    <s v="Saka 555ml x 24 chai"/>
    <s v="Thùng"/>
    <n v="156000"/>
    <n v="0"/>
    <n v="2"/>
    <n v="156000"/>
    <n v="0"/>
    <d v="2023-11-18T00:00:00"/>
    <x v="58"/>
    <n v="11"/>
    <n v="2023"/>
  </r>
  <r>
    <n v="717"/>
    <s v="KR1001"/>
    <s v="Khăn giấy rút lụa SSS BiBi 2 lớp x 1kg x 10 gói"/>
    <s v="Gói"/>
    <n v="960000"/>
    <n v="2"/>
    <n v="20"/>
    <n v="954000"/>
    <n v="-6000"/>
    <d v="2023-11-18T00:00:00"/>
    <x v="147"/>
    <n v="11"/>
    <n v="2023"/>
  </r>
  <r>
    <n v="718"/>
    <s v="TT01"/>
    <s v="Thanh toán lần 1"/>
    <s v="VNĐ"/>
    <n v="0"/>
    <n v="0"/>
    <n v="0"/>
    <n v="-940000"/>
    <n v="-940000"/>
    <d v="2023-11-18T00:00:00"/>
    <x v="147"/>
    <n v="11"/>
    <n v="2023"/>
  </r>
  <r>
    <n v="719"/>
    <s v="HM608"/>
    <s v="Yến sào Seunest CĐ vàng x 6 hộp"/>
    <s v="Hộp"/>
    <n v="600000"/>
    <n v="6"/>
    <n v="6"/>
    <n v="654000"/>
    <n v="54000"/>
    <d v="2023-11-20T00:00:00"/>
    <x v="75"/>
    <n v="11"/>
    <n v="2023"/>
  </r>
  <r>
    <n v="720"/>
    <s v="HM607"/>
    <s v="Yến sào Seunest KĐ xanh x 6 hộp"/>
    <s v="Hộp"/>
    <n v="0"/>
    <n v="12"/>
    <n v="0"/>
    <n v="-1308000"/>
    <n v="-1308000"/>
    <d v="2023-11-20T00:00:00"/>
    <x v="148"/>
    <n v="11"/>
    <n v="2023"/>
  </r>
  <r>
    <n v="721"/>
    <s v="HM608"/>
    <s v="Yến sào Seunest CĐ vàng x 6 hộp"/>
    <s v="Hộp"/>
    <n v="1200000"/>
    <n v="0"/>
    <n v="12"/>
    <n v="2616000"/>
    <n v="1416000"/>
    <d v="2023-11-20T00:00:00"/>
    <x v="148"/>
    <n v="11"/>
    <n v="2023"/>
  </r>
  <r>
    <n v="722"/>
    <s v="HM610"/>
    <s v="Yến sào Finenest CĐ đỏ x 6 hộp"/>
    <s v="Hộp"/>
    <n v="600000"/>
    <n v="6"/>
    <n v="6"/>
    <n v="654000"/>
    <n v="54000"/>
    <d v="2023-11-20T00:00:00"/>
    <x v="148"/>
    <n v="11"/>
    <n v="2023"/>
  </r>
  <r>
    <n v="723"/>
    <s v="KV60"/>
    <s v="Khăn Napkin Ruby hồng 64 gói"/>
    <s v="Gói"/>
    <n v="0"/>
    <n v="0"/>
    <n v="0"/>
    <n v="0"/>
    <n v="0"/>
    <d v="2023-11-20T00:00:00"/>
    <x v="52"/>
    <n v="11"/>
    <n v="2023"/>
  </r>
  <r>
    <n v="724"/>
    <s v="HM608"/>
    <s v="Yến sào Seunest CĐ vàng x 6 hộp"/>
    <s v="Hộp"/>
    <n v="600000"/>
    <n v="0"/>
    <n v="6"/>
    <n v="1308000"/>
    <n v="708000"/>
    <d v="2023-11-20T00:00:00"/>
    <x v="149"/>
    <n v="11"/>
    <n v="2023"/>
  </r>
  <r>
    <n v="725"/>
    <s v="HM610"/>
    <s v="Yến sào Finenest CĐ đỏ x 6 hộp"/>
    <s v="Hộp"/>
    <n v="0"/>
    <n v="6"/>
    <n v="0"/>
    <n v="-654000"/>
    <n v="-654000"/>
    <d v="2023-11-20T00:00:00"/>
    <x v="149"/>
    <n v="11"/>
    <n v="2023"/>
  </r>
  <r>
    <n v="726"/>
    <s v="HTBSN903"/>
    <s v="Snack bắp Otori vị Rong Biển 90g x 12"/>
    <s v="Lon"/>
    <n v="332640"/>
    <n v="0"/>
    <n v="12"/>
    <n v="384000"/>
    <n v="51360"/>
    <d v="2023-11-20T00:00:00"/>
    <x v="149"/>
    <n v="11"/>
    <n v="2023"/>
  </r>
  <r>
    <n v="727"/>
    <s v="KV100"/>
    <s v="Khăn Napkin Toply 100 tờ x 48 gói"/>
    <s v="Gói"/>
    <n v="345600"/>
    <n v="4"/>
    <n v="48"/>
    <n v="536000"/>
    <n v="190400"/>
    <d v="2023-11-20T00:00:00"/>
    <x v="10"/>
    <n v="11"/>
    <n v="2023"/>
  </r>
  <r>
    <n v="728"/>
    <s v="HM110"/>
    <s v="Yến sào Finenest Saffron (hoa nghệ tây) x 10 hộp"/>
    <s v="Hộp"/>
    <n v="0"/>
    <n v="3"/>
    <n v="0"/>
    <n v="-327000"/>
    <n v="-327000"/>
    <d v="2023-11-20T00:00:00"/>
    <x v="150"/>
    <n v="11"/>
    <n v="2023"/>
  </r>
  <r>
    <n v="729"/>
    <s v="HM607"/>
    <s v="Yến sào Seunest KĐ xanh x 6 hộp"/>
    <s v="Hộp"/>
    <n v="100000"/>
    <n v="0"/>
    <n v="1"/>
    <n v="218000"/>
    <n v="118000"/>
    <d v="2023-11-20T00:00:00"/>
    <x v="150"/>
    <n v="11"/>
    <n v="2023"/>
  </r>
  <r>
    <n v="730"/>
    <s v="HM608"/>
    <s v="Yến sào Seunest CĐ vàng x 6 hộp"/>
    <s v="Hộp"/>
    <n v="100000"/>
    <n v="0"/>
    <n v="1"/>
    <n v="218000"/>
    <n v="118000"/>
    <d v="2023-11-20T00:00:00"/>
    <x v="150"/>
    <n v="11"/>
    <n v="2023"/>
  </r>
  <r>
    <n v="731"/>
    <s v="HM610"/>
    <s v="Yến sào Finenest CĐ đỏ x 6 hộp"/>
    <s v="Hộp"/>
    <n v="100000"/>
    <n v="0"/>
    <n v="1"/>
    <n v="218000"/>
    <n v="118000"/>
    <d v="2023-11-20T00:00:00"/>
    <x v="150"/>
    <n v="11"/>
    <n v="2023"/>
  </r>
  <r>
    <n v="732"/>
    <s v="HM608"/>
    <s v="Yến sào Seunest CĐ vàng x 6 hộp"/>
    <s v="Hộp"/>
    <n v="900000"/>
    <n v="3"/>
    <n v="9"/>
    <n v="1635000"/>
    <n v="735000"/>
    <d v="2023-11-20T00:00:00"/>
    <x v="151"/>
    <n v="11"/>
    <n v="2023"/>
  </r>
  <r>
    <n v="733"/>
    <s v="HM610"/>
    <s v="Yến sào Finenest CĐ đỏ x 6 hộp"/>
    <s v="Hộp"/>
    <n v="0"/>
    <n v="6"/>
    <n v="0"/>
    <n v="-654000"/>
    <n v="-654000"/>
    <d v="2023-11-20T00:00:00"/>
    <x v="151"/>
    <n v="11"/>
    <n v="2023"/>
  </r>
  <r>
    <n v="734"/>
    <s v="HTBSN80"/>
    <s v="Snack bắp Otori vị Phô Mai 80g x 12"/>
    <s v="Lon"/>
    <n v="55440"/>
    <n v="0"/>
    <n v="2"/>
    <n v="60000"/>
    <n v="4560"/>
    <d v="2023-11-20T00:00:00"/>
    <x v="152"/>
    <n v="11"/>
    <n v="2023"/>
  </r>
  <r>
    <n v="735"/>
    <s v="HTBSN90"/>
    <s v="Snack bắp Otori vị Gà cay 90g x 12"/>
    <s v="Lon"/>
    <n v="55440"/>
    <n v="0"/>
    <n v="2"/>
    <n v="60000"/>
    <n v="4560"/>
    <d v="2023-11-20T00:00:00"/>
    <x v="152"/>
    <n v="11"/>
    <n v="2023"/>
  </r>
  <r>
    <n v="736"/>
    <s v="HTBSN901"/>
    <s v="Snack bắp Otori vị Mực nướng 90g x 12"/>
    <s v="Lon"/>
    <n v="55440"/>
    <n v="0"/>
    <n v="2"/>
    <n v="60000"/>
    <n v="4560"/>
    <d v="2023-11-20T00:00:00"/>
    <x v="152"/>
    <n v="11"/>
    <n v="2023"/>
  </r>
  <r>
    <n v="737"/>
    <s v="HTBSN902"/>
    <s v="Snack bắp Otori vị Tomyum Kung 90g x 12"/>
    <s v="Lon"/>
    <n v="55440"/>
    <n v="0"/>
    <n v="2"/>
    <n v="60000"/>
    <n v="4560"/>
    <d v="2023-11-20T00:00:00"/>
    <x v="152"/>
    <n v="11"/>
    <n v="2023"/>
  </r>
  <r>
    <n v="738"/>
    <s v="HTBSN903"/>
    <s v="Snack bắp Otori vị Rong Biển 90g x 12"/>
    <s v="Lon"/>
    <n v="55440"/>
    <n v="0"/>
    <n v="2"/>
    <n v="60000"/>
    <n v="4560"/>
    <d v="2023-11-20T00:00:00"/>
    <x v="152"/>
    <n v="11"/>
    <n v="2023"/>
  </r>
  <r>
    <n v="739"/>
    <s v="HTBSN904"/>
    <s v="Snack bắp Otori vị Dừa 80g x 12"/>
    <s v="Lon"/>
    <n v="55440"/>
    <n v="0"/>
    <n v="2"/>
    <n v="60000"/>
    <n v="4560"/>
    <d v="2023-11-20T00:00:00"/>
    <x v="152"/>
    <n v="11"/>
    <n v="2023"/>
  </r>
  <r>
    <n v="740"/>
    <s v="HTBSN80"/>
    <s v="Snack bắp Otori vị Phô Mai 80g x 12"/>
    <s v="Lon"/>
    <n v="55440"/>
    <n v="0"/>
    <n v="2"/>
    <n v="64000"/>
    <n v="8560"/>
    <d v="2023-11-20T00:00:00"/>
    <x v="116"/>
    <n v="11"/>
    <n v="2023"/>
  </r>
  <r>
    <n v="741"/>
    <s v="HTBSN90"/>
    <s v="Snack bắp Otori vị Gà cay 90g x 12"/>
    <s v="Lon"/>
    <n v="55440"/>
    <n v="0"/>
    <n v="2"/>
    <n v="64000"/>
    <n v="8560"/>
    <d v="2023-11-20T00:00:00"/>
    <x v="116"/>
    <n v="11"/>
    <n v="2023"/>
  </r>
  <r>
    <n v="742"/>
    <s v="HTBSN901"/>
    <s v="Snack bắp Otori vị Mực nướng 90g x 12"/>
    <s v="Lon"/>
    <n v="55440"/>
    <n v="0"/>
    <n v="2"/>
    <n v="64000"/>
    <n v="8560"/>
    <d v="2023-11-20T00:00:00"/>
    <x v="116"/>
    <n v="11"/>
    <n v="2023"/>
  </r>
  <r>
    <n v="743"/>
    <s v="HTBSN902"/>
    <s v="Snack bắp Otori vị Tomyum Kung 90g x 12"/>
    <s v="Lon"/>
    <n v="55440"/>
    <n v="0"/>
    <n v="2"/>
    <n v="64000"/>
    <n v="8560"/>
    <d v="2023-11-20T00:00:00"/>
    <x v="116"/>
    <n v="11"/>
    <n v="2023"/>
  </r>
  <r>
    <n v="744"/>
    <s v="HTBSN903"/>
    <s v="Snack bắp Otori vị Rong Biển 90g x 12"/>
    <s v="Lon"/>
    <n v="55440"/>
    <n v="0"/>
    <n v="2"/>
    <n v="64000"/>
    <n v="8560"/>
    <d v="2023-11-20T00:00:00"/>
    <x v="116"/>
    <n v="11"/>
    <n v="2023"/>
  </r>
  <r>
    <n v="745"/>
    <s v="HM8"/>
    <s v="Khánh Hòa SmileNest Vàng ( CĐ) 6 lọ x 8 hộp"/>
    <s v="Hộp"/>
    <n v="392000"/>
    <n v="0"/>
    <n v="4"/>
    <n v="960000"/>
    <n v="568000"/>
    <d v="2023-11-22T00:00:00"/>
    <x v="129"/>
    <n v="11"/>
    <n v="2023"/>
  </r>
  <r>
    <n v="746"/>
    <s v="HM801"/>
    <s v="Khánh Hòa SmileNest Đỏ ( Canxi) 6 lọ x 8 hộp"/>
    <s v="Hộp"/>
    <n v="392000"/>
    <n v="0"/>
    <n v="4"/>
    <n v="960000"/>
    <n v="568000"/>
    <d v="2023-11-22T00:00:00"/>
    <x v="129"/>
    <n v="11"/>
    <n v="2023"/>
  </r>
  <r>
    <n v="747"/>
    <s v="HMK1"/>
    <s v="Yến sào Finenest kids xanh 1 lọ x 60 hộp"/>
    <s v="Hộp"/>
    <n v="80000"/>
    <n v="3"/>
    <n v="5"/>
    <n v="111000"/>
    <n v="31000"/>
    <d v="2023-11-22T00:00:00"/>
    <x v="134"/>
    <n v="11"/>
    <n v="2023"/>
  </r>
  <r>
    <n v="748"/>
    <s v="HMK102"/>
    <s v="Yến sào Nicenest Kids đỏ 1 lọ x 60 hộp"/>
    <s v="Hộp"/>
    <n v="80000"/>
    <n v="2"/>
    <n v="5"/>
    <n v="137000"/>
    <n v="57000"/>
    <d v="2023-11-22T00:00:00"/>
    <x v="134"/>
    <n v="11"/>
    <n v="2023"/>
  </r>
  <r>
    <n v="749"/>
    <s v="HM8"/>
    <s v="Khánh Hòa SmileNest Vàng ( CĐ) 6 lọ x 8 hộp"/>
    <s v="Hộp"/>
    <n v="392000"/>
    <n v="0"/>
    <n v="4"/>
    <n v="960000"/>
    <n v="568000"/>
    <d v="2023-11-22T00:00:00"/>
    <x v="77"/>
    <n v="11"/>
    <n v="2023"/>
  </r>
  <r>
    <n v="750"/>
    <s v="HM801"/>
    <s v="Khánh Hòa SmileNest Đỏ ( Canxi) 6 lọ x 8 hộp"/>
    <s v="Hộp"/>
    <n v="392000"/>
    <n v="0"/>
    <n v="4"/>
    <n v="960000"/>
    <n v="568000"/>
    <d v="2023-11-22T00:00:00"/>
    <x v="77"/>
    <n v="11"/>
    <n v="2023"/>
  </r>
  <r>
    <n v="751"/>
    <s v="KTN2002"/>
    <s v="Kẹo Trang Nghiêm DÂU TÂY 200gr x 50 gói/thùng"/>
    <s v="Gói"/>
    <n v="61000"/>
    <n v="0"/>
    <n v="5"/>
    <n v="70000"/>
    <n v="9000"/>
    <d v="2023-11-22T00:00:00"/>
    <x v="77"/>
    <n v="11"/>
    <n v="2023"/>
  </r>
  <r>
    <n v="752"/>
    <s v="KTN2003"/>
    <s v="Kẹo Trang Nghiêm DÂU TẰM 200gr x 50 gói/thùng"/>
    <s v="Gói"/>
    <n v="61000"/>
    <n v="0"/>
    <n v="5"/>
    <n v="70000"/>
    <n v="9000"/>
    <d v="2023-11-22T00:00:00"/>
    <x v="77"/>
    <n v="11"/>
    <n v="2023"/>
  </r>
  <r>
    <n v="753"/>
    <s v="GC603"/>
    <s v="GVS Ruby Gold 6 cuộn (không lõi) x 12 cây"/>
    <s v="Cây"/>
    <n v="300000"/>
    <n v="1"/>
    <n v="12"/>
    <n v="410000"/>
    <n v="110000"/>
    <d v="2023-11-22T00:00:00"/>
    <x v="12"/>
    <n v="11"/>
    <n v="2023"/>
  </r>
  <r>
    <n v="754"/>
    <s v="KR1500"/>
    <s v="Khăn rút TiOne treo tường 1500 tờ x 15 gói"/>
    <s v="Gói"/>
    <n v="285000"/>
    <n v="0"/>
    <n v="15"/>
    <n v="375000"/>
    <n v="90000"/>
    <d v="2023-11-22T00:00:00"/>
    <x v="12"/>
    <n v="11"/>
    <n v="2023"/>
  </r>
  <r>
    <n v="755"/>
    <s v="HM608"/>
    <s v="Yến sào Seunest CĐ vàng x 6 hộp"/>
    <s v="Hộp"/>
    <n v="600000"/>
    <n v="0"/>
    <n v="6"/>
    <n v="1308000"/>
    <n v="708000"/>
    <d v="2023-11-22T00:00:00"/>
    <x v="153"/>
    <n v="11"/>
    <n v="2023"/>
  </r>
  <r>
    <n v="756"/>
    <s v="HM610"/>
    <s v="Yến sào Finenest CĐ đỏ x 6 hộp"/>
    <s v="Hộp"/>
    <n v="0"/>
    <n v="6"/>
    <n v="0"/>
    <n v="-654000"/>
    <n v="-654000"/>
    <d v="2023-11-22T00:00:00"/>
    <x v="153"/>
    <n v="11"/>
    <n v="2023"/>
  </r>
  <r>
    <n v="757"/>
    <s v="KU250"/>
    <s v="Khăn ướt TE Villa 250g x 30 gói"/>
    <s v="Gói"/>
    <n v="1155000"/>
    <n v="0"/>
    <n v="150"/>
    <n v="1350000"/>
    <n v="195000"/>
    <d v="2023-11-22T00:00:00"/>
    <x v="153"/>
    <n v="11"/>
    <n v="2023"/>
  </r>
  <r>
    <n v="758"/>
    <s v="GC603"/>
    <s v="GVS Ruby Gold 6 cuộn (không lõi) x 12 cây"/>
    <s v="Cây"/>
    <n v="300000"/>
    <n v="0"/>
    <n v="12"/>
    <n v="408000"/>
    <n v="108000"/>
    <d v="2023-11-23T00:00:00"/>
    <x v="59"/>
    <n v="11"/>
    <n v="2023"/>
  </r>
  <r>
    <n v="759"/>
    <s v="KV1001"/>
    <s v="Khăn Napkin Ruby Gold 100 tờ x 30 gói"/>
    <s v="Gói"/>
    <n v="450000"/>
    <n v="0"/>
    <n v="60"/>
    <n v="540000"/>
    <n v="90000"/>
    <d v="2023-11-23T00:00:00"/>
    <x v="59"/>
    <n v="11"/>
    <n v="2023"/>
  </r>
  <r>
    <n v="760"/>
    <s v="BG5200"/>
    <s v="Bột giặt Lady 107 -  5,2kg x 3 gói/thùng"/>
    <s v="Gói"/>
    <n v="1411920"/>
    <n v="0"/>
    <n v="12"/>
    <n v="1908000"/>
    <n v="496080"/>
    <d v="2023-11-24T00:00:00"/>
    <x v="83"/>
    <n v="11"/>
    <n v="2023"/>
  </r>
  <r>
    <n v="761"/>
    <s v="TNS1"/>
    <s v="Tẩy toilet Nam Sơn NK 100% 1L x 12 chai"/>
    <s v="Chai"/>
    <n v="0"/>
    <n v="12"/>
    <n v="0"/>
    <n v="-318000"/>
    <n v="-318000"/>
    <d v="2023-11-24T00:00:00"/>
    <x v="83"/>
    <n v="11"/>
    <n v="2023"/>
  </r>
  <r>
    <n v="762"/>
    <s v="TT01"/>
    <s v="Thanh toán lần 1"/>
    <s v="VNĐ"/>
    <n v="0"/>
    <n v="0"/>
    <n v="0"/>
    <n v="-908000"/>
    <n v="-908000"/>
    <d v="2023-11-24T00:00:00"/>
    <x v="83"/>
    <n v="11"/>
    <n v="2023"/>
  </r>
  <r>
    <n v="763"/>
    <s v="KV100"/>
    <s v="Khăn Napkin Toply 100 tờ x 48 gói"/>
    <s v="Gói"/>
    <n v="172800"/>
    <n v="2"/>
    <n v="24"/>
    <n v="268000"/>
    <n v="95200"/>
    <d v="2023-11-24T00:00:00"/>
    <x v="130"/>
    <n v="11"/>
    <n v="2023"/>
  </r>
  <r>
    <n v="764"/>
    <s v="GC617"/>
    <s v="GVS TiOne hồng 6 cuộn x 12 cây"/>
    <s v="Cây"/>
    <n v="265716"/>
    <n v="0"/>
    <n v="12"/>
    <n v="360000"/>
    <n v="94284"/>
    <d v="2023-11-24T00:00:00"/>
    <x v="2"/>
    <n v="11"/>
    <n v="2023"/>
  </r>
  <r>
    <n v="765"/>
    <s v="KV1002"/>
    <s v="Khăn Napkin TiOne nâu 100 tờ x 30 gói"/>
    <s v="Gói"/>
    <n v="648000"/>
    <n v="0"/>
    <n v="90"/>
    <n v="846000"/>
    <n v="198000"/>
    <d v="2023-11-24T00:00:00"/>
    <x v="2"/>
    <n v="11"/>
    <n v="2023"/>
  </r>
  <r>
    <n v="766"/>
    <s v="HM608"/>
    <s v="Yến sào Seunest CĐ vàng x 6 hộp"/>
    <s v="Hộp"/>
    <n v="0"/>
    <n v="0"/>
    <n v="0"/>
    <n v="0"/>
    <n v="0"/>
    <d v="2023-11-25T00:00:00"/>
    <x v="16"/>
    <n v="11"/>
    <n v="2023"/>
  </r>
  <r>
    <n v="767"/>
    <s v="HM610"/>
    <s v="Yến sào Finenest CĐ đỏ x 6 hộp"/>
    <s v="Hộp"/>
    <n v="0"/>
    <n v="0"/>
    <n v="0"/>
    <n v="0"/>
    <n v="0"/>
    <d v="2023-11-25T00:00:00"/>
    <x v="16"/>
    <n v="11"/>
    <n v="2023"/>
  </r>
  <r>
    <n v="768"/>
    <s v="JA1KG"/>
    <s v="Javel 1L x 12 chai"/>
    <s v="Chai"/>
    <n v="0"/>
    <n v="36"/>
    <n v="0"/>
    <n v="-468000"/>
    <n v="-468000"/>
    <d v="2023-11-25T00:00:00"/>
    <x v="16"/>
    <n v="11"/>
    <n v="2023"/>
  </r>
  <r>
    <n v="769"/>
    <s v="NGT3600"/>
    <s v="Nước giặt Kimono (đen) 3,6kg x 5 túi"/>
    <s v="Túi"/>
    <n v="370000"/>
    <n v="0"/>
    <n v="5"/>
    <n v="675000"/>
    <n v="305000"/>
    <d v="2023-11-25T00:00:00"/>
    <x v="16"/>
    <n v="11"/>
    <n v="2023"/>
  </r>
  <r>
    <n v="770"/>
    <s v="NGT36001"/>
    <s v="Nước giặt Kimono (tím) 3,6kg x 5 túi"/>
    <s v="Túi"/>
    <n v="740000"/>
    <n v="0"/>
    <n v="10"/>
    <n v="1350000"/>
    <n v="610000"/>
    <d v="2023-11-25T00:00:00"/>
    <x v="16"/>
    <n v="11"/>
    <n v="2023"/>
  </r>
  <r>
    <n v="771"/>
    <s v="GC10"/>
    <s v="V/S Bibi không lõi x 10 dây"/>
    <s v="Dây"/>
    <n v="260000"/>
    <n v="0"/>
    <n v="10"/>
    <n v="240000"/>
    <n v="-20000"/>
    <d v="2023-11-25T00:00:00"/>
    <x v="18"/>
    <n v="11"/>
    <n v="2023"/>
  </r>
  <r>
    <n v="772"/>
    <s v="KV1001"/>
    <s v="Khăn Napkin Ruby Gold 100 tờ x 30 gói"/>
    <s v="Gói"/>
    <n v="450000"/>
    <n v="0"/>
    <n v="60"/>
    <n v="510000"/>
    <n v="60000"/>
    <d v="2023-11-25T00:00:00"/>
    <x v="18"/>
    <n v="11"/>
    <n v="2023"/>
  </r>
  <r>
    <n v="773"/>
    <s v="KV320"/>
    <s v="Khăn Napkin Fairy 320 x 100 tờ x 48 gói"/>
    <s v="Gói"/>
    <n v="528000"/>
    <n v="0"/>
    <n v="48"/>
    <n v="432000"/>
    <n v="-96000"/>
    <d v="2023-11-25T00:00:00"/>
    <x v="91"/>
    <n v="11"/>
    <n v="2023"/>
  </r>
  <r>
    <n v="774"/>
    <s v="KV100"/>
    <s v="Khăn Napkin Toply 100 tờ x 48 gói"/>
    <s v="Gói"/>
    <n v="345600"/>
    <n v="0"/>
    <n v="48"/>
    <n v="518400"/>
    <n v="172800"/>
    <d v="2023-11-25T00:00:00"/>
    <x v="0"/>
    <n v="11"/>
    <n v="2023"/>
  </r>
  <r>
    <n v="775"/>
    <s v="HM110"/>
    <s v="Yến sào Finenest Saffron (hoa nghệ tây) x 10 hộp"/>
    <s v="Hộp"/>
    <n v="0"/>
    <n v="1"/>
    <n v="0"/>
    <n v="0"/>
    <n v="0"/>
    <d v="2023-11-25T00:00:00"/>
    <x v="42"/>
    <n v="11"/>
    <n v="2023"/>
  </r>
  <r>
    <n v="776"/>
    <s v="HM613"/>
    <s v="HIMA Seunest DTHT có đường 6 lọ x 6 hộp"/>
    <s v="Hộp"/>
    <n v="130000"/>
    <n v="0"/>
    <n v="1"/>
    <n v="280000"/>
    <n v="150000"/>
    <d v="2023-11-25T00:00:00"/>
    <x v="42"/>
    <n v="11"/>
    <n v="2023"/>
  </r>
  <r>
    <n v="777"/>
    <s v="KV1009"/>
    <s v="Khăn Napkin TiOne Gấu 100 tờ x 48 gói"/>
    <s v="Gói"/>
    <n v="288000"/>
    <n v="0"/>
    <n v="48"/>
    <n v="360000"/>
    <n v="72000"/>
    <d v="2023-11-25T00:00:00"/>
    <x v="44"/>
    <n v="11"/>
    <n v="2023"/>
  </r>
  <r>
    <n v="778"/>
    <s v="A1K15"/>
    <s v="Kẹo bạc hà (chanh muối) Himalaya 15g x 12 gói x 12 hộp"/>
    <s v="Hộp"/>
    <n v="362268"/>
    <n v="1"/>
    <n v="6"/>
    <n v="340000"/>
    <n v="-22268"/>
    <d v="2023-11-25T00:00:00"/>
    <x v="63"/>
    <n v="11"/>
    <n v="2023"/>
  </r>
  <r>
    <n v="779"/>
    <s v="KU801"/>
    <s v="Khăn ướt Baby (đỏ) 80g x 50 gói"/>
    <s v="Gói"/>
    <n v="200000"/>
    <n v="0"/>
    <n v="50"/>
    <n v="300000"/>
    <n v="100000"/>
    <d v="2023-11-25T00:00:00"/>
    <x v="63"/>
    <n v="11"/>
    <n v="2023"/>
  </r>
  <r>
    <n v="780"/>
    <s v="BBL13"/>
    <s v="Bánh bông lan SHINO vị dâu 13 cái x 18 hộp"/>
    <s v="Hộp"/>
    <n v="102000"/>
    <n v="0"/>
    <n v="6"/>
    <n v="126000"/>
    <n v="24000"/>
    <d v="2023-11-25T00:00:00"/>
    <x v="26"/>
    <n v="11"/>
    <n v="2023"/>
  </r>
  <r>
    <n v="781"/>
    <s v="BBL131"/>
    <s v="Bánh bông lan SHINO vị cốm 13 cái x 18 hộp"/>
    <s v="Hộp"/>
    <n v="102000"/>
    <n v="0"/>
    <n v="6"/>
    <n v="126000"/>
    <n v="24000"/>
    <d v="2023-11-25T00:00:00"/>
    <x v="26"/>
    <n v="11"/>
    <n v="2023"/>
  </r>
  <r>
    <n v="782"/>
    <s v="BBL132"/>
    <s v="Bánh bông lan SHINO vị sữa chua 13 cái x 18 hộp"/>
    <s v="Hộp"/>
    <n v="102000"/>
    <n v="0"/>
    <n v="6"/>
    <n v="126000"/>
    <n v="24000"/>
    <d v="2023-11-25T00:00:00"/>
    <x v="26"/>
    <n v="11"/>
    <n v="2023"/>
  </r>
  <r>
    <n v="783"/>
    <s v="BCN198"/>
    <s v="BC KAKA NANO N198 x 20 x 15 hộp"/>
    <s v="Cây"/>
    <n v="180000"/>
    <n v="0"/>
    <n v="40"/>
    <n v="320000"/>
    <n v="140000"/>
    <d v="2023-11-25T00:00:00"/>
    <x v="64"/>
    <n v="11"/>
    <n v="2023"/>
  </r>
  <r>
    <n v="784"/>
    <s v="GC100"/>
    <s v="GVS cuộn trắng rẻ (xá) x 10 cây"/>
    <s v="Bao"/>
    <n v="114000"/>
    <n v="0"/>
    <n v="2"/>
    <n v="140000"/>
    <n v="26000"/>
    <d v="2023-11-25T00:00:00"/>
    <x v="64"/>
    <n v="11"/>
    <n v="2023"/>
  </r>
  <r>
    <n v="785"/>
    <s v="KV1011"/>
    <s v="Khăn Napkin EMos x 30 gói"/>
    <s v="Gói"/>
    <n v="200010"/>
    <n v="0"/>
    <n v="30"/>
    <n v="210000"/>
    <n v="9990"/>
    <d v="2023-11-25T00:00:00"/>
    <x v="64"/>
    <n v="11"/>
    <n v="2023"/>
  </r>
  <r>
    <n v="786"/>
    <s v="TBTE1001"/>
    <s v="Tăm bông thân nhựa TE túi 100 cây x 24 túi"/>
    <s v="Túi"/>
    <n v="126000"/>
    <n v="2"/>
    <n v="24"/>
    <n v="144000"/>
    <n v="18000"/>
    <d v="2023-11-25T00:00:00"/>
    <x v="64"/>
    <n v="11"/>
    <n v="2023"/>
  </r>
  <r>
    <n v="787"/>
    <s v="GC606"/>
    <s v="GVS TiOne Gấu 6 cuộn x 12 cây"/>
    <s v="Cây"/>
    <n v="620016"/>
    <n v="4"/>
    <n v="24"/>
    <n v="762000"/>
    <n v="141984"/>
    <d v="2023-11-25T00:00:00"/>
    <x v="50"/>
    <n v="11"/>
    <n v="2023"/>
  </r>
  <r>
    <n v="788"/>
    <s v="KV100"/>
    <s v="Khăn Napkin Toply 100 tờ x 48 gói"/>
    <s v="Gói"/>
    <n v="345600"/>
    <n v="4"/>
    <n v="48"/>
    <n v="536000"/>
    <n v="190400"/>
    <d v="2023-11-25T00:00:00"/>
    <x v="20"/>
    <n v="11"/>
    <n v="2023"/>
  </r>
  <r>
    <n v="789"/>
    <s v="8936017991012"/>
    <s v="V/S Fairy cao cấp 10 cuộn 4 lớp"/>
    <s v="Dây"/>
    <n v="824040"/>
    <n v="0"/>
    <n v="10"/>
    <n v="570000"/>
    <n v="-254040"/>
    <d v="2023-11-25T00:00:00"/>
    <x v="3"/>
    <n v="11"/>
    <n v="2023"/>
  </r>
  <r>
    <n v="790"/>
    <s v="KDL1301"/>
    <s v="Khăn du lịch GIA PHÁT 3 lớp x 130 tờ x 100 gói"/>
    <s v="Gói"/>
    <n v="35000"/>
    <n v="0"/>
    <n v="10"/>
    <n v="65000"/>
    <n v="30000"/>
    <d v="2023-11-25T00:00:00"/>
    <x v="53"/>
    <n v="11"/>
    <n v="2023"/>
  </r>
  <r>
    <n v="791"/>
    <s v="KU203"/>
    <s v="Khăn ướt TiOne 20g x 100 gói"/>
    <s v="Gói"/>
    <n v="25000"/>
    <n v="0"/>
    <n v="10"/>
    <n v="40000"/>
    <n v="15000"/>
    <d v="2023-11-25T00:00:00"/>
    <x v="53"/>
    <n v="11"/>
    <n v="2023"/>
  </r>
  <r>
    <n v="792"/>
    <s v="TC301"/>
    <s v="Tăm chỉ nha khoa 30 chiếc x 10 hộp"/>
    <s v="Hộp"/>
    <n v="0"/>
    <n v="0"/>
    <n v="0"/>
    <n v="0"/>
    <n v="0"/>
    <d v="2023-11-25T00:00:00"/>
    <x v="53"/>
    <n v="11"/>
    <n v="2023"/>
  </r>
  <r>
    <n v="793"/>
    <s v="HM603"/>
    <s v="HIMA Vinnest 6 lọ KĐ x 6 hộp"/>
    <s v="Hộp"/>
    <n v="100000"/>
    <n v="0"/>
    <n v="1"/>
    <n v="170000"/>
    <n v="70000"/>
    <d v="2023-11-25T00:00:00"/>
    <x v="23"/>
    <n v="11"/>
    <n v="2023"/>
  </r>
  <r>
    <n v="794"/>
    <s v="HMH8"/>
    <s v="HIMA Huyết Yến 6 lọ x 8 hộp"/>
    <s v="Hộp"/>
    <n v="253800"/>
    <n v="0"/>
    <n v="1"/>
    <n v="243000"/>
    <n v="-10800"/>
    <d v="2023-11-25T00:00:00"/>
    <x v="23"/>
    <n v="11"/>
    <n v="2023"/>
  </r>
  <r>
    <n v="795"/>
    <s v="GC100"/>
    <s v="GVS cuộn trắng rẻ (xá) x 10 cây"/>
    <s v="Bao"/>
    <n v="285000"/>
    <n v="0"/>
    <n v="5"/>
    <n v="350000"/>
    <n v="65000"/>
    <d v="2023-11-25T00:00:00"/>
    <x v="154"/>
    <n v="11"/>
    <n v="2023"/>
  </r>
  <r>
    <n v="796"/>
    <s v="HM601"/>
    <s v="HIMA DAILY (new) 6 lọ x 6 hộp"/>
    <s v="Hộp"/>
    <n v="1536000"/>
    <n v="2"/>
    <n v="8"/>
    <n v="1536000"/>
    <n v="0"/>
    <d v="2023-11-25T00:00:00"/>
    <x v="154"/>
    <n v="11"/>
    <n v="2023"/>
  </r>
  <r>
    <n v="797"/>
    <s v="KMBN"/>
    <s v="Bộ nồi 3 cái"/>
    <s v="Bộ"/>
    <n v="0"/>
    <n v="1"/>
    <n v="0"/>
    <n v="0"/>
    <n v="0"/>
    <d v="2023-11-25T00:00:00"/>
    <x v="58"/>
    <n v="11"/>
    <n v="2023"/>
  </r>
  <r>
    <n v="798"/>
    <s v="KU1508"/>
    <s v="Khăn ướt Ruby &amp; Gold 150g x 30 gói"/>
    <s v="Gói"/>
    <n v="400000"/>
    <n v="0"/>
    <n v="40"/>
    <n v="720000"/>
    <n v="320000"/>
    <d v="2023-11-25T00:00:00"/>
    <x v="58"/>
    <n v="11"/>
    <n v="2023"/>
  </r>
  <r>
    <n v="799"/>
    <s v="KU2501"/>
    <s v="Khăn ướt TiOne (khổ lớn) 250g x 20 gói"/>
    <s v="Gói"/>
    <n v="230000"/>
    <n v="0"/>
    <n v="20"/>
    <n v="360000"/>
    <n v="130000"/>
    <d v="2023-11-25T00:00:00"/>
    <x v="58"/>
    <n v="11"/>
    <n v="2023"/>
  </r>
  <r>
    <n v="800"/>
    <s v="KU250"/>
    <s v="Khăn ướt TE Villa 250g x 30 gói"/>
    <s v="Gói"/>
    <n v="231000"/>
    <n v="0"/>
    <n v="30"/>
    <n v="300000"/>
    <n v="69000"/>
    <d v="2023-11-25T00:00:00"/>
    <x v="155"/>
    <n v="11"/>
    <n v="2023"/>
  </r>
  <r>
    <n v="801"/>
    <s v="BBL13"/>
    <s v="Bánh bông lan SHINO vị dâu 13 cái x 18 hộp"/>
    <s v="Hộp"/>
    <n v="102000"/>
    <n v="0"/>
    <n v="6"/>
    <n v="132000"/>
    <n v="30000"/>
    <d v="2023-11-25T00:00:00"/>
    <x v="117"/>
    <n v="11"/>
    <n v="2023"/>
  </r>
  <r>
    <n v="802"/>
    <s v="BBL131"/>
    <s v="Bánh bông lan SHINO vị cốm 13 cái x 18 hộp"/>
    <s v="Hộp"/>
    <n v="102000"/>
    <n v="0"/>
    <n v="6"/>
    <n v="132000"/>
    <n v="30000"/>
    <d v="2023-11-25T00:00:00"/>
    <x v="117"/>
    <n v="11"/>
    <n v="2023"/>
  </r>
  <r>
    <n v="803"/>
    <s v="BBL132"/>
    <s v="Bánh bông lan SHINO vị sữa chua 13 cái x 18 hộp"/>
    <s v="Hộp"/>
    <n v="102000"/>
    <n v="0"/>
    <n v="6"/>
    <n v="132000"/>
    <n v="30000"/>
    <d v="2023-11-25T00:00:00"/>
    <x v="117"/>
    <n v="11"/>
    <n v="2023"/>
  </r>
  <r>
    <n v="804"/>
    <s v="HTBD121"/>
    <s v="Bánh đũa Gap Sô cô la 12g x 12 hộp x 12"/>
    <s v="Hộp"/>
    <n v="42084"/>
    <n v="0"/>
    <n v="1"/>
    <n v="48000"/>
    <n v="5916"/>
    <d v="2023-11-25T00:00:00"/>
    <x v="117"/>
    <n v="11"/>
    <n v="2023"/>
  </r>
  <r>
    <n v="805"/>
    <s v="KTN3001"/>
    <s v="Kẹo Trang Nghiêm DÂU TÂY hộp 200g x 24 hộp/thùng"/>
    <s v="Hộp"/>
    <n v="0"/>
    <n v="0"/>
    <n v="0"/>
    <n v="0"/>
    <n v="0"/>
    <d v="2023-11-25T00:00:00"/>
    <x v="117"/>
    <n v="11"/>
    <n v="2023"/>
  </r>
  <r>
    <n v="806"/>
    <s v="KTN3003"/>
    <s v="Kẹo Trang Nghiêm ME ỚT hộp 200g x 24 hộp/thùng"/>
    <s v="Hộp"/>
    <n v="0"/>
    <n v="0"/>
    <n v="0"/>
    <n v="0"/>
    <n v="0"/>
    <d v="2023-11-25T00:00:00"/>
    <x v="117"/>
    <n v="11"/>
    <n v="2023"/>
  </r>
  <r>
    <n v="807"/>
    <s v="HM110"/>
    <s v="Yến sào Finenest Saffron (hoa nghệ tây) x 10 hộp"/>
    <s v="Hộp"/>
    <n v="0"/>
    <n v="3"/>
    <n v="0"/>
    <n v="-327000"/>
    <n v="-327000"/>
    <d v="2023-11-25T00:00:00"/>
    <x v="27"/>
    <n v="11"/>
    <n v="2023"/>
  </r>
  <r>
    <n v="808"/>
    <s v="HM613"/>
    <s v="HIMA Seunest DTHT có đường 6 lọ x 6 hộp"/>
    <s v="Hộp"/>
    <n v="780000"/>
    <n v="0"/>
    <n v="6"/>
    <n v="1680000"/>
    <n v="900000"/>
    <d v="2023-11-25T00:00:00"/>
    <x v="27"/>
    <n v="11"/>
    <n v="2023"/>
  </r>
  <r>
    <n v="809"/>
    <s v="NLC2N"/>
    <s v="C2 nhỏ"/>
    <s v="Thùng"/>
    <n v="0"/>
    <n v="0"/>
    <n v="0"/>
    <n v="0"/>
    <n v="0"/>
    <d v="2023-11-25T00:00:00"/>
    <x v="156"/>
    <n v="11"/>
    <n v="2023"/>
  </r>
  <r>
    <n v="810"/>
    <s v="TBND500"/>
    <s v="Nước Yến Nha Đam (Pet) 500ml x 24 chai"/>
    <s v="Thùng"/>
    <n v="326970"/>
    <n v="0"/>
    <n v="2"/>
    <n v="378000"/>
    <n v="51030"/>
    <d v="2023-11-25T00:00:00"/>
    <x v="156"/>
    <n v="11"/>
    <n v="2023"/>
  </r>
  <r>
    <n v="811"/>
    <s v="BBL13"/>
    <s v="Bánh bông lan SHINO vị dâu 13 cái x 18 hộp"/>
    <s v="Hộp"/>
    <n v="102000"/>
    <n v="0"/>
    <n v="6"/>
    <n v="126000"/>
    <n v="24000"/>
    <d v="2023-11-25T00:00:00"/>
    <x v="157"/>
    <n v="11"/>
    <n v="2023"/>
  </r>
  <r>
    <n v="812"/>
    <s v="BBL131"/>
    <s v="Bánh bông lan SHINO vị cốm 13 cái x 18 hộp"/>
    <s v="Hộp"/>
    <n v="102000"/>
    <n v="0"/>
    <n v="6"/>
    <n v="126000"/>
    <n v="24000"/>
    <d v="2023-11-25T00:00:00"/>
    <x v="157"/>
    <n v="11"/>
    <n v="2023"/>
  </r>
  <r>
    <n v="813"/>
    <s v="BBL132"/>
    <s v="Bánh bông lan SHINO vị sữa chua 13 cái x 18 hộp"/>
    <s v="Hộp"/>
    <n v="102000"/>
    <n v="0"/>
    <n v="6"/>
    <n v="126000"/>
    <n v="24000"/>
    <d v="2023-11-25T00:00:00"/>
    <x v="157"/>
    <n v="11"/>
    <n v="2023"/>
  </r>
  <r>
    <n v="814"/>
    <s v="KV1007"/>
    <s v="Khăn Napkin An An 100 tờ x 40 gói"/>
    <s v="Gói"/>
    <n v="270000"/>
    <n v="0"/>
    <n v="40"/>
    <n v="320000"/>
    <n v="50000"/>
    <d v="2023-11-25T00:00:00"/>
    <x v="157"/>
    <n v="11"/>
    <n v="2023"/>
  </r>
  <r>
    <n v="815"/>
    <s v="KV320"/>
    <s v="Khăn Napkin Fairy 320 x 100 tờ x 48 gói"/>
    <s v="Gói"/>
    <n v="528000"/>
    <n v="0"/>
    <n v="48"/>
    <n v="432000"/>
    <n v="-96000"/>
    <d v="2023-11-25T00:00:00"/>
    <x v="157"/>
    <n v="11"/>
    <n v="2023"/>
  </r>
  <r>
    <n v="816"/>
    <s v="HM608"/>
    <s v="Yến sào Seunest CĐ vàng x 6 hộp"/>
    <s v="Hộp"/>
    <n v="0"/>
    <n v="0"/>
    <n v="0"/>
    <n v="0"/>
    <n v="0"/>
    <d v="2023-11-28T00:00:00"/>
    <x v="129"/>
    <n v="11"/>
    <n v="2023"/>
  </r>
  <r>
    <n v="817"/>
    <s v="HM610"/>
    <s v="Yến sào Finenest CĐ đỏ x 6 hộp"/>
    <s v="Hộp"/>
    <n v="0"/>
    <n v="0"/>
    <n v="0"/>
    <n v="0"/>
    <n v="0"/>
    <d v="2023-11-28T00:00:00"/>
    <x v="129"/>
    <n v="11"/>
    <n v="2023"/>
  </r>
  <r>
    <n v="818"/>
    <s v="BV500"/>
    <s v="BÒ VIÊN II 60 viên x 500gr"/>
    <s v="Gói"/>
    <n v="109250"/>
    <n v="0"/>
    <n v="5"/>
    <n v="150000"/>
    <n v="40750"/>
    <d v="2023-11-30T00:00:00"/>
    <x v="75"/>
    <n v="11"/>
    <n v="2023"/>
  </r>
  <r>
    <n v="819"/>
    <s v="CV500"/>
    <s v="CÁ VIÊN II 60 viên x 500gr"/>
    <s v="Gói"/>
    <n v="106750"/>
    <n v="0"/>
    <n v="5"/>
    <n v="150000"/>
    <n v="43250"/>
    <d v="2023-11-30T00:00:00"/>
    <x v="75"/>
    <n v="11"/>
    <n v="2023"/>
  </r>
  <r>
    <n v="820"/>
    <s v="XX500"/>
    <s v="XÚC XÍCH TƯƠI XÔNG KHÓI 10 cây x 500g"/>
    <s v="Gói"/>
    <n v="135000"/>
    <n v="0"/>
    <n v="5"/>
    <n v="175000"/>
    <n v="40000"/>
    <d v="2023-11-30T00:00:00"/>
    <x v="75"/>
    <n v="11"/>
    <n v="2023"/>
  </r>
  <r>
    <n v="821"/>
    <s v="HTK151"/>
    <s v="Kẹo Tommy trái cây 15g x 12 gói x 12 dây"/>
    <s v="Dây"/>
    <n v="150000"/>
    <n v="0"/>
    <n v="4"/>
    <n v="164000"/>
    <n v="14000"/>
    <d v="2023-11-30T00:00:00"/>
    <x v="158"/>
    <n v="11"/>
    <n v="2023"/>
  </r>
  <r>
    <n v="822"/>
    <s v="BV500"/>
    <s v="BÒ VIÊN II 60 viên x 500gr"/>
    <s v="Gói"/>
    <n v="109250"/>
    <n v="0"/>
    <n v="5"/>
    <n v="140000"/>
    <n v="30750"/>
    <d v="2023-11-30T00:00:00"/>
    <x v="159"/>
    <n v="11"/>
    <n v="2023"/>
  </r>
  <r>
    <n v="823"/>
    <s v="CV500"/>
    <s v="CÁ VIÊN II 60 viên x 500gr"/>
    <s v="Gói"/>
    <n v="106750"/>
    <n v="0"/>
    <n v="5"/>
    <n v="140000"/>
    <n v="33250"/>
    <d v="2023-11-30T00:00:00"/>
    <x v="159"/>
    <n v="11"/>
    <n v="2023"/>
  </r>
  <r>
    <n v="824"/>
    <s v="GC10"/>
    <s v="V/S Bibi không lõi x 10 dây"/>
    <s v="Dây"/>
    <n v="260000"/>
    <n v="0"/>
    <n v="10"/>
    <n v="240000"/>
    <n v="-20000"/>
    <d v="2023-11-30T00:00:00"/>
    <x v="159"/>
    <n v="11"/>
    <n v="2023"/>
  </r>
  <r>
    <n v="825"/>
    <s v="XX500"/>
    <s v="XÚC XÍCH TƯƠI XÔNG KHÓI 10 cây x 500g"/>
    <s v="Gói"/>
    <n v="0"/>
    <n v="0"/>
    <n v="0"/>
    <n v="0"/>
    <n v="0"/>
    <d v="2023-11-30T00:00:00"/>
    <x v="159"/>
    <n v="11"/>
    <n v="2023"/>
  </r>
  <r>
    <n v="826"/>
    <s v="KU250"/>
    <s v="Khăn ướt TE Villa 250g x 30 gói"/>
    <s v="Gói"/>
    <n v="77000"/>
    <n v="0"/>
    <n v="10"/>
    <n v="100000"/>
    <n v="23000"/>
    <d v="2023-11-30T00:00:00"/>
    <x v="160"/>
    <n v="11"/>
    <n v="2023"/>
  </r>
  <r>
    <n v="827"/>
    <s v="BV500"/>
    <s v="BÒ VIÊN II 60 viên x 500gr"/>
    <s v="Gói"/>
    <n v="43700"/>
    <n v="0"/>
    <n v="2"/>
    <n v="56000"/>
    <n v="12300"/>
    <d v="2023-11-30T00:00:00"/>
    <x v="161"/>
    <n v="11"/>
    <n v="2023"/>
  </r>
  <r>
    <n v="828"/>
    <s v="CV500"/>
    <s v="CÁ VIÊN II 60 viên x 500gr"/>
    <s v="Gói"/>
    <n v="42700"/>
    <n v="0"/>
    <n v="2"/>
    <n v="52000"/>
    <n v="9300"/>
    <d v="2023-11-30T00:00:00"/>
    <x v="161"/>
    <n v="11"/>
    <n v="2023"/>
  </r>
  <r>
    <n v="829"/>
    <s v="HM613"/>
    <s v="HIMA Seunest DTHT có đường 6 lọ x 6 hộp"/>
    <s v="Hộp"/>
    <n v="0"/>
    <n v="1"/>
    <n v="0"/>
    <n v="-130000"/>
    <n v="-130000"/>
    <d v="2023-11-30T00:00:00"/>
    <x v="161"/>
    <n v="11"/>
    <n v="2023"/>
  </r>
  <r>
    <n v="830"/>
    <s v="HM614"/>
    <s v="HIMA Seunest Colagen có đường 6 lọ x 6 hộp"/>
    <s v="Hộp"/>
    <n v="260000"/>
    <n v="0"/>
    <n v="2"/>
    <n v="560000"/>
    <n v="300000"/>
    <d v="2023-11-30T00:00:00"/>
    <x v="161"/>
    <n v="11"/>
    <n v="2023"/>
  </r>
  <r>
    <n v="831"/>
    <s v="XX500"/>
    <s v="XÚC XÍCH TƯƠI XÔNG KHÓI 10 cây x 500g"/>
    <s v="Gói"/>
    <n v="54000"/>
    <n v="0"/>
    <n v="2"/>
    <n v="66000"/>
    <n v="12000"/>
    <d v="2023-11-30T00:00:00"/>
    <x v="161"/>
    <n v="11"/>
    <n v="2023"/>
  </r>
  <r>
    <n v="832"/>
    <s v="BV500"/>
    <s v="BÒ VIÊN II 60 viên x 500gr"/>
    <s v="Gói"/>
    <n v="109250"/>
    <n v="0"/>
    <n v="5"/>
    <n v="140000"/>
    <n v="30750"/>
    <d v="2023-11-30T00:00:00"/>
    <x v="162"/>
    <n v="11"/>
    <n v="2023"/>
  </r>
  <r>
    <n v="833"/>
    <s v="CV500"/>
    <s v="CÁ VIÊN II 60 viên x 500gr"/>
    <s v="Gói"/>
    <n v="106750"/>
    <n v="0"/>
    <n v="5"/>
    <n v="140000"/>
    <n v="33250"/>
    <d v="2023-11-30T00:00:00"/>
    <x v="162"/>
    <n v="11"/>
    <n v="2023"/>
  </r>
  <r>
    <n v="834"/>
    <s v="XX500"/>
    <s v="XÚC XÍCH TƯƠI XÔNG KHÓI 10 cây x 500g"/>
    <s v="Gói"/>
    <n v="135000"/>
    <n v="0"/>
    <n v="5"/>
    <n v="165000"/>
    <n v="30000"/>
    <d v="2023-11-30T00:00:00"/>
    <x v="162"/>
    <n v="11"/>
    <n v="2023"/>
  </r>
  <r>
    <n v="835"/>
    <s v="HMK1"/>
    <s v="Yến sào Finenest kids xanh 1 lọ x 60 hộp"/>
    <s v="Hộp"/>
    <n v="0"/>
    <n v="0"/>
    <n v="0"/>
    <n v="0"/>
    <n v="0"/>
    <d v="2023-11-30T00:00:00"/>
    <x v="153"/>
    <n v="11"/>
    <n v="2023"/>
  </r>
  <r>
    <n v="836"/>
    <s v="HMK102"/>
    <s v="Yến sào Nicenest Kids đỏ 1 lọ x 60 hộp"/>
    <s v="Hộp"/>
    <n v="0"/>
    <n v="0"/>
    <n v="0"/>
    <n v="0"/>
    <n v="0"/>
    <d v="2023-11-30T00:00:00"/>
    <x v="153"/>
    <n v="11"/>
    <n v="2023"/>
  </r>
  <r>
    <n v="837"/>
    <s v="BV500"/>
    <s v="BÒ VIÊN II 60 viên x 500gr"/>
    <s v="Gói"/>
    <n v="43700"/>
    <n v="0"/>
    <n v="2"/>
    <n v="60000"/>
    <n v="16300"/>
    <d v="2023-11-30T00:00:00"/>
    <x v="163"/>
    <n v="11"/>
    <n v="2023"/>
  </r>
  <r>
    <n v="838"/>
    <s v="GC10"/>
    <s v="V/S Bibi không lõi x 10 dây"/>
    <s v="Dây"/>
    <n v="260000"/>
    <n v="0"/>
    <n v="10"/>
    <n v="230000"/>
    <n v="-30000"/>
    <d v="2023-11-30T00:00:00"/>
    <x v="163"/>
    <n v="11"/>
    <n v="2023"/>
  </r>
  <r>
    <n v="839"/>
    <s v="GC1023"/>
    <s v="V/S Bibi có lõi x 10 dây"/>
    <s v="Dây"/>
    <n v="245000"/>
    <n v="0"/>
    <n v="10"/>
    <n v="230000"/>
    <n v="-15000"/>
    <d v="2023-11-30T00:00:00"/>
    <x v="163"/>
    <n v="11"/>
    <n v="2023"/>
  </r>
  <r>
    <n v="840"/>
    <s v="GC603"/>
    <s v="GVS Ruby Gold 6 cuộn (không lõi) x 12 cây"/>
    <s v="Cây"/>
    <n v="150000"/>
    <n v="0"/>
    <n v="6"/>
    <n v="192000"/>
    <n v="42000"/>
    <d v="2023-11-30T00:00:00"/>
    <x v="163"/>
    <n v="11"/>
    <n v="2023"/>
  </r>
  <r>
    <n v="841"/>
    <s v="XX500"/>
    <s v="XÚC XÍCH TƯƠI XÔNG KHÓI 10 cây x 500g"/>
    <s v="Gói"/>
    <n v="54000"/>
    <n v="0"/>
    <n v="2"/>
    <n v="70000"/>
    <n v="16000"/>
    <d v="2023-11-30T00:00:00"/>
    <x v="163"/>
    <n v="11"/>
    <n v="2023"/>
  </r>
  <r>
    <m/>
    <m/>
    <m/>
    <m/>
    <m/>
    <m/>
    <m/>
    <m/>
    <m/>
    <m/>
    <x v="16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810D4-C7DB-4CFA-8A02-02EB5D65D151}" name="PivotTable5" cacheId="24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D169" firstHeaderRow="1" firstDataRow="2" firstDataCol="1"/>
  <pivotFields count="13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axis="axisRow" compact="0" outline="0" showAll="0" includeNewItemsInFilter="1">
      <items count="166">
        <item x="7"/>
        <item x="97"/>
        <item x="162"/>
        <item x="102"/>
        <item x="34"/>
        <item x="51"/>
        <item x="159"/>
        <item x="96"/>
        <item x="36"/>
        <item x="140"/>
        <item x="30"/>
        <item x="112"/>
        <item x="154"/>
        <item x="76"/>
        <item x="131"/>
        <item x="1"/>
        <item x="2"/>
        <item x="117"/>
        <item x="89"/>
        <item x="37"/>
        <item x="121"/>
        <item x="99"/>
        <item x="155"/>
        <item x="81"/>
        <item x="75"/>
        <item x="88"/>
        <item x="113"/>
        <item x="44"/>
        <item x="136"/>
        <item x="46"/>
        <item x="68"/>
        <item x="101"/>
        <item x="104"/>
        <item x="18"/>
        <item x="107"/>
        <item x="120"/>
        <item x="4"/>
        <item x="141"/>
        <item x="70"/>
        <item x="24"/>
        <item x="139"/>
        <item x="135"/>
        <item x="12"/>
        <item x="160"/>
        <item x="42"/>
        <item x="78"/>
        <item x="158"/>
        <item x="90"/>
        <item x="52"/>
        <item x="17"/>
        <item x="50"/>
        <item x="118"/>
        <item x="142"/>
        <item x="67"/>
        <item x="38"/>
        <item x="6"/>
        <item x="157"/>
        <item x="69"/>
        <item x="11"/>
        <item x="93"/>
        <item x="61"/>
        <item x="14"/>
        <item x="103"/>
        <item x="138"/>
        <item x="62"/>
        <item x="122"/>
        <item x="125"/>
        <item x="47"/>
        <item x="152"/>
        <item x="127"/>
        <item x="126"/>
        <item x="100"/>
        <item x="73"/>
        <item x="144"/>
        <item x="82"/>
        <item x="95"/>
        <item x="16"/>
        <item x="115"/>
        <item x="3"/>
        <item x="98"/>
        <item x="39"/>
        <item x="5"/>
        <item x="114"/>
        <item x="132"/>
        <item x="71"/>
        <item x="56"/>
        <item x="145"/>
        <item x="64"/>
        <item x="72"/>
        <item x="153"/>
        <item x="143"/>
        <item x="129"/>
        <item x="48"/>
        <item x="150"/>
        <item x="123"/>
        <item x="130"/>
        <item x="147"/>
        <item x="156"/>
        <item x="106"/>
        <item x="105"/>
        <item x="149"/>
        <item x="28"/>
        <item x="27"/>
        <item x="65"/>
        <item x="109"/>
        <item x="55"/>
        <item x="161"/>
        <item x="29"/>
        <item x="63"/>
        <item x="40"/>
        <item x="8"/>
        <item x="15"/>
        <item x="148"/>
        <item x="43"/>
        <item x="53"/>
        <item x="80"/>
        <item x="60"/>
        <item x="92"/>
        <item x="110"/>
        <item x="111"/>
        <item x="85"/>
        <item x="19"/>
        <item x="41"/>
        <item x="21"/>
        <item x="108"/>
        <item x="22"/>
        <item x="151"/>
        <item x="163"/>
        <item x="58"/>
        <item x="77"/>
        <item x="66"/>
        <item x="79"/>
        <item x="35"/>
        <item x="32"/>
        <item x="94"/>
        <item x="124"/>
        <item x="45"/>
        <item x="119"/>
        <item x="20"/>
        <item x="9"/>
        <item x="134"/>
        <item x="86"/>
        <item x="13"/>
        <item x="31"/>
        <item x="133"/>
        <item x="91"/>
        <item x="57"/>
        <item x="146"/>
        <item x="10"/>
        <item x="33"/>
        <item x="25"/>
        <item x="59"/>
        <item x="83"/>
        <item x="74"/>
        <item x="116"/>
        <item x="128"/>
        <item x="54"/>
        <item x="84"/>
        <item x="26"/>
        <item x="87"/>
        <item x="49"/>
        <item x="137"/>
        <item x="23"/>
        <item x="0"/>
        <item h="1" x="164"/>
        <item t="default"/>
      </items>
    </pivotField>
    <pivotField compact="0" outline="0" showAll="0" includeNewItemsInFilter="1"/>
    <pivotField compact="0" outline="0" showAll="0" includeNewItemsInFilter="1"/>
  </pivotFields>
  <rowFields count="1">
    <field x="10"/>
  </rowFields>
  <rowItems count="1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" fld="9" subtotal="max" baseField="10" baseItem="0" numFmtId="14"/>
    <dataField name="F" fld="9" subtotal="count" baseField="10" baseItem="0"/>
    <dataField name="M" fld="8" baseField="10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A072B-A3C9-43A7-A0E5-E573C1EB14A2}" name="PivotTable3" cacheId="2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5">
  <location ref="A3:E7" firstHeaderRow="1" firstDataRow="2" firstDataCol="1"/>
  <pivotFields count="17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h="1" x="2"/>
        <item h="1" x="3"/>
        <item t="default"/>
      </items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ổng Doanh Thu" fld="8" baseField="11" baseItem="0"/>
    <dataField name="Tổng Lợi Nhuận Gộp" fld="13" baseField="11" baseItem="0"/>
    <dataField name="TB Tỷ Lệ Lợi Nhuận Gộp" fld="14" subtotal="average" baseField="11" baseItem="0" numFmtId="9"/>
    <dataField name="Tổng SL Xuất Thực" fld="16" baseField="11" baseItem="0"/>
  </dataFields>
  <formats count="2">
    <format dxfId="1">
      <pivotArea outline="0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13A312-937E-4FBE-8520-1CED3195D6DB}" autoFormatId="16" applyNumberFormats="0" applyBorderFormats="0" applyFontFormats="0" applyPatternFormats="0" applyAlignmentFormats="0" applyWidthHeightFormats="0">
  <queryTableRefresh nextId="20" unboundColumnsRight="4">
    <queryTableFields count="17">
      <queryTableField id="1" name="STT" tableColumnId="14"/>
      <queryTableField id="2" name="Mã" tableColumnId="2"/>
      <queryTableField id="3" name="Hàng" tableColumnId="3"/>
      <queryTableField id="4" name="ĐVT" tableColumnId="4"/>
      <queryTableField id="5" name="Tiền Nhập" tableColumnId="5"/>
      <queryTableField id="6" name="SL Xuất KM" tableColumnId="6"/>
      <queryTableField id="7" name="SL Xuất" tableColumnId="7"/>
      <queryTableField id="8" name="Tiền Xuất" tableColumnId="8"/>
      <queryTableField id="9" name="Doanh Thu" tableColumnId="9"/>
      <queryTableField id="10" name="Ngày Xuất" tableColumnId="10"/>
      <queryTableField id="11" name="Khách hàng" tableColumnId="11"/>
      <queryTableField id="12" name="Month" tableColumnId="12"/>
      <queryTableField id="13" name="Year" tableColumnId="13"/>
      <queryTableField id="15" dataBound="0" tableColumnId="16"/>
      <queryTableField id="16" dataBound="0" tableColumnId="17"/>
      <queryTableField id="17" dataBound="0" tableColumnId="18"/>
      <queryTableField id="18" dataBound="0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02096-31D5-4EC1-86E4-0842B527AFD2}" name="Table1" displayName="Table1" ref="A1:K842" totalsRowShown="0">
  <autoFilter ref="A1:K842" xr:uid="{33802096-31D5-4EC1-86E4-0842B527AFD2}"/>
  <tableColumns count="11">
    <tableColumn id="1" xr3:uid="{76A72E47-0CC5-480F-A1D9-7A9D91B02F6E}" name="STT"/>
    <tableColumn id="2" xr3:uid="{C9BB8334-E979-420A-A7F8-027A1AC8ADEF}" name="Mã"/>
    <tableColumn id="3" xr3:uid="{1798666E-0436-4E1C-9B93-B9C16F936380}" name="Hàng"/>
    <tableColumn id="4" xr3:uid="{F50BA295-4563-44F2-9E47-013E039894A4}" name="ĐVT"/>
    <tableColumn id="5" xr3:uid="{4EB6AAE3-2363-4899-A008-4FCB9DF0FE10}" name="Tiền Nhập"/>
    <tableColumn id="6" xr3:uid="{4009650A-07C8-4986-8C0F-570E31F7B52B}" name="SL Xuất KM"/>
    <tableColumn id="7" xr3:uid="{F33BD0B5-11C3-473F-A9F6-600F5A7F76AE}" name="SL Xuất"/>
    <tableColumn id="8" xr3:uid="{F2D02017-A4BC-4AA4-B35C-1EAFAA074235}" name="Tiền Xuất"/>
    <tableColumn id="9" xr3:uid="{D562540C-221E-4457-B105-00F849B0C63D}" name="Doanh Thu"/>
    <tableColumn id="10" xr3:uid="{23080A69-A12E-4D8B-9C5D-99E02D5B39DC}" name="Ngày Xuất"/>
    <tableColumn id="11" xr3:uid="{CD00D0F4-003C-4FE5-87DD-8D0208A91652}" name="Khách hà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3B92C7-40CE-42F4-9474-FE8E9721F1D0}" name="Table1_2" displayName="Table1_2" ref="A1:Q842" tableType="queryTable" totalsRowShown="0">
  <autoFilter ref="A1:Q842" xr:uid="{B53B92C7-40CE-42F4-9474-FE8E9721F1D0}"/>
  <tableColumns count="17">
    <tableColumn id="14" xr3:uid="{925BC778-0012-44CB-92C3-2D8225DC504F}" uniqueName="14" name="STT" queryTableFieldId="1"/>
    <tableColumn id="2" xr3:uid="{F68A456E-DEBF-44D2-88DA-68566FBFC450}" uniqueName="2" name="Mã" queryTableFieldId="2"/>
    <tableColumn id="3" xr3:uid="{21F126FF-61C6-4109-A9B0-721EA8BBB0BB}" uniqueName="3" name="Hàng" queryTableFieldId="3"/>
    <tableColumn id="4" xr3:uid="{EDE6CBA9-189C-4E46-BFE7-D7F99F769556}" uniqueName="4" name="ĐVT" queryTableFieldId="4"/>
    <tableColumn id="5" xr3:uid="{3478D82A-BD7F-4DEB-92C6-D99CD781FFBB}" uniqueName="5" name="Tiền Nhập" queryTableFieldId="5"/>
    <tableColumn id="6" xr3:uid="{DE0EE19E-11B2-42DE-9F50-13FF19939534}" uniqueName="6" name="SL Xuất KM" queryTableFieldId="6"/>
    <tableColumn id="7" xr3:uid="{3647A6F9-C12A-4451-9531-2EC476368592}" uniqueName="7" name="SL Xuất" queryTableFieldId="7"/>
    <tableColumn id="8" xr3:uid="{ED837004-E755-4E2E-88BF-28F55FA372CD}" uniqueName="8" name="Tiền Xuất" queryTableFieldId="8"/>
    <tableColumn id="9" xr3:uid="{B46181A3-ABD4-4CCB-8A68-799B31AEFE93}" uniqueName="9" name="Doanh Thu" queryTableFieldId="9"/>
    <tableColumn id="10" xr3:uid="{0A255030-6EB5-42B5-94EA-68517BDCED73}" uniqueName="10" name="Ngày Xuất" queryTableFieldId="10" dataDxfId="6"/>
    <tableColumn id="11" xr3:uid="{EC6F14DA-ED82-4020-B6A9-D7601E60DA68}" uniqueName="11" name="Khách hàng" queryTableFieldId="11"/>
    <tableColumn id="12" xr3:uid="{1999812A-38D4-4CDF-A39F-2346517809D5}" uniqueName="12" name="Month" queryTableFieldId="12"/>
    <tableColumn id="13" xr3:uid="{3A9DE497-789D-49EB-953B-507A91E83B7F}" uniqueName="13" name="Year" queryTableFieldId="13"/>
    <tableColumn id="16" xr3:uid="{6825BD5C-8267-40AE-912F-5F43793D3571}" uniqueName="16" name="Lợi Nhuận Gộp" queryTableFieldId="15" dataDxfId="5">
      <calculatedColumnFormula>I2-E2</calculatedColumnFormula>
    </tableColumn>
    <tableColumn id="17" xr3:uid="{8531F8EA-6464-46F5-9EB8-7094BCD80E93}" uniqueName="17" name="Tỷ Lệ Lợi Nhuận Gộp" queryTableFieldId="16" dataDxfId="4">
      <calculatedColumnFormula>IF(Table1_2[Tiền Nhập]&lt;&gt;0, Table1_2[Lợi Nhuận Gộp]/Table1_2[Tiền Nhập], 0)</calculatedColumnFormula>
    </tableColumn>
    <tableColumn id="18" xr3:uid="{61CC800F-FD7A-47DA-9E3A-6187655CF706}" uniqueName="18" name="Giá Bán Trung Bình" queryTableFieldId="17" dataDxfId="3">
      <calculatedColumnFormula>IF(Table1_2[SL Xuất]&gt;0, Table1_2[Tiền Xuất]/Table1_2[SL Xuất], 0)</calculatedColumnFormula>
    </tableColumn>
    <tableColumn id="19" xr3:uid="{53B2ABF0-63DA-4F22-980E-1D73F9C71437}" uniqueName="19" name="SL Xuất Thực" queryTableFieldId="18" dataDxfId="2">
      <calculatedColumnFormula>Table1_2[SL Xuất] - Table1_2[SL Xuất KM]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AF9C-7A2E-4888-A015-6D333A286288}">
  <dimension ref="A1:K842"/>
  <sheetViews>
    <sheetView topLeftCell="A2" zoomScaleNormal="100" workbookViewId="0">
      <selection activeCell="A2" sqref="A2:K842"/>
    </sheetView>
  </sheetViews>
  <sheetFormatPr defaultRowHeight="13.2" x14ac:dyDescent="0.25"/>
  <cols>
    <col min="5" max="5" width="11.6640625" customWidth="1"/>
    <col min="6" max="6" width="13.109375" customWidth="1"/>
    <col min="7" max="7" width="9.77734375" customWidth="1"/>
    <col min="8" max="8" width="11.109375" customWidth="1"/>
    <col min="9" max="9" width="12.44140625" customWidth="1"/>
    <col min="10" max="10" width="11.88671875" customWidth="1"/>
    <col min="11" max="11" width="13.332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</row>
    <row r="4" spans="1:11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</row>
    <row r="5" spans="1:11" x14ac:dyDescent="0.25">
      <c r="A5">
        <v>4</v>
      </c>
      <c r="B5" t="s">
        <v>36</v>
      </c>
      <c r="C5" t="s">
        <v>37</v>
      </c>
      <c r="D5" t="s">
        <v>13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19</v>
      </c>
      <c r="K5" t="s">
        <v>42</v>
      </c>
    </row>
    <row r="6" spans="1:11" x14ac:dyDescent="0.25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19</v>
      </c>
      <c r="K6" t="s">
        <v>50</v>
      </c>
    </row>
    <row r="7" spans="1:11" x14ac:dyDescent="0.25">
      <c r="A7">
        <v>6</v>
      </c>
      <c r="B7" t="s">
        <v>51</v>
      </c>
      <c r="C7" t="s">
        <v>52</v>
      </c>
      <c r="D7" t="s">
        <v>45</v>
      </c>
      <c r="E7" t="s">
        <v>46</v>
      </c>
      <c r="F7" t="s">
        <v>15</v>
      </c>
      <c r="G7" t="s">
        <v>47</v>
      </c>
      <c r="H7" t="s">
        <v>48</v>
      </c>
      <c r="I7" t="s">
        <v>49</v>
      </c>
      <c r="J7" t="s">
        <v>19</v>
      </c>
      <c r="K7" t="s">
        <v>50</v>
      </c>
    </row>
    <row r="8" spans="1:11" x14ac:dyDescent="0.25">
      <c r="A8">
        <v>7</v>
      </c>
      <c r="B8" t="s">
        <v>53</v>
      </c>
      <c r="C8" t="s">
        <v>54</v>
      </c>
      <c r="D8" t="s">
        <v>45</v>
      </c>
      <c r="E8" t="s">
        <v>46</v>
      </c>
      <c r="F8" t="s">
        <v>15</v>
      </c>
      <c r="G8" t="s">
        <v>47</v>
      </c>
      <c r="H8" t="s">
        <v>48</v>
      </c>
      <c r="I8" t="s">
        <v>49</v>
      </c>
      <c r="J8" t="s">
        <v>19</v>
      </c>
      <c r="K8" t="s">
        <v>50</v>
      </c>
    </row>
    <row r="9" spans="1:11" x14ac:dyDescent="0.25">
      <c r="A9">
        <v>8</v>
      </c>
      <c r="B9" t="s">
        <v>55</v>
      </c>
      <c r="C9" t="s">
        <v>56</v>
      </c>
      <c r="D9" t="s">
        <v>13</v>
      </c>
      <c r="E9" t="s">
        <v>57</v>
      </c>
      <c r="F9" t="s">
        <v>58</v>
      </c>
      <c r="G9" t="s">
        <v>59</v>
      </c>
      <c r="H9" t="s">
        <v>33</v>
      </c>
      <c r="I9" t="s">
        <v>60</v>
      </c>
      <c r="J9" t="s">
        <v>19</v>
      </c>
      <c r="K9" t="s">
        <v>50</v>
      </c>
    </row>
    <row r="10" spans="1:11" x14ac:dyDescent="0.25">
      <c r="A10">
        <v>9</v>
      </c>
      <c r="B10" t="s">
        <v>61</v>
      </c>
      <c r="C10" t="s">
        <v>62</v>
      </c>
      <c r="D10" t="s">
        <v>13</v>
      </c>
      <c r="E10" t="s">
        <v>15</v>
      </c>
      <c r="F10" t="s">
        <v>63</v>
      </c>
      <c r="G10" t="s">
        <v>15</v>
      </c>
      <c r="H10" t="s">
        <v>64</v>
      </c>
      <c r="I10" t="s">
        <v>64</v>
      </c>
      <c r="J10" t="s">
        <v>65</v>
      </c>
      <c r="K10" t="s">
        <v>66</v>
      </c>
    </row>
    <row r="11" spans="1:11" x14ac:dyDescent="0.25">
      <c r="A11">
        <v>10</v>
      </c>
      <c r="B11" t="s">
        <v>67</v>
      </c>
      <c r="C11" t="s">
        <v>68</v>
      </c>
      <c r="D11" t="s">
        <v>13</v>
      </c>
      <c r="E11" t="s">
        <v>69</v>
      </c>
      <c r="F11" t="s">
        <v>15</v>
      </c>
      <c r="G11" t="s">
        <v>70</v>
      </c>
      <c r="H11" t="s">
        <v>71</v>
      </c>
      <c r="I11" t="s">
        <v>72</v>
      </c>
      <c r="J11" t="s">
        <v>65</v>
      </c>
      <c r="K11" t="s">
        <v>66</v>
      </c>
    </row>
    <row r="12" spans="1:11" x14ac:dyDescent="0.25">
      <c r="A12">
        <v>11</v>
      </c>
      <c r="B12" t="s">
        <v>67</v>
      </c>
      <c r="C12" t="s">
        <v>68</v>
      </c>
      <c r="D12" t="s">
        <v>13</v>
      </c>
      <c r="E12" t="s">
        <v>73</v>
      </c>
      <c r="F12" t="s">
        <v>15</v>
      </c>
      <c r="G12" t="s">
        <v>16</v>
      </c>
      <c r="H12" t="s">
        <v>74</v>
      </c>
      <c r="I12" t="s">
        <v>75</v>
      </c>
      <c r="J12" t="s">
        <v>65</v>
      </c>
      <c r="K12" t="s">
        <v>76</v>
      </c>
    </row>
    <row r="13" spans="1:11" x14ac:dyDescent="0.25">
      <c r="A13">
        <v>12</v>
      </c>
      <c r="B13" t="s">
        <v>11</v>
      </c>
      <c r="C13" t="s">
        <v>12</v>
      </c>
      <c r="D13" t="s">
        <v>13</v>
      </c>
      <c r="E13" t="s">
        <v>18</v>
      </c>
      <c r="F13" t="s">
        <v>15</v>
      </c>
      <c r="G13" t="s">
        <v>70</v>
      </c>
      <c r="H13" t="s">
        <v>71</v>
      </c>
      <c r="I13" t="s">
        <v>77</v>
      </c>
      <c r="J13" t="s">
        <v>65</v>
      </c>
      <c r="K13" t="s">
        <v>78</v>
      </c>
    </row>
    <row r="14" spans="1:11" x14ac:dyDescent="0.25">
      <c r="A14">
        <v>13</v>
      </c>
      <c r="B14" t="s">
        <v>67</v>
      </c>
      <c r="C14" t="s">
        <v>68</v>
      </c>
      <c r="D14" t="s">
        <v>13</v>
      </c>
      <c r="E14" t="s">
        <v>15</v>
      </c>
      <c r="F14" t="s">
        <v>47</v>
      </c>
      <c r="G14" t="s">
        <v>15</v>
      </c>
      <c r="H14" t="s">
        <v>79</v>
      </c>
      <c r="I14" t="s">
        <v>79</v>
      </c>
      <c r="J14" t="s">
        <v>65</v>
      </c>
      <c r="K14" t="s">
        <v>78</v>
      </c>
    </row>
    <row r="15" spans="1:11" x14ac:dyDescent="0.25">
      <c r="A15">
        <v>14</v>
      </c>
      <c r="B15" t="s">
        <v>80</v>
      </c>
      <c r="C15" t="s">
        <v>81</v>
      </c>
      <c r="D15" t="s">
        <v>13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65</v>
      </c>
      <c r="K15" t="s">
        <v>82</v>
      </c>
    </row>
    <row r="16" spans="1:11" x14ac:dyDescent="0.25">
      <c r="A16">
        <v>15</v>
      </c>
      <c r="B16" t="s">
        <v>83</v>
      </c>
      <c r="C16" t="s">
        <v>84</v>
      </c>
      <c r="D16" t="s">
        <v>85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65</v>
      </c>
      <c r="K16" t="s">
        <v>35</v>
      </c>
    </row>
    <row r="17" spans="1:11" x14ac:dyDescent="0.25">
      <c r="A17">
        <v>16</v>
      </c>
      <c r="B17" t="s">
        <v>86</v>
      </c>
      <c r="C17" t="s">
        <v>87</v>
      </c>
      <c r="D17" t="s">
        <v>88</v>
      </c>
      <c r="E17" t="s">
        <v>89</v>
      </c>
      <c r="F17" t="s">
        <v>15</v>
      </c>
      <c r="G17" t="s">
        <v>90</v>
      </c>
      <c r="H17" t="s">
        <v>91</v>
      </c>
      <c r="I17" t="s">
        <v>92</v>
      </c>
      <c r="J17" t="s">
        <v>65</v>
      </c>
      <c r="K17" t="s">
        <v>93</v>
      </c>
    </row>
    <row r="18" spans="1:11" x14ac:dyDescent="0.25">
      <c r="A18">
        <v>17</v>
      </c>
      <c r="B18" t="s">
        <v>94</v>
      </c>
      <c r="C18" t="s">
        <v>95</v>
      </c>
      <c r="D18" t="s">
        <v>45</v>
      </c>
      <c r="E18" t="s">
        <v>96</v>
      </c>
      <c r="F18" t="s">
        <v>15</v>
      </c>
      <c r="G18" t="s">
        <v>32</v>
      </c>
      <c r="H18" t="s">
        <v>97</v>
      </c>
      <c r="I18" t="s">
        <v>98</v>
      </c>
      <c r="J18" t="s">
        <v>65</v>
      </c>
      <c r="K18" t="s">
        <v>93</v>
      </c>
    </row>
    <row r="19" spans="1:11" x14ac:dyDescent="0.25">
      <c r="A19">
        <v>18</v>
      </c>
      <c r="B19" t="s">
        <v>99</v>
      </c>
      <c r="C19" t="s">
        <v>100</v>
      </c>
      <c r="D19" t="s">
        <v>88</v>
      </c>
      <c r="E19" t="s">
        <v>101</v>
      </c>
      <c r="F19" t="s">
        <v>15</v>
      </c>
      <c r="G19" t="s">
        <v>102</v>
      </c>
      <c r="H19" t="s">
        <v>103</v>
      </c>
      <c r="I19" t="s">
        <v>104</v>
      </c>
      <c r="J19" t="s">
        <v>65</v>
      </c>
      <c r="K19" t="s">
        <v>93</v>
      </c>
    </row>
    <row r="20" spans="1:11" x14ac:dyDescent="0.25">
      <c r="A20">
        <v>19</v>
      </c>
      <c r="B20" t="s">
        <v>105</v>
      </c>
      <c r="C20" t="s">
        <v>106</v>
      </c>
      <c r="D20" t="s">
        <v>107</v>
      </c>
      <c r="E20" t="s">
        <v>108</v>
      </c>
      <c r="F20" t="s">
        <v>15</v>
      </c>
      <c r="G20" t="s">
        <v>90</v>
      </c>
      <c r="H20" t="s">
        <v>109</v>
      </c>
      <c r="I20" t="s">
        <v>49</v>
      </c>
      <c r="J20" t="s">
        <v>65</v>
      </c>
      <c r="K20" t="s">
        <v>110</v>
      </c>
    </row>
    <row r="21" spans="1:11" x14ac:dyDescent="0.25">
      <c r="A21">
        <v>20</v>
      </c>
      <c r="B21" t="s">
        <v>111</v>
      </c>
      <c r="C21" t="s">
        <v>112</v>
      </c>
      <c r="D21" t="s">
        <v>13</v>
      </c>
      <c r="E21" t="s">
        <v>113</v>
      </c>
      <c r="F21" t="s">
        <v>15</v>
      </c>
      <c r="G21" t="s">
        <v>63</v>
      </c>
      <c r="H21" t="s">
        <v>114</v>
      </c>
      <c r="I21" t="s">
        <v>115</v>
      </c>
      <c r="J21" t="s">
        <v>65</v>
      </c>
      <c r="K21" t="s">
        <v>110</v>
      </c>
    </row>
    <row r="22" spans="1:11" x14ac:dyDescent="0.25">
      <c r="A22">
        <v>21</v>
      </c>
      <c r="B22" t="s">
        <v>116</v>
      </c>
      <c r="C22" t="s">
        <v>117</v>
      </c>
      <c r="D22" t="s">
        <v>13</v>
      </c>
      <c r="E22" t="s">
        <v>118</v>
      </c>
      <c r="F22" t="s">
        <v>15</v>
      </c>
      <c r="G22" t="s">
        <v>59</v>
      </c>
      <c r="H22" t="s">
        <v>118</v>
      </c>
      <c r="I22" t="s">
        <v>15</v>
      </c>
      <c r="J22" t="s">
        <v>65</v>
      </c>
      <c r="K22" t="s">
        <v>119</v>
      </c>
    </row>
    <row r="23" spans="1:11" x14ac:dyDescent="0.25">
      <c r="A23">
        <v>22</v>
      </c>
      <c r="B23" t="s">
        <v>120</v>
      </c>
      <c r="C23" t="s">
        <v>121</v>
      </c>
      <c r="D23" t="s">
        <v>45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65</v>
      </c>
      <c r="K23" t="s">
        <v>122</v>
      </c>
    </row>
    <row r="24" spans="1:11" x14ac:dyDescent="0.25">
      <c r="A24">
        <v>23</v>
      </c>
      <c r="B24" t="s">
        <v>123</v>
      </c>
      <c r="C24" t="s">
        <v>124</v>
      </c>
      <c r="D24" t="s">
        <v>45</v>
      </c>
      <c r="E24" t="s">
        <v>15</v>
      </c>
      <c r="F24" t="s">
        <v>125</v>
      </c>
      <c r="G24" t="s">
        <v>15</v>
      </c>
      <c r="H24" t="s">
        <v>126</v>
      </c>
      <c r="I24" t="s">
        <v>126</v>
      </c>
      <c r="J24" t="s">
        <v>65</v>
      </c>
      <c r="K24" t="s">
        <v>127</v>
      </c>
    </row>
    <row r="25" spans="1:11" x14ac:dyDescent="0.25">
      <c r="A25">
        <v>24</v>
      </c>
      <c r="B25" t="s">
        <v>128</v>
      </c>
      <c r="C25" t="s">
        <v>129</v>
      </c>
      <c r="D25" t="s">
        <v>13</v>
      </c>
      <c r="E25" t="s">
        <v>130</v>
      </c>
      <c r="F25" t="s">
        <v>15</v>
      </c>
      <c r="G25" t="s">
        <v>25</v>
      </c>
      <c r="H25" t="s">
        <v>131</v>
      </c>
      <c r="I25" t="s">
        <v>132</v>
      </c>
      <c r="J25" t="s">
        <v>65</v>
      </c>
      <c r="K25" t="s">
        <v>127</v>
      </c>
    </row>
    <row r="26" spans="1:11" x14ac:dyDescent="0.25">
      <c r="A26">
        <v>25</v>
      </c>
      <c r="B26" t="s">
        <v>133</v>
      </c>
      <c r="C26" t="s">
        <v>134</v>
      </c>
      <c r="D26" t="s">
        <v>13</v>
      </c>
      <c r="E26" t="s">
        <v>135</v>
      </c>
      <c r="F26" t="s">
        <v>15</v>
      </c>
      <c r="G26" t="s">
        <v>136</v>
      </c>
      <c r="H26" t="s">
        <v>103</v>
      </c>
      <c r="I26" t="s">
        <v>137</v>
      </c>
      <c r="J26" t="s">
        <v>65</v>
      </c>
      <c r="K26" t="s">
        <v>127</v>
      </c>
    </row>
    <row r="27" spans="1:11" x14ac:dyDescent="0.25">
      <c r="A27">
        <v>26</v>
      </c>
      <c r="B27" t="s">
        <v>83</v>
      </c>
      <c r="C27" t="s">
        <v>84</v>
      </c>
      <c r="D27" t="s">
        <v>85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65</v>
      </c>
      <c r="K27" t="s">
        <v>127</v>
      </c>
    </row>
    <row r="28" spans="1:11" x14ac:dyDescent="0.25">
      <c r="A28">
        <v>27</v>
      </c>
      <c r="B28" t="s">
        <v>138</v>
      </c>
      <c r="C28" t="s">
        <v>139</v>
      </c>
      <c r="D28" t="s">
        <v>30</v>
      </c>
      <c r="E28" t="s">
        <v>57</v>
      </c>
      <c r="F28" t="s">
        <v>15</v>
      </c>
      <c r="G28" t="s">
        <v>32</v>
      </c>
      <c r="H28" t="s">
        <v>140</v>
      </c>
      <c r="I28" t="s">
        <v>141</v>
      </c>
      <c r="J28" t="s">
        <v>142</v>
      </c>
      <c r="K28" t="s">
        <v>110</v>
      </c>
    </row>
    <row r="29" spans="1:11" x14ac:dyDescent="0.25">
      <c r="A29">
        <v>28</v>
      </c>
      <c r="B29" t="s">
        <v>133</v>
      </c>
      <c r="C29" t="s">
        <v>134</v>
      </c>
      <c r="D29" t="s">
        <v>13</v>
      </c>
      <c r="E29" t="s">
        <v>135</v>
      </c>
      <c r="F29" t="s">
        <v>15</v>
      </c>
      <c r="G29" t="s">
        <v>136</v>
      </c>
      <c r="H29" t="s">
        <v>143</v>
      </c>
      <c r="I29" t="s">
        <v>144</v>
      </c>
      <c r="J29" t="s">
        <v>145</v>
      </c>
      <c r="K29" t="s">
        <v>146</v>
      </c>
    </row>
    <row r="30" spans="1:11" x14ac:dyDescent="0.25">
      <c r="A30">
        <v>29</v>
      </c>
      <c r="B30" t="s">
        <v>147</v>
      </c>
      <c r="C30" t="s">
        <v>148</v>
      </c>
      <c r="D30" t="s">
        <v>149</v>
      </c>
      <c r="E30" t="s">
        <v>150</v>
      </c>
      <c r="F30" t="s">
        <v>15</v>
      </c>
      <c r="G30" t="s">
        <v>136</v>
      </c>
      <c r="H30" t="s">
        <v>151</v>
      </c>
      <c r="I30" t="s">
        <v>152</v>
      </c>
      <c r="J30" t="s">
        <v>153</v>
      </c>
      <c r="K30" t="s">
        <v>154</v>
      </c>
    </row>
    <row r="31" spans="1:11" x14ac:dyDescent="0.25">
      <c r="A31">
        <v>30</v>
      </c>
      <c r="B31" t="s">
        <v>155</v>
      </c>
      <c r="C31" t="s">
        <v>156</v>
      </c>
      <c r="D31" t="s">
        <v>149</v>
      </c>
      <c r="E31" t="s">
        <v>150</v>
      </c>
      <c r="F31" t="s">
        <v>15</v>
      </c>
      <c r="G31" t="s">
        <v>136</v>
      </c>
      <c r="H31" t="s">
        <v>151</v>
      </c>
      <c r="I31" t="s">
        <v>152</v>
      </c>
      <c r="J31" t="s">
        <v>153</v>
      </c>
      <c r="K31" t="s">
        <v>154</v>
      </c>
    </row>
    <row r="32" spans="1:11" x14ac:dyDescent="0.25">
      <c r="A32">
        <v>31</v>
      </c>
      <c r="B32" t="s">
        <v>157</v>
      </c>
      <c r="C32" t="s">
        <v>158</v>
      </c>
      <c r="D32" t="s">
        <v>88</v>
      </c>
      <c r="E32" t="s">
        <v>103</v>
      </c>
      <c r="F32" t="s">
        <v>15</v>
      </c>
      <c r="G32" t="s">
        <v>125</v>
      </c>
      <c r="H32" t="s">
        <v>159</v>
      </c>
      <c r="I32" t="s">
        <v>160</v>
      </c>
      <c r="J32" t="s">
        <v>153</v>
      </c>
      <c r="K32" t="s">
        <v>154</v>
      </c>
    </row>
    <row r="33" spans="1:11" x14ac:dyDescent="0.25">
      <c r="A33">
        <v>32</v>
      </c>
      <c r="B33" t="s">
        <v>161</v>
      </c>
      <c r="C33" t="s">
        <v>162</v>
      </c>
      <c r="D33" t="s">
        <v>88</v>
      </c>
      <c r="E33" t="s">
        <v>103</v>
      </c>
      <c r="F33" t="s">
        <v>15</v>
      </c>
      <c r="G33" t="s">
        <v>125</v>
      </c>
      <c r="H33" t="s">
        <v>159</v>
      </c>
      <c r="I33" t="s">
        <v>160</v>
      </c>
      <c r="J33" t="s">
        <v>153</v>
      </c>
      <c r="K33" t="s">
        <v>154</v>
      </c>
    </row>
    <row r="34" spans="1:11" x14ac:dyDescent="0.25">
      <c r="A34">
        <v>33</v>
      </c>
      <c r="B34" t="s">
        <v>163</v>
      </c>
      <c r="C34" t="s">
        <v>164</v>
      </c>
      <c r="D34" t="s">
        <v>45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165</v>
      </c>
      <c r="K34" t="s">
        <v>166</v>
      </c>
    </row>
    <row r="35" spans="1:11" x14ac:dyDescent="0.25">
      <c r="A35">
        <v>34</v>
      </c>
      <c r="B35" t="s">
        <v>167</v>
      </c>
      <c r="C35" t="s">
        <v>168</v>
      </c>
      <c r="D35" t="s">
        <v>45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165</v>
      </c>
      <c r="K35" t="s">
        <v>166</v>
      </c>
    </row>
    <row r="36" spans="1:11" x14ac:dyDescent="0.25">
      <c r="A36">
        <v>35</v>
      </c>
      <c r="B36" t="s">
        <v>169</v>
      </c>
      <c r="C36" t="s">
        <v>170</v>
      </c>
      <c r="D36" t="s">
        <v>88</v>
      </c>
      <c r="E36" t="s">
        <v>171</v>
      </c>
      <c r="F36" t="s">
        <v>125</v>
      </c>
      <c r="G36" t="s">
        <v>32</v>
      </c>
      <c r="H36" t="s">
        <v>74</v>
      </c>
      <c r="I36" t="s">
        <v>172</v>
      </c>
      <c r="J36" t="s">
        <v>165</v>
      </c>
      <c r="K36" t="s">
        <v>166</v>
      </c>
    </row>
    <row r="37" spans="1:11" x14ac:dyDescent="0.25">
      <c r="A37">
        <v>36</v>
      </c>
      <c r="B37" t="s">
        <v>11</v>
      </c>
      <c r="C37" t="s">
        <v>12</v>
      </c>
      <c r="D37" t="s">
        <v>13</v>
      </c>
      <c r="E37" t="s">
        <v>18</v>
      </c>
      <c r="F37" t="s">
        <v>32</v>
      </c>
      <c r="G37" t="s">
        <v>70</v>
      </c>
      <c r="H37" t="s">
        <v>71</v>
      </c>
      <c r="I37" t="s">
        <v>77</v>
      </c>
      <c r="J37" t="s">
        <v>165</v>
      </c>
      <c r="K37" t="s">
        <v>166</v>
      </c>
    </row>
    <row r="38" spans="1:11" x14ac:dyDescent="0.25">
      <c r="A38">
        <v>37</v>
      </c>
      <c r="B38" t="s">
        <v>173</v>
      </c>
      <c r="C38" t="s">
        <v>174</v>
      </c>
      <c r="D38" t="s">
        <v>30</v>
      </c>
      <c r="E38" t="s">
        <v>15</v>
      </c>
      <c r="F38" t="s">
        <v>32</v>
      </c>
      <c r="G38" t="s">
        <v>15</v>
      </c>
      <c r="H38" t="s">
        <v>175</v>
      </c>
      <c r="I38" t="s">
        <v>175</v>
      </c>
      <c r="J38" t="s">
        <v>165</v>
      </c>
      <c r="K38" t="s">
        <v>176</v>
      </c>
    </row>
    <row r="39" spans="1:11" x14ac:dyDescent="0.25">
      <c r="A39">
        <v>38</v>
      </c>
      <c r="B39" t="s">
        <v>177</v>
      </c>
      <c r="C39" t="s">
        <v>178</v>
      </c>
      <c r="D39" t="s">
        <v>30</v>
      </c>
      <c r="E39" t="s">
        <v>179</v>
      </c>
      <c r="F39" t="s">
        <v>15</v>
      </c>
      <c r="G39" t="s">
        <v>180</v>
      </c>
      <c r="H39" t="s">
        <v>181</v>
      </c>
      <c r="I39" t="s">
        <v>182</v>
      </c>
      <c r="J39" t="s">
        <v>165</v>
      </c>
      <c r="K39" t="s">
        <v>176</v>
      </c>
    </row>
    <row r="40" spans="1:11" x14ac:dyDescent="0.25">
      <c r="A40">
        <v>39</v>
      </c>
      <c r="B40" t="s">
        <v>183</v>
      </c>
      <c r="C40" t="s">
        <v>184</v>
      </c>
      <c r="D40" t="s">
        <v>23</v>
      </c>
      <c r="E40" t="s">
        <v>185</v>
      </c>
      <c r="F40" t="s">
        <v>15</v>
      </c>
      <c r="G40" t="s">
        <v>102</v>
      </c>
      <c r="H40" t="s">
        <v>186</v>
      </c>
      <c r="I40" t="s">
        <v>187</v>
      </c>
      <c r="J40" t="s">
        <v>165</v>
      </c>
      <c r="K40" t="s">
        <v>188</v>
      </c>
    </row>
    <row r="41" spans="1:11" x14ac:dyDescent="0.25">
      <c r="A41">
        <v>40</v>
      </c>
      <c r="B41" t="s">
        <v>11</v>
      </c>
      <c r="C41" t="s">
        <v>12</v>
      </c>
      <c r="D41" t="s">
        <v>13</v>
      </c>
      <c r="E41" t="s">
        <v>18</v>
      </c>
      <c r="F41" t="s">
        <v>32</v>
      </c>
      <c r="G41" t="s">
        <v>70</v>
      </c>
      <c r="H41" t="s">
        <v>189</v>
      </c>
      <c r="I41" t="s">
        <v>190</v>
      </c>
      <c r="J41" t="s">
        <v>165</v>
      </c>
      <c r="K41" t="s">
        <v>191</v>
      </c>
    </row>
    <row r="42" spans="1:11" x14ac:dyDescent="0.25">
      <c r="A42">
        <v>41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  <c r="I42" t="s">
        <v>199</v>
      </c>
      <c r="J42" t="s">
        <v>165</v>
      </c>
      <c r="K42" t="s">
        <v>200</v>
      </c>
    </row>
    <row r="43" spans="1:11" x14ac:dyDescent="0.25">
      <c r="A43">
        <v>42</v>
      </c>
      <c r="B43" t="s">
        <v>201</v>
      </c>
      <c r="C43" t="s">
        <v>202</v>
      </c>
      <c r="D43" t="s">
        <v>23</v>
      </c>
      <c r="E43" t="s">
        <v>203</v>
      </c>
      <c r="F43" t="s">
        <v>90</v>
      </c>
      <c r="G43" t="s">
        <v>102</v>
      </c>
      <c r="H43" t="s">
        <v>204</v>
      </c>
      <c r="I43" t="s">
        <v>205</v>
      </c>
      <c r="J43" t="s">
        <v>165</v>
      </c>
      <c r="K43" t="s">
        <v>206</v>
      </c>
    </row>
    <row r="44" spans="1:11" x14ac:dyDescent="0.25">
      <c r="A44">
        <v>43</v>
      </c>
      <c r="B44" t="s">
        <v>207</v>
      </c>
      <c r="C44" t="s">
        <v>208</v>
      </c>
      <c r="D44" t="s">
        <v>23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165</v>
      </c>
      <c r="K44" t="s">
        <v>206</v>
      </c>
    </row>
    <row r="45" spans="1:11" x14ac:dyDescent="0.25">
      <c r="A45">
        <v>44</v>
      </c>
      <c r="B45" t="s">
        <v>209</v>
      </c>
      <c r="C45" t="s">
        <v>210</v>
      </c>
      <c r="D45" t="s">
        <v>149</v>
      </c>
      <c r="E45" t="s">
        <v>211</v>
      </c>
      <c r="F45" t="s">
        <v>15</v>
      </c>
      <c r="G45" t="s">
        <v>47</v>
      </c>
      <c r="H45" t="s">
        <v>211</v>
      </c>
      <c r="I45" t="s">
        <v>15</v>
      </c>
      <c r="J45" t="s">
        <v>165</v>
      </c>
      <c r="K45" t="s">
        <v>212</v>
      </c>
    </row>
    <row r="46" spans="1:11" x14ac:dyDescent="0.25">
      <c r="A46">
        <v>45</v>
      </c>
      <c r="B46" t="s">
        <v>213</v>
      </c>
      <c r="C46" t="s">
        <v>214</v>
      </c>
      <c r="D46" t="s">
        <v>45</v>
      </c>
      <c r="E46" t="s">
        <v>215</v>
      </c>
      <c r="F46" t="s">
        <v>125</v>
      </c>
      <c r="G46" t="s">
        <v>63</v>
      </c>
      <c r="H46" t="s">
        <v>216</v>
      </c>
      <c r="I46" t="s">
        <v>217</v>
      </c>
      <c r="J46" t="s">
        <v>165</v>
      </c>
      <c r="K46" t="s">
        <v>212</v>
      </c>
    </row>
    <row r="47" spans="1:11" x14ac:dyDescent="0.25">
      <c r="A47">
        <v>46</v>
      </c>
      <c r="B47" t="s">
        <v>218</v>
      </c>
      <c r="C47" t="s">
        <v>219</v>
      </c>
      <c r="D47" t="s">
        <v>220</v>
      </c>
      <c r="E47" t="s">
        <v>221</v>
      </c>
      <c r="F47" t="s">
        <v>15</v>
      </c>
      <c r="G47" t="s">
        <v>90</v>
      </c>
      <c r="H47" t="s">
        <v>222</v>
      </c>
      <c r="I47" t="s">
        <v>223</v>
      </c>
      <c r="J47" t="s">
        <v>165</v>
      </c>
      <c r="K47" t="s">
        <v>212</v>
      </c>
    </row>
    <row r="48" spans="1:11" x14ac:dyDescent="0.25">
      <c r="A48">
        <v>47</v>
      </c>
      <c r="B48" t="s">
        <v>224</v>
      </c>
      <c r="C48" t="s">
        <v>225</v>
      </c>
      <c r="D48" t="s">
        <v>13</v>
      </c>
      <c r="E48" t="s">
        <v>226</v>
      </c>
      <c r="F48" t="s">
        <v>15</v>
      </c>
      <c r="G48" t="s">
        <v>58</v>
      </c>
      <c r="H48" t="s">
        <v>227</v>
      </c>
      <c r="I48" t="s">
        <v>228</v>
      </c>
      <c r="J48" t="s">
        <v>165</v>
      </c>
      <c r="K48" t="s">
        <v>212</v>
      </c>
    </row>
    <row r="49" spans="1:11" x14ac:dyDescent="0.25">
      <c r="A49">
        <v>48</v>
      </c>
      <c r="B49" t="s">
        <v>111</v>
      </c>
      <c r="C49" t="s">
        <v>112</v>
      </c>
      <c r="D49" t="s">
        <v>13</v>
      </c>
      <c r="E49" t="s">
        <v>113</v>
      </c>
      <c r="F49" t="s">
        <v>15</v>
      </c>
      <c r="G49" t="s">
        <v>63</v>
      </c>
      <c r="H49" t="s">
        <v>114</v>
      </c>
      <c r="I49" t="s">
        <v>115</v>
      </c>
      <c r="J49" t="s">
        <v>165</v>
      </c>
      <c r="K49" t="s">
        <v>212</v>
      </c>
    </row>
    <row r="50" spans="1:11" x14ac:dyDescent="0.25">
      <c r="A50">
        <v>49</v>
      </c>
      <c r="B50" t="s">
        <v>229</v>
      </c>
      <c r="C50" t="s">
        <v>230</v>
      </c>
      <c r="D50" t="s">
        <v>23</v>
      </c>
      <c r="E50" t="s">
        <v>231</v>
      </c>
      <c r="F50" t="s">
        <v>15</v>
      </c>
      <c r="G50" t="s">
        <v>90</v>
      </c>
      <c r="H50" t="s">
        <v>232</v>
      </c>
      <c r="I50" t="s">
        <v>233</v>
      </c>
      <c r="J50" t="s">
        <v>165</v>
      </c>
      <c r="K50" t="s">
        <v>212</v>
      </c>
    </row>
    <row r="51" spans="1:11" x14ac:dyDescent="0.25">
      <c r="A51">
        <v>50</v>
      </c>
      <c r="B51" t="s">
        <v>234</v>
      </c>
      <c r="C51" t="s">
        <v>235</v>
      </c>
      <c r="D51" t="s">
        <v>88</v>
      </c>
      <c r="E51" t="s">
        <v>236</v>
      </c>
      <c r="F51" t="s">
        <v>47</v>
      </c>
      <c r="G51" t="s">
        <v>196</v>
      </c>
      <c r="H51" t="s">
        <v>237</v>
      </c>
      <c r="I51" t="s">
        <v>238</v>
      </c>
      <c r="J51" t="s">
        <v>165</v>
      </c>
      <c r="K51" t="s">
        <v>239</v>
      </c>
    </row>
    <row r="52" spans="1:11" x14ac:dyDescent="0.25">
      <c r="A52">
        <v>51</v>
      </c>
      <c r="B52" t="s">
        <v>240</v>
      </c>
      <c r="C52" t="s">
        <v>241</v>
      </c>
      <c r="D52" t="s">
        <v>88</v>
      </c>
      <c r="E52" t="s">
        <v>242</v>
      </c>
      <c r="F52" t="s">
        <v>15</v>
      </c>
      <c r="G52" t="s">
        <v>102</v>
      </c>
      <c r="H52" t="s">
        <v>243</v>
      </c>
      <c r="I52" t="s">
        <v>244</v>
      </c>
      <c r="J52" t="s">
        <v>165</v>
      </c>
      <c r="K52" t="s">
        <v>239</v>
      </c>
    </row>
    <row r="53" spans="1:11" x14ac:dyDescent="0.25">
      <c r="A53">
        <v>52</v>
      </c>
      <c r="B53" t="s">
        <v>245</v>
      </c>
      <c r="C53" t="s">
        <v>246</v>
      </c>
      <c r="D53" t="s">
        <v>88</v>
      </c>
      <c r="E53" t="s">
        <v>15</v>
      </c>
      <c r="F53" t="s">
        <v>125</v>
      </c>
      <c r="G53" t="s">
        <v>15</v>
      </c>
      <c r="H53" t="s">
        <v>15</v>
      </c>
      <c r="I53" t="s">
        <v>15</v>
      </c>
      <c r="J53" t="s">
        <v>165</v>
      </c>
      <c r="K53" t="s">
        <v>247</v>
      </c>
    </row>
    <row r="54" spans="1:11" x14ac:dyDescent="0.25">
      <c r="A54">
        <v>53</v>
      </c>
      <c r="B54" t="s">
        <v>248</v>
      </c>
      <c r="C54" t="s">
        <v>249</v>
      </c>
      <c r="D54" t="s">
        <v>250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165</v>
      </c>
      <c r="K54" t="s">
        <v>247</v>
      </c>
    </row>
    <row r="55" spans="1:11" x14ac:dyDescent="0.25">
      <c r="A55">
        <v>54</v>
      </c>
      <c r="B55" t="s">
        <v>251</v>
      </c>
      <c r="C55" t="s">
        <v>252</v>
      </c>
      <c r="D55" t="s">
        <v>88</v>
      </c>
      <c r="E55" t="s">
        <v>253</v>
      </c>
      <c r="F55" t="s">
        <v>15</v>
      </c>
      <c r="G55" t="s">
        <v>125</v>
      </c>
      <c r="H55" t="s">
        <v>254</v>
      </c>
      <c r="I55" t="s">
        <v>255</v>
      </c>
      <c r="J55" t="s">
        <v>165</v>
      </c>
      <c r="K55" t="s">
        <v>247</v>
      </c>
    </row>
    <row r="56" spans="1:11" x14ac:dyDescent="0.25">
      <c r="A56">
        <v>55</v>
      </c>
      <c r="B56" t="s">
        <v>256</v>
      </c>
      <c r="C56" t="s">
        <v>257</v>
      </c>
      <c r="D56" t="s">
        <v>88</v>
      </c>
      <c r="E56" t="s">
        <v>114</v>
      </c>
      <c r="F56" t="s">
        <v>125</v>
      </c>
      <c r="G56" t="s">
        <v>125</v>
      </c>
      <c r="H56" t="s">
        <v>254</v>
      </c>
      <c r="I56" t="s">
        <v>258</v>
      </c>
      <c r="J56" t="s">
        <v>165</v>
      </c>
      <c r="K56" t="s">
        <v>247</v>
      </c>
    </row>
    <row r="57" spans="1:11" x14ac:dyDescent="0.25">
      <c r="A57">
        <v>56</v>
      </c>
      <c r="B57" t="s">
        <v>259</v>
      </c>
      <c r="C57" t="s">
        <v>260</v>
      </c>
      <c r="D57" t="s">
        <v>88</v>
      </c>
      <c r="E57" t="s">
        <v>114</v>
      </c>
      <c r="F57" t="s">
        <v>15</v>
      </c>
      <c r="G57" t="s">
        <v>125</v>
      </c>
      <c r="H57" t="s">
        <v>254</v>
      </c>
      <c r="I57" t="s">
        <v>258</v>
      </c>
      <c r="J57" t="s">
        <v>165</v>
      </c>
      <c r="K57" t="s">
        <v>247</v>
      </c>
    </row>
    <row r="58" spans="1:11" x14ac:dyDescent="0.25">
      <c r="A58">
        <v>57</v>
      </c>
      <c r="B58" t="s">
        <v>261</v>
      </c>
      <c r="C58" t="s">
        <v>262</v>
      </c>
      <c r="D58" t="s">
        <v>88</v>
      </c>
      <c r="E58" t="s">
        <v>114</v>
      </c>
      <c r="F58" t="s">
        <v>15</v>
      </c>
      <c r="G58" t="s">
        <v>125</v>
      </c>
      <c r="H58" t="s">
        <v>254</v>
      </c>
      <c r="I58" t="s">
        <v>258</v>
      </c>
      <c r="J58" t="s">
        <v>165</v>
      </c>
      <c r="K58" t="s">
        <v>247</v>
      </c>
    </row>
    <row r="59" spans="1:11" x14ac:dyDescent="0.25">
      <c r="A59">
        <v>58</v>
      </c>
      <c r="B59" t="s">
        <v>55</v>
      </c>
      <c r="C59" t="s">
        <v>56</v>
      </c>
      <c r="D59" t="s">
        <v>13</v>
      </c>
      <c r="E59" t="s">
        <v>263</v>
      </c>
      <c r="F59" t="s">
        <v>15</v>
      </c>
      <c r="G59" t="s">
        <v>47</v>
      </c>
      <c r="H59" t="s">
        <v>264</v>
      </c>
      <c r="I59" t="s">
        <v>205</v>
      </c>
      <c r="J59" t="s">
        <v>165</v>
      </c>
      <c r="K59" t="s">
        <v>247</v>
      </c>
    </row>
    <row r="60" spans="1:11" x14ac:dyDescent="0.25">
      <c r="A60">
        <v>59</v>
      </c>
      <c r="B60" t="s">
        <v>128</v>
      </c>
      <c r="C60" t="s">
        <v>129</v>
      </c>
      <c r="D60" t="s">
        <v>13</v>
      </c>
      <c r="E60" t="s">
        <v>265</v>
      </c>
      <c r="F60" t="s">
        <v>15</v>
      </c>
      <c r="G60" t="s">
        <v>136</v>
      </c>
      <c r="H60" t="s">
        <v>266</v>
      </c>
      <c r="I60" t="s">
        <v>267</v>
      </c>
      <c r="J60" t="s">
        <v>165</v>
      </c>
      <c r="K60" t="s">
        <v>268</v>
      </c>
    </row>
    <row r="61" spans="1:11" x14ac:dyDescent="0.25">
      <c r="A61">
        <v>60</v>
      </c>
      <c r="B61" t="s">
        <v>269</v>
      </c>
      <c r="C61" t="s">
        <v>270</v>
      </c>
      <c r="D61" t="s">
        <v>13</v>
      </c>
      <c r="E61" t="s">
        <v>232</v>
      </c>
      <c r="F61" t="s">
        <v>15</v>
      </c>
      <c r="G61" t="s">
        <v>59</v>
      </c>
      <c r="H61" t="s">
        <v>271</v>
      </c>
      <c r="I61" t="s">
        <v>272</v>
      </c>
      <c r="J61" t="s">
        <v>165</v>
      </c>
      <c r="K61" t="s">
        <v>268</v>
      </c>
    </row>
    <row r="62" spans="1:11" x14ac:dyDescent="0.25">
      <c r="A62">
        <v>61</v>
      </c>
      <c r="B62" t="s">
        <v>273</v>
      </c>
      <c r="C62" t="s">
        <v>274</v>
      </c>
      <c r="D62" t="s">
        <v>13</v>
      </c>
      <c r="E62" t="s">
        <v>275</v>
      </c>
      <c r="F62" t="s">
        <v>15</v>
      </c>
      <c r="G62" t="s">
        <v>276</v>
      </c>
      <c r="H62" t="s">
        <v>27</v>
      </c>
      <c r="I62" t="s">
        <v>152</v>
      </c>
      <c r="J62" t="s">
        <v>165</v>
      </c>
      <c r="K62" t="s">
        <v>268</v>
      </c>
    </row>
    <row r="63" spans="1:11" x14ac:dyDescent="0.25">
      <c r="A63">
        <v>62</v>
      </c>
      <c r="B63" t="s">
        <v>207</v>
      </c>
      <c r="C63" t="s">
        <v>208</v>
      </c>
      <c r="D63" t="s">
        <v>23</v>
      </c>
      <c r="E63" t="s">
        <v>203</v>
      </c>
      <c r="F63" t="s">
        <v>15</v>
      </c>
      <c r="G63" t="s">
        <v>47</v>
      </c>
      <c r="H63" t="s">
        <v>264</v>
      </c>
      <c r="I63" t="s">
        <v>277</v>
      </c>
      <c r="J63" t="s">
        <v>165</v>
      </c>
      <c r="K63" t="s">
        <v>278</v>
      </c>
    </row>
    <row r="64" spans="1:11" x14ac:dyDescent="0.25">
      <c r="A64">
        <v>63</v>
      </c>
      <c r="B64" t="s">
        <v>147</v>
      </c>
      <c r="C64" t="s">
        <v>148</v>
      </c>
      <c r="D64" t="s">
        <v>149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279</v>
      </c>
      <c r="K64" t="s">
        <v>280</v>
      </c>
    </row>
    <row r="65" spans="1:11" x14ac:dyDescent="0.25">
      <c r="A65">
        <v>64</v>
      </c>
      <c r="B65" t="s">
        <v>155</v>
      </c>
      <c r="C65" t="s">
        <v>156</v>
      </c>
      <c r="D65" t="s">
        <v>149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279</v>
      </c>
      <c r="K65" t="s">
        <v>280</v>
      </c>
    </row>
    <row r="66" spans="1:11" x14ac:dyDescent="0.25">
      <c r="A66">
        <v>65</v>
      </c>
      <c r="B66" t="s">
        <v>281</v>
      </c>
      <c r="C66" t="s">
        <v>282</v>
      </c>
      <c r="D66" t="s">
        <v>85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279</v>
      </c>
      <c r="K66" t="s">
        <v>280</v>
      </c>
    </row>
    <row r="67" spans="1:11" x14ac:dyDescent="0.25">
      <c r="A67">
        <v>66</v>
      </c>
      <c r="B67" t="s">
        <v>55</v>
      </c>
      <c r="C67" t="s">
        <v>56</v>
      </c>
      <c r="D67" t="s">
        <v>13</v>
      </c>
      <c r="E67" t="s">
        <v>57</v>
      </c>
      <c r="F67" t="s">
        <v>15</v>
      </c>
      <c r="G67" t="s">
        <v>59</v>
      </c>
      <c r="H67" t="s">
        <v>283</v>
      </c>
      <c r="I67" t="s">
        <v>284</v>
      </c>
      <c r="J67" t="s">
        <v>279</v>
      </c>
      <c r="K67" t="s">
        <v>285</v>
      </c>
    </row>
    <row r="68" spans="1:11" x14ac:dyDescent="0.25">
      <c r="A68">
        <v>67</v>
      </c>
      <c r="B68" t="s">
        <v>281</v>
      </c>
      <c r="C68" t="s">
        <v>282</v>
      </c>
      <c r="D68" t="s">
        <v>85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279</v>
      </c>
      <c r="K68" t="s">
        <v>286</v>
      </c>
    </row>
    <row r="69" spans="1:11" x14ac:dyDescent="0.25">
      <c r="A69">
        <v>68</v>
      </c>
      <c r="B69" t="s">
        <v>287</v>
      </c>
      <c r="C69" t="s">
        <v>288</v>
      </c>
      <c r="D69" t="s">
        <v>88</v>
      </c>
      <c r="E69" t="s">
        <v>289</v>
      </c>
      <c r="F69" t="s">
        <v>15</v>
      </c>
      <c r="G69" t="s">
        <v>290</v>
      </c>
      <c r="H69" t="s">
        <v>205</v>
      </c>
      <c r="I69" t="s">
        <v>291</v>
      </c>
      <c r="J69" t="s">
        <v>279</v>
      </c>
      <c r="K69" t="s">
        <v>286</v>
      </c>
    </row>
    <row r="70" spans="1:11" x14ac:dyDescent="0.25">
      <c r="A70">
        <v>69</v>
      </c>
      <c r="B70" t="s">
        <v>292</v>
      </c>
      <c r="C70" t="s">
        <v>293</v>
      </c>
      <c r="D70" t="s">
        <v>88</v>
      </c>
      <c r="E70" t="s">
        <v>294</v>
      </c>
      <c r="F70" t="s">
        <v>15</v>
      </c>
      <c r="G70" t="s">
        <v>32</v>
      </c>
      <c r="H70" t="s">
        <v>295</v>
      </c>
      <c r="I70" t="s">
        <v>296</v>
      </c>
      <c r="J70" t="s">
        <v>279</v>
      </c>
      <c r="K70" t="s">
        <v>286</v>
      </c>
    </row>
    <row r="71" spans="1:11" x14ac:dyDescent="0.25">
      <c r="A71">
        <v>70</v>
      </c>
      <c r="B71" t="s">
        <v>297</v>
      </c>
      <c r="C71" t="s">
        <v>298</v>
      </c>
      <c r="D71" t="s">
        <v>88</v>
      </c>
      <c r="E71" t="s">
        <v>289</v>
      </c>
      <c r="F71" t="s">
        <v>15</v>
      </c>
      <c r="G71" t="s">
        <v>290</v>
      </c>
      <c r="H71" t="s">
        <v>205</v>
      </c>
      <c r="I71" t="s">
        <v>291</v>
      </c>
      <c r="J71" t="s">
        <v>279</v>
      </c>
      <c r="K71" t="s">
        <v>286</v>
      </c>
    </row>
    <row r="72" spans="1:11" x14ac:dyDescent="0.25">
      <c r="A72">
        <v>71</v>
      </c>
      <c r="B72" t="s">
        <v>86</v>
      </c>
      <c r="C72" t="s">
        <v>87</v>
      </c>
      <c r="D72" t="s">
        <v>88</v>
      </c>
      <c r="E72" t="s">
        <v>299</v>
      </c>
      <c r="F72" t="s">
        <v>125</v>
      </c>
      <c r="G72" t="s">
        <v>47</v>
      </c>
      <c r="H72" t="s">
        <v>57</v>
      </c>
      <c r="I72" t="s">
        <v>300</v>
      </c>
      <c r="J72" t="s">
        <v>301</v>
      </c>
      <c r="K72" t="s">
        <v>302</v>
      </c>
    </row>
    <row r="73" spans="1:11" x14ac:dyDescent="0.25">
      <c r="A73">
        <v>72</v>
      </c>
      <c r="B73" t="s">
        <v>80</v>
      </c>
      <c r="C73" t="s">
        <v>81</v>
      </c>
      <c r="D73" t="s">
        <v>13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301</v>
      </c>
      <c r="K73" t="s">
        <v>303</v>
      </c>
    </row>
    <row r="74" spans="1:11" x14ac:dyDescent="0.25">
      <c r="A74">
        <v>73</v>
      </c>
      <c r="B74" t="s">
        <v>304</v>
      </c>
      <c r="C74" t="s">
        <v>305</v>
      </c>
      <c r="D74" t="s">
        <v>13</v>
      </c>
      <c r="E74" t="s">
        <v>306</v>
      </c>
      <c r="F74" t="s">
        <v>15</v>
      </c>
      <c r="G74" t="s">
        <v>32</v>
      </c>
      <c r="H74" t="s">
        <v>307</v>
      </c>
      <c r="I74" t="s">
        <v>308</v>
      </c>
      <c r="J74" t="s">
        <v>301</v>
      </c>
      <c r="K74" t="s">
        <v>303</v>
      </c>
    </row>
    <row r="75" spans="1:11" x14ac:dyDescent="0.25">
      <c r="A75">
        <v>74</v>
      </c>
      <c r="B75" t="s">
        <v>309</v>
      </c>
      <c r="C75" t="s">
        <v>310</v>
      </c>
      <c r="D75" t="s">
        <v>88</v>
      </c>
      <c r="E75" t="s">
        <v>311</v>
      </c>
      <c r="F75" t="s">
        <v>125</v>
      </c>
      <c r="G75" t="s">
        <v>47</v>
      </c>
      <c r="H75" t="s">
        <v>312</v>
      </c>
      <c r="I75" t="s">
        <v>313</v>
      </c>
      <c r="J75" t="s">
        <v>301</v>
      </c>
      <c r="K75" t="s">
        <v>303</v>
      </c>
    </row>
    <row r="76" spans="1:11" x14ac:dyDescent="0.25">
      <c r="A76">
        <v>75</v>
      </c>
      <c r="B76" t="s">
        <v>314</v>
      </c>
      <c r="C76" t="s">
        <v>315</v>
      </c>
      <c r="D76" t="s">
        <v>13</v>
      </c>
      <c r="E76" t="s">
        <v>264</v>
      </c>
      <c r="F76" t="s">
        <v>15</v>
      </c>
      <c r="G76" t="s">
        <v>196</v>
      </c>
      <c r="H76" t="s">
        <v>172</v>
      </c>
      <c r="I76" t="s">
        <v>72</v>
      </c>
      <c r="J76" t="s">
        <v>301</v>
      </c>
      <c r="K76" t="s">
        <v>316</v>
      </c>
    </row>
    <row r="77" spans="1:11" x14ac:dyDescent="0.25">
      <c r="A77">
        <v>76</v>
      </c>
      <c r="B77" t="s">
        <v>317</v>
      </c>
      <c r="C77" t="s">
        <v>318</v>
      </c>
      <c r="D77" t="s">
        <v>88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301</v>
      </c>
      <c r="K77" t="s">
        <v>319</v>
      </c>
    </row>
    <row r="78" spans="1:11" x14ac:dyDescent="0.25">
      <c r="A78">
        <v>77</v>
      </c>
      <c r="B78" t="s">
        <v>320</v>
      </c>
      <c r="C78" t="s">
        <v>321</v>
      </c>
      <c r="D78" t="s">
        <v>88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301</v>
      </c>
      <c r="K78" t="s">
        <v>319</v>
      </c>
    </row>
    <row r="79" spans="1:11" x14ac:dyDescent="0.25">
      <c r="A79">
        <v>78</v>
      </c>
      <c r="B79" t="s">
        <v>322</v>
      </c>
      <c r="C79" t="s">
        <v>323</v>
      </c>
      <c r="D79" t="s">
        <v>88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301</v>
      </c>
      <c r="K79" t="s">
        <v>319</v>
      </c>
    </row>
    <row r="80" spans="1:11" x14ac:dyDescent="0.25">
      <c r="A80">
        <v>79</v>
      </c>
      <c r="B80" t="s">
        <v>324</v>
      </c>
      <c r="C80" t="s">
        <v>325</v>
      </c>
      <c r="D80" t="s">
        <v>220</v>
      </c>
      <c r="E80" t="s">
        <v>326</v>
      </c>
      <c r="F80" t="s">
        <v>15</v>
      </c>
      <c r="G80" t="s">
        <v>125</v>
      </c>
      <c r="H80" t="s">
        <v>327</v>
      </c>
      <c r="I80" t="s">
        <v>328</v>
      </c>
      <c r="J80" t="s">
        <v>301</v>
      </c>
      <c r="K80" t="s">
        <v>329</v>
      </c>
    </row>
    <row r="81" spans="1:11" x14ac:dyDescent="0.25">
      <c r="A81">
        <v>80</v>
      </c>
      <c r="B81" t="s">
        <v>330</v>
      </c>
      <c r="C81" t="s">
        <v>331</v>
      </c>
      <c r="D81" t="s">
        <v>149</v>
      </c>
      <c r="E81" t="s">
        <v>332</v>
      </c>
      <c r="F81" t="s">
        <v>15</v>
      </c>
      <c r="G81" t="s">
        <v>59</v>
      </c>
      <c r="H81" t="s">
        <v>271</v>
      </c>
      <c r="I81" t="s">
        <v>333</v>
      </c>
      <c r="J81" t="s">
        <v>301</v>
      </c>
      <c r="K81" t="s">
        <v>329</v>
      </c>
    </row>
    <row r="82" spans="1:11" x14ac:dyDescent="0.25">
      <c r="A82">
        <v>81</v>
      </c>
      <c r="B82" t="s">
        <v>147</v>
      </c>
      <c r="C82" t="s">
        <v>148</v>
      </c>
      <c r="D82" t="s">
        <v>149</v>
      </c>
      <c r="E82" t="s">
        <v>150</v>
      </c>
      <c r="F82" t="s">
        <v>15</v>
      </c>
      <c r="G82" t="s">
        <v>136</v>
      </c>
      <c r="H82" t="s">
        <v>151</v>
      </c>
      <c r="I82" t="s">
        <v>152</v>
      </c>
      <c r="J82" t="s">
        <v>301</v>
      </c>
      <c r="K82" t="s">
        <v>329</v>
      </c>
    </row>
    <row r="83" spans="1:11" x14ac:dyDescent="0.25">
      <c r="A83">
        <v>82</v>
      </c>
      <c r="B83" t="s">
        <v>155</v>
      </c>
      <c r="C83" t="s">
        <v>156</v>
      </c>
      <c r="D83" t="s">
        <v>149</v>
      </c>
      <c r="E83" t="s">
        <v>150</v>
      </c>
      <c r="F83" t="s">
        <v>15</v>
      </c>
      <c r="G83" t="s">
        <v>136</v>
      </c>
      <c r="H83" t="s">
        <v>151</v>
      </c>
      <c r="I83" t="s">
        <v>152</v>
      </c>
      <c r="J83" t="s">
        <v>301</v>
      </c>
      <c r="K83" t="s">
        <v>329</v>
      </c>
    </row>
    <row r="84" spans="1:11" x14ac:dyDescent="0.25">
      <c r="A84">
        <v>83</v>
      </c>
      <c r="B84" t="s">
        <v>334</v>
      </c>
      <c r="C84" t="s">
        <v>335</v>
      </c>
      <c r="D84" t="s">
        <v>336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301</v>
      </c>
      <c r="K84" t="s">
        <v>329</v>
      </c>
    </row>
    <row r="85" spans="1:11" x14ac:dyDescent="0.25">
      <c r="A85">
        <v>84</v>
      </c>
      <c r="B85" t="s">
        <v>337</v>
      </c>
      <c r="C85" t="s">
        <v>338</v>
      </c>
      <c r="D85" t="s">
        <v>339</v>
      </c>
      <c r="E85" t="s">
        <v>340</v>
      </c>
      <c r="F85" t="s">
        <v>15</v>
      </c>
      <c r="G85" t="s">
        <v>196</v>
      </c>
      <c r="H85" t="s">
        <v>341</v>
      </c>
      <c r="I85" t="s">
        <v>49</v>
      </c>
      <c r="J85" t="s">
        <v>301</v>
      </c>
      <c r="K85" t="s">
        <v>329</v>
      </c>
    </row>
    <row r="86" spans="1:11" x14ac:dyDescent="0.25">
      <c r="A86">
        <v>85</v>
      </c>
      <c r="B86" t="s">
        <v>342</v>
      </c>
      <c r="C86" t="s">
        <v>343</v>
      </c>
      <c r="D86" t="s">
        <v>85</v>
      </c>
      <c r="E86" t="s">
        <v>344</v>
      </c>
      <c r="F86" t="s">
        <v>15</v>
      </c>
      <c r="G86" t="s">
        <v>47</v>
      </c>
      <c r="H86" t="s">
        <v>345</v>
      </c>
      <c r="I86" t="s">
        <v>346</v>
      </c>
      <c r="J86" t="s">
        <v>301</v>
      </c>
      <c r="K86" t="s">
        <v>347</v>
      </c>
    </row>
    <row r="87" spans="1:11" x14ac:dyDescent="0.25">
      <c r="A87">
        <v>86</v>
      </c>
      <c r="B87" t="s">
        <v>287</v>
      </c>
      <c r="C87" t="s">
        <v>288</v>
      </c>
      <c r="D87" t="s">
        <v>88</v>
      </c>
      <c r="E87" t="s">
        <v>348</v>
      </c>
      <c r="F87" t="s">
        <v>15</v>
      </c>
      <c r="G87" t="s">
        <v>58</v>
      </c>
      <c r="H87" t="s">
        <v>349</v>
      </c>
      <c r="I87" t="s">
        <v>350</v>
      </c>
      <c r="J87" t="s">
        <v>301</v>
      </c>
      <c r="K87" t="s">
        <v>347</v>
      </c>
    </row>
    <row r="88" spans="1:11" x14ac:dyDescent="0.25">
      <c r="A88">
        <v>87</v>
      </c>
      <c r="B88" t="s">
        <v>292</v>
      </c>
      <c r="C88" t="s">
        <v>293</v>
      </c>
      <c r="D88" t="s">
        <v>88</v>
      </c>
      <c r="E88" t="s">
        <v>348</v>
      </c>
      <c r="F88" t="s">
        <v>15</v>
      </c>
      <c r="G88" t="s">
        <v>58</v>
      </c>
      <c r="H88" t="s">
        <v>349</v>
      </c>
      <c r="I88" t="s">
        <v>350</v>
      </c>
      <c r="J88" t="s">
        <v>301</v>
      </c>
      <c r="K88" t="s">
        <v>347</v>
      </c>
    </row>
    <row r="89" spans="1:11" x14ac:dyDescent="0.25">
      <c r="A89">
        <v>88</v>
      </c>
      <c r="B89" t="s">
        <v>297</v>
      </c>
      <c r="C89" t="s">
        <v>298</v>
      </c>
      <c r="D89" t="s">
        <v>88</v>
      </c>
      <c r="E89" t="s">
        <v>348</v>
      </c>
      <c r="F89" t="s">
        <v>15</v>
      </c>
      <c r="G89" t="s">
        <v>58</v>
      </c>
      <c r="H89" t="s">
        <v>349</v>
      </c>
      <c r="I89" t="s">
        <v>350</v>
      </c>
      <c r="J89" t="s">
        <v>301</v>
      </c>
      <c r="K89" t="s">
        <v>347</v>
      </c>
    </row>
    <row r="90" spans="1:11" x14ac:dyDescent="0.25">
      <c r="A90">
        <v>89</v>
      </c>
      <c r="B90" t="s">
        <v>337</v>
      </c>
      <c r="C90" t="s">
        <v>338</v>
      </c>
      <c r="D90" t="s">
        <v>339</v>
      </c>
      <c r="E90" t="s">
        <v>351</v>
      </c>
      <c r="F90" t="s">
        <v>15</v>
      </c>
      <c r="G90" t="s">
        <v>58</v>
      </c>
      <c r="H90" t="s">
        <v>352</v>
      </c>
      <c r="I90" t="s">
        <v>353</v>
      </c>
      <c r="J90" t="s">
        <v>301</v>
      </c>
      <c r="K90" t="s">
        <v>347</v>
      </c>
    </row>
    <row r="91" spans="1:11" x14ac:dyDescent="0.25">
      <c r="A91">
        <v>90</v>
      </c>
      <c r="B91" t="s">
        <v>354</v>
      </c>
      <c r="C91" t="s">
        <v>355</v>
      </c>
      <c r="D91" t="s">
        <v>13</v>
      </c>
      <c r="E91" t="s">
        <v>205</v>
      </c>
      <c r="F91" t="s">
        <v>125</v>
      </c>
      <c r="G91" t="s">
        <v>102</v>
      </c>
      <c r="H91" t="s">
        <v>109</v>
      </c>
      <c r="I91" t="s">
        <v>152</v>
      </c>
      <c r="J91" t="s">
        <v>301</v>
      </c>
      <c r="K91" t="s">
        <v>356</v>
      </c>
    </row>
    <row r="92" spans="1:11" x14ac:dyDescent="0.25">
      <c r="A92">
        <v>91</v>
      </c>
      <c r="B92" t="s">
        <v>357</v>
      </c>
      <c r="C92" t="s">
        <v>358</v>
      </c>
      <c r="D92" t="s">
        <v>13</v>
      </c>
      <c r="E92" t="s">
        <v>359</v>
      </c>
      <c r="F92" t="s">
        <v>90</v>
      </c>
      <c r="G92" t="s">
        <v>180</v>
      </c>
      <c r="H92" t="s">
        <v>360</v>
      </c>
      <c r="I92" t="s">
        <v>361</v>
      </c>
      <c r="J92" t="s">
        <v>301</v>
      </c>
      <c r="K92" t="s">
        <v>356</v>
      </c>
    </row>
    <row r="93" spans="1:11" x14ac:dyDescent="0.25">
      <c r="A93">
        <v>92</v>
      </c>
      <c r="B93" t="s">
        <v>362</v>
      </c>
      <c r="C93" t="s">
        <v>363</v>
      </c>
      <c r="D93" t="s">
        <v>23</v>
      </c>
      <c r="E93" t="s">
        <v>364</v>
      </c>
      <c r="F93" t="s">
        <v>125</v>
      </c>
      <c r="G93" t="s">
        <v>58</v>
      </c>
      <c r="H93" t="s">
        <v>352</v>
      </c>
      <c r="I93" t="s">
        <v>365</v>
      </c>
      <c r="J93" t="s">
        <v>301</v>
      </c>
      <c r="K93" t="s">
        <v>356</v>
      </c>
    </row>
    <row r="94" spans="1:11" x14ac:dyDescent="0.25">
      <c r="A94">
        <v>93</v>
      </c>
      <c r="B94" t="s">
        <v>342</v>
      </c>
      <c r="C94" t="s">
        <v>343</v>
      </c>
      <c r="D94" t="s">
        <v>85</v>
      </c>
      <c r="E94" t="s">
        <v>97</v>
      </c>
      <c r="F94" t="s">
        <v>15</v>
      </c>
      <c r="G94" t="s">
        <v>90</v>
      </c>
      <c r="H94" t="s">
        <v>295</v>
      </c>
      <c r="I94" t="s">
        <v>160</v>
      </c>
      <c r="J94" t="s">
        <v>301</v>
      </c>
      <c r="K94" t="s">
        <v>366</v>
      </c>
    </row>
    <row r="95" spans="1:11" x14ac:dyDescent="0.25">
      <c r="A95">
        <v>94</v>
      </c>
      <c r="B95" t="s">
        <v>147</v>
      </c>
      <c r="C95" t="s">
        <v>148</v>
      </c>
      <c r="D95" t="s">
        <v>149</v>
      </c>
      <c r="E95" t="s">
        <v>332</v>
      </c>
      <c r="F95" t="s">
        <v>15</v>
      </c>
      <c r="G95" t="s">
        <v>59</v>
      </c>
      <c r="H95" t="s">
        <v>271</v>
      </c>
      <c r="I95" t="s">
        <v>333</v>
      </c>
      <c r="J95" t="s">
        <v>301</v>
      </c>
      <c r="K95" t="s">
        <v>366</v>
      </c>
    </row>
    <row r="96" spans="1:11" x14ac:dyDescent="0.25">
      <c r="A96">
        <v>95</v>
      </c>
      <c r="B96" t="s">
        <v>337</v>
      </c>
      <c r="C96" t="s">
        <v>338</v>
      </c>
      <c r="D96" t="s">
        <v>339</v>
      </c>
      <c r="E96" t="s">
        <v>351</v>
      </c>
      <c r="F96" t="s">
        <v>15</v>
      </c>
      <c r="G96" t="s">
        <v>58</v>
      </c>
      <c r="H96" t="s">
        <v>352</v>
      </c>
      <c r="I96" t="s">
        <v>353</v>
      </c>
      <c r="J96" t="s">
        <v>301</v>
      </c>
      <c r="K96" t="s">
        <v>366</v>
      </c>
    </row>
    <row r="97" spans="1:11" x14ac:dyDescent="0.25">
      <c r="A97">
        <v>96</v>
      </c>
      <c r="B97" t="s">
        <v>367</v>
      </c>
      <c r="C97" t="s">
        <v>368</v>
      </c>
      <c r="D97" t="s">
        <v>369</v>
      </c>
      <c r="E97" t="s">
        <v>370</v>
      </c>
      <c r="F97" t="s">
        <v>15</v>
      </c>
      <c r="G97" t="s">
        <v>125</v>
      </c>
      <c r="H97" t="s">
        <v>352</v>
      </c>
      <c r="I97" t="s">
        <v>371</v>
      </c>
      <c r="J97" t="s">
        <v>301</v>
      </c>
      <c r="K97" t="s">
        <v>366</v>
      </c>
    </row>
    <row r="98" spans="1:11" x14ac:dyDescent="0.25">
      <c r="A98">
        <v>97</v>
      </c>
      <c r="B98" t="s">
        <v>163</v>
      </c>
      <c r="C98" t="s">
        <v>164</v>
      </c>
      <c r="D98" t="s">
        <v>45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372</v>
      </c>
      <c r="K98" t="s">
        <v>373</v>
      </c>
    </row>
    <row r="99" spans="1:11" x14ac:dyDescent="0.25">
      <c r="A99">
        <v>98</v>
      </c>
      <c r="B99" t="s">
        <v>201</v>
      </c>
      <c r="C99" t="s">
        <v>202</v>
      </c>
      <c r="D99" t="s">
        <v>23</v>
      </c>
      <c r="E99" t="s">
        <v>15</v>
      </c>
      <c r="F99" t="s">
        <v>90</v>
      </c>
      <c r="G99" t="s">
        <v>15</v>
      </c>
      <c r="H99" t="s">
        <v>15</v>
      </c>
      <c r="I99" t="s">
        <v>15</v>
      </c>
      <c r="J99" t="s">
        <v>372</v>
      </c>
      <c r="K99" t="s">
        <v>374</v>
      </c>
    </row>
    <row r="100" spans="1:11" x14ac:dyDescent="0.25">
      <c r="A100">
        <v>99</v>
      </c>
      <c r="B100" t="s">
        <v>375</v>
      </c>
      <c r="C100" t="s">
        <v>376</v>
      </c>
      <c r="D100" t="s">
        <v>23</v>
      </c>
      <c r="E100" t="s">
        <v>203</v>
      </c>
      <c r="F100" t="s">
        <v>15</v>
      </c>
      <c r="G100" t="s">
        <v>136</v>
      </c>
      <c r="H100" t="s">
        <v>150</v>
      </c>
      <c r="I100" t="s">
        <v>377</v>
      </c>
      <c r="J100" t="s">
        <v>372</v>
      </c>
      <c r="K100" t="s">
        <v>374</v>
      </c>
    </row>
    <row r="101" spans="1:11" x14ac:dyDescent="0.25">
      <c r="A101">
        <v>100</v>
      </c>
      <c r="B101" t="s">
        <v>378</v>
      </c>
      <c r="C101" t="s">
        <v>379</v>
      </c>
      <c r="D101" t="s">
        <v>23</v>
      </c>
      <c r="E101" t="s">
        <v>203</v>
      </c>
      <c r="F101" t="s">
        <v>15</v>
      </c>
      <c r="G101" t="s">
        <v>196</v>
      </c>
      <c r="H101" t="s">
        <v>380</v>
      </c>
      <c r="I101" t="s">
        <v>381</v>
      </c>
      <c r="J101" t="s">
        <v>372</v>
      </c>
      <c r="K101" t="s">
        <v>374</v>
      </c>
    </row>
    <row r="102" spans="1:11" x14ac:dyDescent="0.25">
      <c r="A102">
        <v>101</v>
      </c>
      <c r="B102" t="s">
        <v>382</v>
      </c>
      <c r="C102" t="s">
        <v>383</v>
      </c>
      <c r="D102" t="s">
        <v>339</v>
      </c>
      <c r="E102" t="s">
        <v>384</v>
      </c>
      <c r="F102" t="s">
        <v>15</v>
      </c>
      <c r="G102" t="s">
        <v>90</v>
      </c>
      <c r="H102" t="s">
        <v>385</v>
      </c>
      <c r="I102" t="s">
        <v>386</v>
      </c>
      <c r="J102" t="s">
        <v>387</v>
      </c>
      <c r="K102" t="s">
        <v>388</v>
      </c>
    </row>
    <row r="103" spans="1:11" x14ac:dyDescent="0.25">
      <c r="A103">
        <v>102</v>
      </c>
      <c r="B103" t="s">
        <v>389</v>
      </c>
      <c r="C103" t="s">
        <v>390</v>
      </c>
      <c r="D103" t="s">
        <v>339</v>
      </c>
      <c r="E103" t="s">
        <v>384</v>
      </c>
      <c r="F103" t="s">
        <v>15</v>
      </c>
      <c r="G103" t="s">
        <v>90</v>
      </c>
      <c r="H103" t="s">
        <v>385</v>
      </c>
      <c r="I103" t="s">
        <v>386</v>
      </c>
      <c r="J103" t="s">
        <v>387</v>
      </c>
      <c r="K103" t="s">
        <v>388</v>
      </c>
    </row>
    <row r="104" spans="1:11" x14ac:dyDescent="0.25">
      <c r="A104">
        <v>103</v>
      </c>
      <c r="B104" t="s">
        <v>391</v>
      </c>
      <c r="C104" t="s">
        <v>392</v>
      </c>
      <c r="D104" t="s">
        <v>339</v>
      </c>
      <c r="E104" t="s">
        <v>384</v>
      </c>
      <c r="F104" t="s">
        <v>15</v>
      </c>
      <c r="G104" t="s">
        <v>90</v>
      </c>
      <c r="H104" t="s">
        <v>385</v>
      </c>
      <c r="I104" t="s">
        <v>386</v>
      </c>
      <c r="J104" t="s">
        <v>387</v>
      </c>
      <c r="K104" t="s">
        <v>388</v>
      </c>
    </row>
    <row r="105" spans="1:11" x14ac:dyDescent="0.25">
      <c r="A105">
        <v>104</v>
      </c>
      <c r="B105" t="s">
        <v>393</v>
      </c>
      <c r="C105" t="s">
        <v>394</v>
      </c>
      <c r="D105" t="s">
        <v>339</v>
      </c>
      <c r="E105" t="s">
        <v>395</v>
      </c>
      <c r="F105" t="s">
        <v>15</v>
      </c>
      <c r="G105" t="s">
        <v>290</v>
      </c>
      <c r="H105" t="s">
        <v>396</v>
      </c>
      <c r="I105" t="s">
        <v>397</v>
      </c>
      <c r="J105" t="s">
        <v>387</v>
      </c>
      <c r="K105" t="s">
        <v>388</v>
      </c>
    </row>
    <row r="106" spans="1:11" x14ac:dyDescent="0.25">
      <c r="A106">
        <v>105</v>
      </c>
      <c r="B106" t="s">
        <v>398</v>
      </c>
      <c r="C106" t="s">
        <v>399</v>
      </c>
      <c r="D106" t="s">
        <v>339</v>
      </c>
      <c r="E106" t="s">
        <v>395</v>
      </c>
      <c r="F106" t="s">
        <v>15</v>
      </c>
      <c r="G106" t="s">
        <v>290</v>
      </c>
      <c r="H106" t="s">
        <v>396</v>
      </c>
      <c r="I106" t="s">
        <v>397</v>
      </c>
      <c r="J106" t="s">
        <v>387</v>
      </c>
      <c r="K106" t="s">
        <v>388</v>
      </c>
    </row>
    <row r="107" spans="1:11" x14ac:dyDescent="0.25">
      <c r="A107">
        <v>106</v>
      </c>
      <c r="B107" t="s">
        <v>400</v>
      </c>
      <c r="C107" t="s">
        <v>401</v>
      </c>
      <c r="D107" t="s">
        <v>13</v>
      </c>
      <c r="E107" t="s">
        <v>402</v>
      </c>
      <c r="F107" t="s">
        <v>15</v>
      </c>
      <c r="G107" t="s">
        <v>25</v>
      </c>
      <c r="H107" t="s">
        <v>33</v>
      </c>
      <c r="I107" t="s">
        <v>152</v>
      </c>
      <c r="J107" t="s">
        <v>387</v>
      </c>
      <c r="K107" t="s">
        <v>388</v>
      </c>
    </row>
    <row r="108" spans="1:11" x14ac:dyDescent="0.25">
      <c r="A108">
        <v>107</v>
      </c>
      <c r="B108" t="s">
        <v>403</v>
      </c>
      <c r="C108" t="s">
        <v>404</v>
      </c>
      <c r="D108" t="s">
        <v>369</v>
      </c>
      <c r="E108" t="s">
        <v>405</v>
      </c>
      <c r="F108" t="s">
        <v>15</v>
      </c>
      <c r="G108" t="s">
        <v>58</v>
      </c>
      <c r="H108" t="s">
        <v>405</v>
      </c>
      <c r="I108" t="s">
        <v>15</v>
      </c>
      <c r="J108" t="s">
        <v>387</v>
      </c>
      <c r="K108" t="s">
        <v>388</v>
      </c>
    </row>
    <row r="109" spans="1:11" x14ac:dyDescent="0.25">
      <c r="A109">
        <v>108</v>
      </c>
      <c r="B109" t="s">
        <v>55</v>
      </c>
      <c r="C109" t="s">
        <v>56</v>
      </c>
      <c r="D109" t="s">
        <v>13</v>
      </c>
      <c r="E109" t="s">
        <v>57</v>
      </c>
      <c r="F109" t="s">
        <v>15</v>
      </c>
      <c r="G109" t="s">
        <v>59</v>
      </c>
      <c r="H109" t="s">
        <v>283</v>
      </c>
      <c r="I109" t="s">
        <v>284</v>
      </c>
      <c r="J109" t="s">
        <v>387</v>
      </c>
      <c r="K109" t="s">
        <v>406</v>
      </c>
    </row>
    <row r="110" spans="1:11" x14ac:dyDescent="0.25">
      <c r="A110">
        <v>109</v>
      </c>
      <c r="B110" t="s">
        <v>407</v>
      </c>
      <c r="C110" t="s">
        <v>408</v>
      </c>
      <c r="D110" t="s">
        <v>45</v>
      </c>
      <c r="E110" t="s">
        <v>264</v>
      </c>
      <c r="F110" t="s">
        <v>15</v>
      </c>
      <c r="G110" t="s">
        <v>47</v>
      </c>
      <c r="H110" t="s">
        <v>141</v>
      </c>
      <c r="I110" t="s">
        <v>409</v>
      </c>
      <c r="J110" t="s">
        <v>387</v>
      </c>
      <c r="K110" t="s">
        <v>410</v>
      </c>
    </row>
    <row r="111" spans="1:11" x14ac:dyDescent="0.25">
      <c r="A111">
        <v>110</v>
      </c>
      <c r="B111" t="s">
        <v>94</v>
      </c>
      <c r="C111" t="s">
        <v>95</v>
      </c>
      <c r="D111" t="s">
        <v>45</v>
      </c>
      <c r="E111" t="s">
        <v>411</v>
      </c>
      <c r="F111" t="s">
        <v>15</v>
      </c>
      <c r="G111" t="s">
        <v>63</v>
      </c>
      <c r="H111" t="s">
        <v>34</v>
      </c>
      <c r="I111" t="s">
        <v>412</v>
      </c>
      <c r="J111" t="s">
        <v>387</v>
      </c>
      <c r="K111" t="s">
        <v>410</v>
      </c>
    </row>
    <row r="112" spans="1:11" x14ac:dyDescent="0.25">
      <c r="A112">
        <v>111</v>
      </c>
      <c r="B112" t="s">
        <v>413</v>
      </c>
      <c r="C112" t="s">
        <v>414</v>
      </c>
      <c r="D112" t="s">
        <v>194</v>
      </c>
      <c r="E112" t="s">
        <v>415</v>
      </c>
      <c r="F112" t="s">
        <v>32</v>
      </c>
      <c r="G112" t="s">
        <v>196</v>
      </c>
      <c r="H112" t="s">
        <v>380</v>
      </c>
      <c r="I112" t="s">
        <v>205</v>
      </c>
      <c r="J112" t="s">
        <v>387</v>
      </c>
      <c r="K112" t="s">
        <v>410</v>
      </c>
    </row>
    <row r="113" spans="1:11" x14ac:dyDescent="0.25">
      <c r="A113">
        <v>112</v>
      </c>
      <c r="B113" t="s">
        <v>416</v>
      </c>
      <c r="C113" t="s">
        <v>417</v>
      </c>
      <c r="D113" t="s">
        <v>45</v>
      </c>
      <c r="E113" t="s">
        <v>141</v>
      </c>
      <c r="F113" t="s">
        <v>15</v>
      </c>
      <c r="G113" t="s">
        <v>63</v>
      </c>
      <c r="H113" t="s">
        <v>418</v>
      </c>
      <c r="I113" t="s">
        <v>419</v>
      </c>
      <c r="J113" t="s">
        <v>387</v>
      </c>
      <c r="K113" t="s">
        <v>420</v>
      </c>
    </row>
    <row r="114" spans="1:11" x14ac:dyDescent="0.25">
      <c r="A114">
        <v>113</v>
      </c>
      <c r="B114" t="s">
        <v>421</v>
      </c>
      <c r="C114" t="s">
        <v>422</v>
      </c>
      <c r="D114" t="s">
        <v>45</v>
      </c>
      <c r="E114" t="s">
        <v>423</v>
      </c>
      <c r="F114" t="s">
        <v>15</v>
      </c>
      <c r="G114" t="s">
        <v>102</v>
      </c>
      <c r="H114" t="s">
        <v>424</v>
      </c>
      <c r="I114" t="s">
        <v>425</v>
      </c>
      <c r="J114" t="s">
        <v>387</v>
      </c>
      <c r="K114" t="s">
        <v>420</v>
      </c>
    </row>
    <row r="115" spans="1:11" x14ac:dyDescent="0.25">
      <c r="A115">
        <v>114</v>
      </c>
      <c r="B115" t="s">
        <v>421</v>
      </c>
      <c r="C115" t="s">
        <v>422</v>
      </c>
      <c r="D115" t="s">
        <v>45</v>
      </c>
      <c r="E115" t="s">
        <v>423</v>
      </c>
      <c r="F115" t="s">
        <v>15</v>
      </c>
      <c r="G115" t="s">
        <v>102</v>
      </c>
      <c r="H115" t="s">
        <v>424</v>
      </c>
      <c r="I115" t="s">
        <v>425</v>
      </c>
      <c r="J115" t="s">
        <v>387</v>
      </c>
      <c r="K115" t="s">
        <v>82</v>
      </c>
    </row>
    <row r="116" spans="1:11" x14ac:dyDescent="0.25">
      <c r="A116">
        <v>115</v>
      </c>
      <c r="B116" t="s">
        <v>287</v>
      </c>
      <c r="C116" t="s">
        <v>288</v>
      </c>
      <c r="D116" t="s">
        <v>88</v>
      </c>
      <c r="E116" t="s">
        <v>289</v>
      </c>
      <c r="F116" t="s">
        <v>15</v>
      </c>
      <c r="G116" t="s">
        <v>290</v>
      </c>
      <c r="H116" t="s">
        <v>205</v>
      </c>
      <c r="I116" t="s">
        <v>291</v>
      </c>
      <c r="J116" t="s">
        <v>387</v>
      </c>
      <c r="K116" t="s">
        <v>426</v>
      </c>
    </row>
    <row r="117" spans="1:11" x14ac:dyDescent="0.25">
      <c r="A117">
        <v>116</v>
      </c>
      <c r="B117" t="s">
        <v>292</v>
      </c>
      <c r="C117" t="s">
        <v>293</v>
      </c>
      <c r="D117" t="s">
        <v>88</v>
      </c>
      <c r="E117" t="s">
        <v>294</v>
      </c>
      <c r="F117" t="s">
        <v>15</v>
      </c>
      <c r="G117" t="s">
        <v>32</v>
      </c>
      <c r="H117" t="s">
        <v>295</v>
      </c>
      <c r="I117" t="s">
        <v>296</v>
      </c>
      <c r="J117" t="s">
        <v>387</v>
      </c>
      <c r="K117" t="s">
        <v>426</v>
      </c>
    </row>
    <row r="118" spans="1:11" x14ac:dyDescent="0.25">
      <c r="A118">
        <v>117</v>
      </c>
      <c r="B118" t="s">
        <v>297</v>
      </c>
      <c r="C118" t="s">
        <v>298</v>
      </c>
      <c r="D118" t="s">
        <v>88</v>
      </c>
      <c r="E118" t="s">
        <v>289</v>
      </c>
      <c r="F118" t="s">
        <v>15</v>
      </c>
      <c r="G118" t="s">
        <v>290</v>
      </c>
      <c r="H118" t="s">
        <v>205</v>
      </c>
      <c r="I118" t="s">
        <v>291</v>
      </c>
      <c r="J118" t="s">
        <v>387</v>
      </c>
      <c r="K118" t="s">
        <v>426</v>
      </c>
    </row>
    <row r="119" spans="1:11" x14ac:dyDescent="0.25">
      <c r="A119">
        <v>118</v>
      </c>
      <c r="B119" t="s">
        <v>314</v>
      </c>
      <c r="C119" t="s">
        <v>315</v>
      </c>
      <c r="D119" t="s">
        <v>13</v>
      </c>
      <c r="E119" t="s">
        <v>427</v>
      </c>
      <c r="F119" t="s">
        <v>15</v>
      </c>
      <c r="G119" t="s">
        <v>70</v>
      </c>
      <c r="H119" t="s">
        <v>424</v>
      </c>
      <c r="I119" t="s">
        <v>109</v>
      </c>
      <c r="J119" t="s">
        <v>387</v>
      </c>
      <c r="K119" t="s">
        <v>428</v>
      </c>
    </row>
    <row r="120" spans="1:11" x14ac:dyDescent="0.25">
      <c r="A120">
        <v>119</v>
      </c>
      <c r="B120" t="s">
        <v>429</v>
      </c>
      <c r="C120" t="s">
        <v>430</v>
      </c>
      <c r="D120" t="s">
        <v>88</v>
      </c>
      <c r="E120" t="s">
        <v>27</v>
      </c>
      <c r="F120" t="s">
        <v>15</v>
      </c>
      <c r="G120" t="s">
        <v>290</v>
      </c>
      <c r="H120" t="s">
        <v>431</v>
      </c>
      <c r="I120" t="s">
        <v>432</v>
      </c>
      <c r="J120" t="s">
        <v>387</v>
      </c>
      <c r="K120" t="s">
        <v>433</v>
      </c>
    </row>
    <row r="121" spans="1:11" x14ac:dyDescent="0.25">
      <c r="A121">
        <v>120</v>
      </c>
      <c r="B121" t="s">
        <v>259</v>
      </c>
      <c r="C121" t="s">
        <v>260</v>
      </c>
      <c r="D121" t="s">
        <v>88</v>
      </c>
      <c r="E121" t="s">
        <v>27</v>
      </c>
      <c r="F121" t="s">
        <v>15</v>
      </c>
      <c r="G121" t="s">
        <v>290</v>
      </c>
      <c r="H121" t="s">
        <v>431</v>
      </c>
      <c r="I121" t="s">
        <v>432</v>
      </c>
      <c r="J121" t="s">
        <v>387</v>
      </c>
      <c r="K121" t="s">
        <v>433</v>
      </c>
    </row>
    <row r="122" spans="1:11" x14ac:dyDescent="0.25">
      <c r="A122">
        <v>121</v>
      </c>
      <c r="B122" t="s">
        <v>261</v>
      </c>
      <c r="C122" t="s">
        <v>262</v>
      </c>
      <c r="D122" t="s">
        <v>88</v>
      </c>
      <c r="E122" t="s">
        <v>15</v>
      </c>
      <c r="F122" t="s">
        <v>47</v>
      </c>
      <c r="G122" t="s">
        <v>15</v>
      </c>
      <c r="H122" t="s">
        <v>434</v>
      </c>
      <c r="I122" t="s">
        <v>434</v>
      </c>
      <c r="J122" t="s">
        <v>387</v>
      </c>
      <c r="K122" t="s">
        <v>433</v>
      </c>
    </row>
    <row r="123" spans="1:11" x14ac:dyDescent="0.25">
      <c r="A123">
        <v>122</v>
      </c>
      <c r="B123" t="s">
        <v>11</v>
      </c>
      <c r="C123" t="s">
        <v>12</v>
      </c>
      <c r="D123" t="s">
        <v>13</v>
      </c>
      <c r="E123" t="s">
        <v>18</v>
      </c>
      <c r="F123" t="s">
        <v>58</v>
      </c>
      <c r="G123" t="s">
        <v>70</v>
      </c>
      <c r="H123" t="s">
        <v>435</v>
      </c>
      <c r="I123" t="s">
        <v>436</v>
      </c>
      <c r="J123" t="s">
        <v>387</v>
      </c>
      <c r="K123" t="s">
        <v>437</v>
      </c>
    </row>
    <row r="124" spans="1:11" x14ac:dyDescent="0.25">
      <c r="A124">
        <v>123</v>
      </c>
      <c r="B124" t="s">
        <v>421</v>
      </c>
      <c r="C124" t="s">
        <v>422</v>
      </c>
      <c r="D124" t="s">
        <v>45</v>
      </c>
      <c r="E124" t="s">
        <v>423</v>
      </c>
      <c r="F124" t="s">
        <v>125</v>
      </c>
      <c r="G124" t="s">
        <v>102</v>
      </c>
      <c r="H124" t="s">
        <v>438</v>
      </c>
      <c r="I124" t="s">
        <v>439</v>
      </c>
      <c r="J124" t="s">
        <v>387</v>
      </c>
      <c r="K124" t="s">
        <v>440</v>
      </c>
    </row>
    <row r="125" spans="1:11" x14ac:dyDescent="0.25">
      <c r="A125">
        <v>124</v>
      </c>
      <c r="B125" t="s">
        <v>441</v>
      </c>
      <c r="C125" t="s">
        <v>442</v>
      </c>
      <c r="D125" t="s">
        <v>23</v>
      </c>
      <c r="E125" t="s">
        <v>243</v>
      </c>
      <c r="F125" t="s">
        <v>15</v>
      </c>
      <c r="G125" t="s">
        <v>102</v>
      </c>
      <c r="H125" t="s">
        <v>443</v>
      </c>
      <c r="I125" t="s">
        <v>72</v>
      </c>
      <c r="J125" t="s">
        <v>387</v>
      </c>
      <c r="K125" t="s">
        <v>440</v>
      </c>
    </row>
    <row r="126" spans="1:11" x14ac:dyDescent="0.25">
      <c r="A126">
        <v>125</v>
      </c>
      <c r="B126" t="s">
        <v>444</v>
      </c>
      <c r="C126" t="s">
        <v>445</v>
      </c>
      <c r="D126" t="s">
        <v>446</v>
      </c>
      <c r="E126" t="s">
        <v>447</v>
      </c>
      <c r="F126" t="s">
        <v>90</v>
      </c>
      <c r="G126" t="s">
        <v>63</v>
      </c>
      <c r="H126" t="s">
        <v>275</v>
      </c>
      <c r="I126" t="s">
        <v>448</v>
      </c>
      <c r="J126" t="s">
        <v>387</v>
      </c>
      <c r="K126" t="s">
        <v>449</v>
      </c>
    </row>
    <row r="127" spans="1:11" x14ac:dyDescent="0.25">
      <c r="A127">
        <v>126</v>
      </c>
      <c r="B127" t="s">
        <v>11</v>
      </c>
      <c r="C127" t="s">
        <v>12</v>
      </c>
      <c r="D127" t="s">
        <v>13</v>
      </c>
      <c r="E127" t="s">
        <v>18</v>
      </c>
      <c r="F127" t="s">
        <v>58</v>
      </c>
      <c r="G127" t="s">
        <v>70</v>
      </c>
      <c r="H127" t="s">
        <v>435</v>
      </c>
      <c r="I127" t="s">
        <v>436</v>
      </c>
      <c r="J127" t="s">
        <v>387</v>
      </c>
      <c r="K127" t="s">
        <v>449</v>
      </c>
    </row>
    <row r="128" spans="1:11" x14ac:dyDescent="0.25">
      <c r="A128">
        <v>127</v>
      </c>
      <c r="B128" t="s">
        <v>11</v>
      </c>
      <c r="C128" t="s">
        <v>12</v>
      </c>
      <c r="D128" t="s">
        <v>13</v>
      </c>
      <c r="E128" t="s">
        <v>18</v>
      </c>
      <c r="F128" t="s">
        <v>58</v>
      </c>
      <c r="G128" t="s">
        <v>70</v>
      </c>
      <c r="H128" t="s">
        <v>435</v>
      </c>
      <c r="I128" t="s">
        <v>436</v>
      </c>
      <c r="J128" t="s">
        <v>387</v>
      </c>
      <c r="K128" t="s">
        <v>450</v>
      </c>
    </row>
    <row r="129" spans="1:11" x14ac:dyDescent="0.25">
      <c r="A129">
        <v>128</v>
      </c>
      <c r="B129" t="s">
        <v>342</v>
      </c>
      <c r="C129" t="s">
        <v>343</v>
      </c>
      <c r="D129" t="s">
        <v>85</v>
      </c>
      <c r="E129" t="s">
        <v>344</v>
      </c>
      <c r="F129" t="s">
        <v>15</v>
      </c>
      <c r="G129" t="s">
        <v>47</v>
      </c>
      <c r="H129" t="s">
        <v>345</v>
      </c>
      <c r="I129" t="s">
        <v>346</v>
      </c>
      <c r="J129" t="s">
        <v>387</v>
      </c>
      <c r="K129" t="s">
        <v>451</v>
      </c>
    </row>
    <row r="130" spans="1:11" x14ac:dyDescent="0.25">
      <c r="A130">
        <v>129</v>
      </c>
      <c r="B130" t="s">
        <v>452</v>
      </c>
      <c r="C130" t="s">
        <v>453</v>
      </c>
      <c r="D130" t="s">
        <v>88</v>
      </c>
      <c r="E130" t="s">
        <v>454</v>
      </c>
      <c r="F130" t="s">
        <v>15</v>
      </c>
      <c r="G130" t="s">
        <v>47</v>
      </c>
      <c r="H130" t="s">
        <v>455</v>
      </c>
      <c r="I130" t="s">
        <v>456</v>
      </c>
      <c r="J130" t="s">
        <v>387</v>
      </c>
      <c r="K130" t="s">
        <v>451</v>
      </c>
    </row>
    <row r="131" spans="1:11" x14ac:dyDescent="0.25">
      <c r="A131">
        <v>130</v>
      </c>
      <c r="B131" t="s">
        <v>169</v>
      </c>
      <c r="C131" t="s">
        <v>170</v>
      </c>
      <c r="D131" t="s">
        <v>88</v>
      </c>
      <c r="E131" t="s">
        <v>457</v>
      </c>
      <c r="F131" t="s">
        <v>15</v>
      </c>
      <c r="G131" t="s">
        <v>47</v>
      </c>
      <c r="H131" t="s">
        <v>458</v>
      </c>
      <c r="I131" t="s">
        <v>427</v>
      </c>
      <c r="J131" t="s">
        <v>387</v>
      </c>
      <c r="K131" t="s">
        <v>451</v>
      </c>
    </row>
    <row r="132" spans="1:11" x14ac:dyDescent="0.25">
      <c r="A132">
        <v>131</v>
      </c>
      <c r="B132" t="s">
        <v>429</v>
      </c>
      <c r="C132" t="s">
        <v>430</v>
      </c>
      <c r="D132" t="s">
        <v>88</v>
      </c>
      <c r="E132" t="s">
        <v>15</v>
      </c>
      <c r="F132" t="s">
        <v>47</v>
      </c>
      <c r="G132" t="s">
        <v>15</v>
      </c>
      <c r="H132" t="s">
        <v>434</v>
      </c>
      <c r="I132" t="s">
        <v>434</v>
      </c>
      <c r="J132" t="s">
        <v>387</v>
      </c>
      <c r="K132" t="s">
        <v>451</v>
      </c>
    </row>
    <row r="133" spans="1:11" x14ac:dyDescent="0.25">
      <c r="A133">
        <v>132</v>
      </c>
      <c r="B133" t="s">
        <v>259</v>
      </c>
      <c r="C133" t="s">
        <v>260</v>
      </c>
      <c r="D133" t="s">
        <v>88</v>
      </c>
      <c r="E133" t="s">
        <v>15</v>
      </c>
      <c r="F133" t="s">
        <v>47</v>
      </c>
      <c r="G133" t="s">
        <v>15</v>
      </c>
      <c r="H133" t="s">
        <v>434</v>
      </c>
      <c r="I133" t="s">
        <v>434</v>
      </c>
      <c r="J133" t="s">
        <v>387</v>
      </c>
      <c r="K133" t="s">
        <v>451</v>
      </c>
    </row>
    <row r="134" spans="1:11" x14ac:dyDescent="0.25">
      <c r="A134">
        <v>133</v>
      </c>
      <c r="B134" t="s">
        <v>459</v>
      </c>
      <c r="C134" t="s">
        <v>460</v>
      </c>
      <c r="D134" t="s">
        <v>88</v>
      </c>
      <c r="E134" t="s">
        <v>461</v>
      </c>
      <c r="F134" t="s">
        <v>15</v>
      </c>
      <c r="G134" t="s">
        <v>47</v>
      </c>
      <c r="H134" t="s">
        <v>462</v>
      </c>
      <c r="I134" t="s">
        <v>463</v>
      </c>
      <c r="J134" t="s">
        <v>387</v>
      </c>
      <c r="K134" t="s">
        <v>451</v>
      </c>
    </row>
    <row r="135" spans="1:11" x14ac:dyDescent="0.25">
      <c r="A135">
        <v>134</v>
      </c>
      <c r="B135" t="s">
        <v>261</v>
      </c>
      <c r="C135" t="s">
        <v>262</v>
      </c>
      <c r="D135" t="s">
        <v>88</v>
      </c>
      <c r="E135" t="s">
        <v>464</v>
      </c>
      <c r="F135" t="s">
        <v>15</v>
      </c>
      <c r="G135" t="s">
        <v>47</v>
      </c>
      <c r="H135" t="s">
        <v>462</v>
      </c>
      <c r="I135" t="s">
        <v>465</v>
      </c>
      <c r="J135" t="s">
        <v>387</v>
      </c>
      <c r="K135" t="s">
        <v>451</v>
      </c>
    </row>
    <row r="136" spans="1:11" x14ac:dyDescent="0.25">
      <c r="A136">
        <v>135</v>
      </c>
      <c r="B136" t="s">
        <v>466</v>
      </c>
      <c r="C136" t="s">
        <v>467</v>
      </c>
      <c r="D136" t="s">
        <v>468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387</v>
      </c>
      <c r="K136" t="s">
        <v>451</v>
      </c>
    </row>
    <row r="137" spans="1:11" x14ac:dyDescent="0.25">
      <c r="A137">
        <v>136</v>
      </c>
      <c r="B137" t="s">
        <v>314</v>
      </c>
      <c r="C137" t="s">
        <v>315</v>
      </c>
      <c r="D137" t="s">
        <v>13</v>
      </c>
      <c r="E137" t="s">
        <v>458</v>
      </c>
      <c r="F137" t="s">
        <v>15</v>
      </c>
      <c r="G137" t="s">
        <v>469</v>
      </c>
      <c r="H137" t="s">
        <v>470</v>
      </c>
      <c r="I137" t="s">
        <v>33</v>
      </c>
      <c r="J137" t="s">
        <v>387</v>
      </c>
      <c r="K137" t="s">
        <v>451</v>
      </c>
    </row>
    <row r="138" spans="1:11" x14ac:dyDescent="0.25">
      <c r="A138">
        <v>137</v>
      </c>
      <c r="B138" t="s">
        <v>11</v>
      </c>
      <c r="C138" t="s">
        <v>12</v>
      </c>
      <c r="D138" t="s">
        <v>13</v>
      </c>
      <c r="E138" t="s">
        <v>18</v>
      </c>
      <c r="F138" t="s">
        <v>58</v>
      </c>
      <c r="G138" t="s">
        <v>70</v>
      </c>
      <c r="H138" t="s">
        <v>471</v>
      </c>
      <c r="I138" t="s">
        <v>472</v>
      </c>
      <c r="J138" t="s">
        <v>387</v>
      </c>
      <c r="K138" t="s">
        <v>473</v>
      </c>
    </row>
    <row r="139" spans="1:11" x14ac:dyDescent="0.25">
      <c r="A139">
        <v>138</v>
      </c>
      <c r="B139" t="s">
        <v>28</v>
      </c>
      <c r="C139" t="s">
        <v>29</v>
      </c>
      <c r="D139" t="s">
        <v>30</v>
      </c>
      <c r="E139" t="s">
        <v>474</v>
      </c>
      <c r="F139" t="s">
        <v>15</v>
      </c>
      <c r="G139" t="s">
        <v>90</v>
      </c>
      <c r="H139" t="s">
        <v>475</v>
      </c>
      <c r="I139" t="s">
        <v>364</v>
      </c>
      <c r="J139" t="s">
        <v>387</v>
      </c>
      <c r="K139" t="s">
        <v>473</v>
      </c>
    </row>
    <row r="140" spans="1:11" x14ac:dyDescent="0.25">
      <c r="A140">
        <v>139</v>
      </c>
      <c r="B140" t="s">
        <v>476</v>
      </c>
      <c r="C140" t="s">
        <v>477</v>
      </c>
      <c r="D140" t="s">
        <v>30</v>
      </c>
      <c r="E140" t="s">
        <v>474</v>
      </c>
      <c r="F140" t="s">
        <v>15</v>
      </c>
      <c r="G140" t="s">
        <v>90</v>
      </c>
      <c r="H140" t="s">
        <v>475</v>
      </c>
      <c r="I140" t="s">
        <v>364</v>
      </c>
      <c r="J140" t="s">
        <v>387</v>
      </c>
      <c r="K140" t="s">
        <v>473</v>
      </c>
    </row>
    <row r="141" spans="1:11" x14ac:dyDescent="0.25">
      <c r="A141">
        <v>140</v>
      </c>
      <c r="B141" t="s">
        <v>314</v>
      </c>
      <c r="C141" t="s">
        <v>315</v>
      </c>
      <c r="D141" t="s">
        <v>13</v>
      </c>
      <c r="E141" t="s">
        <v>427</v>
      </c>
      <c r="F141" t="s">
        <v>15</v>
      </c>
      <c r="G141" t="s">
        <v>70</v>
      </c>
      <c r="H141" t="s">
        <v>424</v>
      </c>
      <c r="I141" t="s">
        <v>109</v>
      </c>
      <c r="J141" t="s">
        <v>387</v>
      </c>
      <c r="K141" t="s">
        <v>478</v>
      </c>
    </row>
    <row r="142" spans="1:11" x14ac:dyDescent="0.25">
      <c r="A142">
        <v>141</v>
      </c>
      <c r="B142" t="s">
        <v>479</v>
      </c>
      <c r="C142" t="s">
        <v>480</v>
      </c>
      <c r="D142" t="s">
        <v>45</v>
      </c>
      <c r="E142" t="s">
        <v>27</v>
      </c>
      <c r="F142" t="s">
        <v>125</v>
      </c>
      <c r="G142" t="s">
        <v>102</v>
      </c>
      <c r="H142" t="s">
        <v>481</v>
      </c>
      <c r="I142" t="s">
        <v>482</v>
      </c>
      <c r="J142" t="s">
        <v>387</v>
      </c>
      <c r="K142" t="s">
        <v>483</v>
      </c>
    </row>
    <row r="143" spans="1:11" x14ac:dyDescent="0.25">
      <c r="A143">
        <v>142</v>
      </c>
      <c r="B143" t="s">
        <v>484</v>
      </c>
      <c r="C143" t="s">
        <v>485</v>
      </c>
      <c r="D143" t="s">
        <v>13</v>
      </c>
      <c r="E143" t="s">
        <v>486</v>
      </c>
      <c r="F143" t="s">
        <v>15</v>
      </c>
      <c r="G143" t="s">
        <v>47</v>
      </c>
      <c r="H143" t="s">
        <v>345</v>
      </c>
      <c r="I143" t="s">
        <v>487</v>
      </c>
      <c r="J143" t="s">
        <v>387</v>
      </c>
      <c r="K143" t="s">
        <v>483</v>
      </c>
    </row>
    <row r="144" spans="1:11" x14ac:dyDescent="0.25">
      <c r="A144">
        <v>143</v>
      </c>
      <c r="B144" t="s">
        <v>488</v>
      </c>
      <c r="C144" t="s">
        <v>489</v>
      </c>
      <c r="D144" t="s">
        <v>369</v>
      </c>
      <c r="E144" t="s">
        <v>345</v>
      </c>
      <c r="F144" t="s">
        <v>15</v>
      </c>
      <c r="G144" t="s">
        <v>125</v>
      </c>
      <c r="H144" t="s">
        <v>141</v>
      </c>
      <c r="I144" t="s">
        <v>490</v>
      </c>
      <c r="J144" t="s">
        <v>387</v>
      </c>
      <c r="K144" t="s">
        <v>483</v>
      </c>
    </row>
    <row r="145" spans="1:11" x14ac:dyDescent="0.25">
      <c r="A145">
        <v>144</v>
      </c>
      <c r="B145" t="s">
        <v>491</v>
      </c>
      <c r="C145" t="s">
        <v>492</v>
      </c>
      <c r="D145" t="s">
        <v>88</v>
      </c>
      <c r="E145" t="s">
        <v>332</v>
      </c>
      <c r="F145" t="s">
        <v>15</v>
      </c>
      <c r="G145" t="s">
        <v>63</v>
      </c>
      <c r="H145" t="s">
        <v>284</v>
      </c>
      <c r="I145" t="s">
        <v>272</v>
      </c>
      <c r="J145" t="s">
        <v>387</v>
      </c>
      <c r="K145" t="s">
        <v>483</v>
      </c>
    </row>
    <row r="146" spans="1:11" x14ac:dyDescent="0.25">
      <c r="A146">
        <v>145</v>
      </c>
      <c r="B146" t="s">
        <v>493</v>
      </c>
      <c r="C146" t="s">
        <v>494</v>
      </c>
      <c r="D146" t="s">
        <v>149</v>
      </c>
      <c r="E146" t="s">
        <v>15</v>
      </c>
      <c r="F146" t="s">
        <v>125</v>
      </c>
      <c r="G146" t="s">
        <v>15</v>
      </c>
      <c r="H146" t="s">
        <v>495</v>
      </c>
      <c r="I146" t="s">
        <v>495</v>
      </c>
      <c r="J146" t="s">
        <v>387</v>
      </c>
      <c r="K146" t="s">
        <v>119</v>
      </c>
    </row>
    <row r="147" spans="1:11" x14ac:dyDescent="0.25">
      <c r="A147">
        <v>146</v>
      </c>
      <c r="B147" t="s">
        <v>128</v>
      </c>
      <c r="C147" t="s">
        <v>129</v>
      </c>
      <c r="D147" t="s">
        <v>13</v>
      </c>
      <c r="E147" t="s">
        <v>496</v>
      </c>
      <c r="F147" t="s">
        <v>15</v>
      </c>
      <c r="G147" t="s">
        <v>497</v>
      </c>
      <c r="H147" t="s">
        <v>455</v>
      </c>
      <c r="I147" t="s">
        <v>498</v>
      </c>
      <c r="J147" t="s">
        <v>387</v>
      </c>
      <c r="K147" t="s">
        <v>119</v>
      </c>
    </row>
    <row r="148" spans="1:11" x14ac:dyDescent="0.25">
      <c r="A148">
        <v>147</v>
      </c>
      <c r="B148" t="s">
        <v>314</v>
      </c>
      <c r="C148" t="s">
        <v>315</v>
      </c>
      <c r="D148" t="s">
        <v>13</v>
      </c>
      <c r="E148" t="s">
        <v>427</v>
      </c>
      <c r="F148" t="s">
        <v>15</v>
      </c>
      <c r="G148" t="s">
        <v>70</v>
      </c>
      <c r="H148" t="s">
        <v>463</v>
      </c>
      <c r="I148" t="s">
        <v>499</v>
      </c>
      <c r="J148" t="s">
        <v>387</v>
      </c>
      <c r="K148" t="s">
        <v>500</v>
      </c>
    </row>
    <row r="149" spans="1:11" x14ac:dyDescent="0.25">
      <c r="A149">
        <v>148</v>
      </c>
      <c r="B149" t="s">
        <v>337</v>
      </c>
      <c r="C149" t="s">
        <v>338</v>
      </c>
      <c r="D149" t="s">
        <v>339</v>
      </c>
      <c r="E149" t="s">
        <v>340</v>
      </c>
      <c r="F149" t="s">
        <v>15</v>
      </c>
      <c r="G149" t="s">
        <v>196</v>
      </c>
      <c r="H149" t="s">
        <v>341</v>
      </c>
      <c r="I149" t="s">
        <v>49</v>
      </c>
      <c r="J149" t="s">
        <v>387</v>
      </c>
      <c r="K149" t="s">
        <v>500</v>
      </c>
    </row>
    <row r="150" spans="1:11" x14ac:dyDescent="0.25">
      <c r="A150">
        <v>149</v>
      </c>
      <c r="B150" t="s">
        <v>86</v>
      </c>
      <c r="C150" t="s">
        <v>87</v>
      </c>
      <c r="D150" t="s">
        <v>88</v>
      </c>
      <c r="E150" t="s">
        <v>299</v>
      </c>
      <c r="F150" t="s">
        <v>125</v>
      </c>
      <c r="G150" t="s">
        <v>47</v>
      </c>
      <c r="H150" t="s">
        <v>57</v>
      </c>
      <c r="I150" t="s">
        <v>300</v>
      </c>
      <c r="J150" t="s">
        <v>387</v>
      </c>
      <c r="K150" t="s">
        <v>501</v>
      </c>
    </row>
    <row r="151" spans="1:11" x14ac:dyDescent="0.25">
      <c r="A151">
        <v>150</v>
      </c>
      <c r="B151" t="s">
        <v>502</v>
      </c>
      <c r="C151" t="s">
        <v>503</v>
      </c>
      <c r="D151" t="s">
        <v>220</v>
      </c>
      <c r="E151" t="s">
        <v>326</v>
      </c>
      <c r="F151" t="s">
        <v>15</v>
      </c>
      <c r="G151" t="s">
        <v>125</v>
      </c>
      <c r="H151" t="s">
        <v>349</v>
      </c>
      <c r="I151" t="s">
        <v>504</v>
      </c>
      <c r="J151" t="s">
        <v>387</v>
      </c>
      <c r="K151" t="s">
        <v>505</v>
      </c>
    </row>
    <row r="152" spans="1:11" x14ac:dyDescent="0.25">
      <c r="A152">
        <v>151</v>
      </c>
      <c r="B152" t="s">
        <v>324</v>
      </c>
      <c r="C152" t="s">
        <v>325</v>
      </c>
      <c r="D152" t="s">
        <v>220</v>
      </c>
      <c r="E152" t="s">
        <v>326</v>
      </c>
      <c r="F152" t="s">
        <v>15</v>
      </c>
      <c r="G152" t="s">
        <v>125</v>
      </c>
      <c r="H152" t="s">
        <v>349</v>
      </c>
      <c r="I152" t="s">
        <v>504</v>
      </c>
      <c r="J152" t="s">
        <v>387</v>
      </c>
      <c r="K152" t="s">
        <v>505</v>
      </c>
    </row>
    <row r="153" spans="1:11" x14ac:dyDescent="0.25">
      <c r="A153">
        <v>152</v>
      </c>
      <c r="B153" t="s">
        <v>155</v>
      </c>
      <c r="C153" t="s">
        <v>156</v>
      </c>
      <c r="D153" t="s">
        <v>149</v>
      </c>
      <c r="E153" t="s">
        <v>150</v>
      </c>
      <c r="F153" t="s">
        <v>15</v>
      </c>
      <c r="G153" t="s">
        <v>136</v>
      </c>
      <c r="H153" t="s">
        <v>151</v>
      </c>
      <c r="I153" t="s">
        <v>152</v>
      </c>
      <c r="J153" t="s">
        <v>387</v>
      </c>
      <c r="K153" t="s">
        <v>505</v>
      </c>
    </row>
    <row r="154" spans="1:11" x14ac:dyDescent="0.25">
      <c r="A154">
        <v>153</v>
      </c>
      <c r="B154" t="s">
        <v>506</v>
      </c>
      <c r="C154" t="s">
        <v>507</v>
      </c>
      <c r="D154" t="s">
        <v>88</v>
      </c>
      <c r="E154" t="s">
        <v>461</v>
      </c>
      <c r="F154" t="s">
        <v>15</v>
      </c>
      <c r="G154" t="s">
        <v>47</v>
      </c>
      <c r="H154" t="s">
        <v>508</v>
      </c>
      <c r="I154" t="s">
        <v>464</v>
      </c>
      <c r="J154" t="s">
        <v>387</v>
      </c>
      <c r="K154" t="s">
        <v>505</v>
      </c>
    </row>
    <row r="155" spans="1:11" x14ac:dyDescent="0.25">
      <c r="A155">
        <v>154</v>
      </c>
      <c r="B155" t="s">
        <v>429</v>
      </c>
      <c r="C155" t="s">
        <v>430</v>
      </c>
      <c r="D155" t="s">
        <v>88</v>
      </c>
      <c r="E155" t="s">
        <v>15</v>
      </c>
      <c r="F155" t="s">
        <v>47</v>
      </c>
      <c r="G155" t="s">
        <v>15</v>
      </c>
      <c r="H155" t="s">
        <v>434</v>
      </c>
      <c r="I155" t="s">
        <v>434</v>
      </c>
      <c r="J155" t="s">
        <v>387</v>
      </c>
      <c r="K155" t="s">
        <v>505</v>
      </c>
    </row>
    <row r="156" spans="1:11" x14ac:dyDescent="0.25">
      <c r="A156">
        <v>155</v>
      </c>
      <c r="B156" t="s">
        <v>259</v>
      </c>
      <c r="C156" t="s">
        <v>260</v>
      </c>
      <c r="D156" t="s">
        <v>88</v>
      </c>
      <c r="E156" t="s">
        <v>15</v>
      </c>
      <c r="F156" t="s">
        <v>102</v>
      </c>
      <c r="G156" t="s">
        <v>15</v>
      </c>
      <c r="H156" t="s">
        <v>509</v>
      </c>
      <c r="I156" t="s">
        <v>509</v>
      </c>
      <c r="J156" t="s">
        <v>387</v>
      </c>
      <c r="K156" t="s">
        <v>505</v>
      </c>
    </row>
    <row r="157" spans="1:11" x14ac:dyDescent="0.25">
      <c r="A157">
        <v>156</v>
      </c>
      <c r="B157" t="s">
        <v>261</v>
      </c>
      <c r="C157" t="s">
        <v>262</v>
      </c>
      <c r="D157" t="s">
        <v>88</v>
      </c>
      <c r="E157" t="s">
        <v>464</v>
      </c>
      <c r="F157" t="s">
        <v>15</v>
      </c>
      <c r="G157" t="s">
        <v>47</v>
      </c>
      <c r="H157" t="s">
        <v>462</v>
      </c>
      <c r="I157" t="s">
        <v>465</v>
      </c>
      <c r="J157" t="s">
        <v>387</v>
      </c>
      <c r="K157" t="s">
        <v>505</v>
      </c>
    </row>
    <row r="158" spans="1:11" x14ac:dyDescent="0.25">
      <c r="A158">
        <v>157</v>
      </c>
      <c r="B158" t="s">
        <v>510</v>
      </c>
      <c r="C158" t="s">
        <v>511</v>
      </c>
      <c r="D158" t="s">
        <v>88</v>
      </c>
      <c r="E158" t="s">
        <v>512</v>
      </c>
      <c r="F158" t="s">
        <v>15</v>
      </c>
      <c r="G158" t="s">
        <v>47</v>
      </c>
      <c r="H158" t="s">
        <v>513</v>
      </c>
      <c r="I158" t="s">
        <v>465</v>
      </c>
      <c r="J158" t="s">
        <v>387</v>
      </c>
      <c r="K158" t="s">
        <v>505</v>
      </c>
    </row>
    <row r="159" spans="1:11" x14ac:dyDescent="0.25">
      <c r="A159">
        <v>158</v>
      </c>
      <c r="B159" t="s">
        <v>192</v>
      </c>
      <c r="C159" t="s">
        <v>193</v>
      </c>
      <c r="D159" t="s">
        <v>194</v>
      </c>
      <c r="E159" t="s">
        <v>514</v>
      </c>
      <c r="F159" t="s">
        <v>58</v>
      </c>
      <c r="G159" t="s">
        <v>196</v>
      </c>
      <c r="H159" t="s">
        <v>141</v>
      </c>
      <c r="I159" t="s">
        <v>515</v>
      </c>
      <c r="J159" t="s">
        <v>387</v>
      </c>
      <c r="K159" t="s">
        <v>505</v>
      </c>
    </row>
    <row r="160" spans="1:11" x14ac:dyDescent="0.25">
      <c r="A160">
        <v>159</v>
      </c>
      <c r="B160" t="s">
        <v>516</v>
      </c>
      <c r="C160" t="s">
        <v>517</v>
      </c>
      <c r="D160" t="s">
        <v>518</v>
      </c>
      <c r="E160" t="s">
        <v>15</v>
      </c>
      <c r="F160" t="s">
        <v>15</v>
      </c>
      <c r="G160" t="s">
        <v>15</v>
      </c>
      <c r="H160" t="s">
        <v>519</v>
      </c>
      <c r="I160" t="s">
        <v>519</v>
      </c>
      <c r="J160" t="s">
        <v>387</v>
      </c>
      <c r="K160" t="s">
        <v>505</v>
      </c>
    </row>
    <row r="161" spans="1:11" x14ac:dyDescent="0.25">
      <c r="A161">
        <v>160</v>
      </c>
      <c r="B161" t="s">
        <v>441</v>
      </c>
      <c r="C161" t="s">
        <v>442</v>
      </c>
      <c r="D161" t="s">
        <v>23</v>
      </c>
      <c r="E161" t="s">
        <v>520</v>
      </c>
      <c r="F161" t="s">
        <v>15</v>
      </c>
      <c r="G161" t="s">
        <v>136</v>
      </c>
      <c r="H161" t="s">
        <v>521</v>
      </c>
      <c r="I161" t="s">
        <v>203</v>
      </c>
      <c r="J161" t="s">
        <v>387</v>
      </c>
      <c r="K161" t="s">
        <v>505</v>
      </c>
    </row>
    <row r="162" spans="1:11" x14ac:dyDescent="0.25">
      <c r="A162">
        <v>161</v>
      </c>
      <c r="B162" t="s">
        <v>337</v>
      </c>
      <c r="C162" t="s">
        <v>338</v>
      </c>
      <c r="D162" t="s">
        <v>339</v>
      </c>
      <c r="E162" t="s">
        <v>340</v>
      </c>
      <c r="F162" t="s">
        <v>15</v>
      </c>
      <c r="G162" t="s">
        <v>196</v>
      </c>
      <c r="H162" t="s">
        <v>522</v>
      </c>
      <c r="I162" t="s">
        <v>523</v>
      </c>
      <c r="J162" t="s">
        <v>387</v>
      </c>
      <c r="K162" t="s">
        <v>524</v>
      </c>
    </row>
    <row r="163" spans="1:11" x14ac:dyDescent="0.25">
      <c r="A163">
        <v>162</v>
      </c>
      <c r="B163" t="s">
        <v>287</v>
      </c>
      <c r="C163" t="s">
        <v>288</v>
      </c>
      <c r="D163" t="s">
        <v>88</v>
      </c>
      <c r="E163" t="s">
        <v>294</v>
      </c>
      <c r="F163" t="s">
        <v>15</v>
      </c>
      <c r="G163" t="s">
        <v>32</v>
      </c>
      <c r="H163" t="s">
        <v>295</v>
      </c>
      <c r="I163" t="s">
        <v>296</v>
      </c>
      <c r="J163" t="s">
        <v>387</v>
      </c>
      <c r="K163" t="s">
        <v>525</v>
      </c>
    </row>
    <row r="164" spans="1:11" x14ac:dyDescent="0.25">
      <c r="A164">
        <v>163</v>
      </c>
      <c r="B164" t="s">
        <v>292</v>
      </c>
      <c r="C164" t="s">
        <v>293</v>
      </c>
      <c r="D164" t="s">
        <v>88</v>
      </c>
      <c r="E164" t="s">
        <v>294</v>
      </c>
      <c r="F164" t="s">
        <v>15</v>
      </c>
      <c r="G164" t="s">
        <v>32</v>
      </c>
      <c r="H164" t="s">
        <v>295</v>
      </c>
      <c r="I164" t="s">
        <v>296</v>
      </c>
      <c r="J164" t="s">
        <v>387</v>
      </c>
      <c r="K164" t="s">
        <v>525</v>
      </c>
    </row>
    <row r="165" spans="1:11" x14ac:dyDescent="0.25">
      <c r="A165">
        <v>164</v>
      </c>
      <c r="B165" t="s">
        <v>297</v>
      </c>
      <c r="C165" t="s">
        <v>298</v>
      </c>
      <c r="D165" t="s">
        <v>88</v>
      </c>
      <c r="E165" t="s">
        <v>294</v>
      </c>
      <c r="F165" t="s">
        <v>15</v>
      </c>
      <c r="G165" t="s">
        <v>32</v>
      </c>
      <c r="H165" t="s">
        <v>295</v>
      </c>
      <c r="I165" t="s">
        <v>296</v>
      </c>
      <c r="J165" t="s">
        <v>387</v>
      </c>
      <c r="K165" t="s">
        <v>525</v>
      </c>
    </row>
    <row r="166" spans="1:11" x14ac:dyDescent="0.25">
      <c r="A166">
        <v>165</v>
      </c>
      <c r="B166" t="s">
        <v>526</v>
      </c>
      <c r="C166" t="s">
        <v>527</v>
      </c>
      <c r="D166" t="s">
        <v>369</v>
      </c>
      <c r="E166" t="s">
        <v>370</v>
      </c>
      <c r="F166" t="s">
        <v>15</v>
      </c>
      <c r="G166" t="s">
        <v>125</v>
      </c>
      <c r="H166" t="s">
        <v>352</v>
      </c>
      <c r="I166" t="s">
        <v>371</v>
      </c>
      <c r="J166" t="s">
        <v>387</v>
      </c>
      <c r="K166" t="s">
        <v>525</v>
      </c>
    </row>
    <row r="167" spans="1:11" x14ac:dyDescent="0.25">
      <c r="A167">
        <v>166</v>
      </c>
      <c r="B167" t="s">
        <v>528</v>
      </c>
      <c r="C167" t="s">
        <v>529</v>
      </c>
      <c r="D167" t="s">
        <v>530</v>
      </c>
      <c r="E167" t="s">
        <v>531</v>
      </c>
      <c r="F167" t="s">
        <v>90</v>
      </c>
      <c r="G167" t="s">
        <v>102</v>
      </c>
      <c r="H167" t="s">
        <v>532</v>
      </c>
      <c r="I167" t="s">
        <v>533</v>
      </c>
      <c r="J167" t="s">
        <v>534</v>
      </c>
      <c r="K167" t="s">
        <v>535</v>
      </c>
    </row>
    <row r="168" spans="1:11" x14ac:dyDescent="0.25">
      <c r="A168">
        <v>167</v>
      </c>
      <c r="B168" t="s">
        <v>163</v>
      </c>
      <c r="C168" t="s">
        <v>164</v>
      </c>
      <c r="D168" t="s">
        <v>45</v>
      </c>
      <c r="E168" t="s">
        <v>536</v>
      </c>
      <c r="F168" t="s">
        <v>32</v>
      </c>
      <c r="G168" t="s">
        <v>196</v>
      </c>
      <c r="H168" t="s">
        <v>537</v>
      </c>
      <c r="I168" t="s">
        <v>538</v>
      </c>
      <c r="J168" t="s">
        <v>539</v>
      </c>
      <c r="K168" t="s">
        <v>166</v>
      </c>
    </row>
    <row r="169" spans="1:11" x14ac:dyDescent="0.25">
      <c r="A169">
        <v>168</v>
      </c>
      <c r="B169" t="s">
        <v>540</v>
      </c>
      <c r="C169" t="s">
        <v>541</v>
      </c>
      <c r="D169" t="s">
        <v>339</v>
      </c>
      <c r="E169" t="s">
        <v>542</v>
      </c>
      <c r="F169" t="s">
        <v>15</v>
      </c>
      <c r="G169" t="s">
        <v>290</v>
      </c>
      <c r="H169" t="s">
        <v>543</v>
      </c>
      <c r="I169" t="s">
        <v>544</v>
      </c>
      <c r="J169" t="s">
        <v>539</v>
      </c>
      <c r="K169" t="s">
        <v>166</v>
      </c>
    </row>
    <row r="170" spans="1:11" x14ac:dyDescent="0.25">
      <c r="A170">
        <v>169</v>
      </c>
      <c r="B170" t="s">
        <v>545</v>
      </c>
      <c r="C170" t="s">
        <v>546</v>
      </c>
      <c r="D170" t="s">
        <v>45</v>
      </c>
      <c r="E170" t="s">
        <v>547</v>
      </c>
      <c r="F170" t="s">
        <v>125</v>
      </c>
      <c r="G170" t="s">
        <v>102</v>
      </c>
      <c r="H170" t="s">
        <v>548</v>
      </c>
      <c r="I170" t="s">
        <v>549</v>
      </c>
      <c r="J170" t="s">
        <v>539</v>
      </c>
      <c r="K170" t="s">
        <v>388</v>
      </c>
    </row>
    <row r="171" spans="1:11" x14ac:dyDescent="0.25">
      <c r="A171">
        <v>170</v>
      </c>
      <c r="B171" t="s">
        <v>163</v>
      </c>
      <c r="C171" t="s">
        <v>164</v>
      </c>
      <c r="D171" t="s">
        <v>45</v>
      </c>
      <c r="E171" t="s">
        <v>536</v>
      </c>
      <c r="F171" t="s">
        <v>32</v>
      </c>
      <c r="G171" t="s">
        <v>196</v>
      </c>
      <c r="H171" t="s">
        <v>537</v>
      </c>
      <c r="I171" t="s">
        <v>538</v>
      </c>
      <c r="J171" t="s">
        <v>539</v>
      </c>
      <c r="K171" t="s">
        <v>188</v>
      </c>
    </row>
    <row r="172" spans="1:11" x14ac:dyDescent="0.25">
      <c r="A172">
        <v>171</v>
      </c>
      <c r="B172" t="s">
        <v>86</v>
      </c>
      <c r="C172" t="s">
        <v>87</v>
      </c>
      <c r="D172" t="s">
        <v>88</v>
      </c>
      <c r="E172" t="s">
        <v>550</v>
      </c>
      <c r="F172" t="s">
        <v>15</v>
      </c>
      <c r="G172" t="s">
        <v>58</v>
      </c>
      <c r="H172" t="s">
        <v>475</v>
      </c>
      <c r="I172" t="s">
        <v>551</v>
      </c>
      <c r="J172" t="s">
        <v>539</v>
      </c>
      <c r="K172" t="s">
        <v>552</v>
      </c>
    </row>
    <row r="173" spans="1:11" x14ac:dyDescent="0.25">
      <c r="A173">
        <v>172</v>
      </c>
      <c r="B173" t="s">
        <v>94</v>
      </c>
      <c r="C173" t="s">
        <v>95</v>
      </c>
      <c r="D173" t="s">
        <v>45</v>
      </c>
      <c r="E173" t="s">
        <v>411</v>
      </c>
      <c r="F173" t="s">
        <v>15</v>
      </c>
      <c r="G173" t="s">
        <v>63</v>
      </c>
      <c r="H173" t="s">
        <v>34</v>
      </c>
      <c r="I173" t="s">
        <v>412</v>
      </c>
      <c r="J173" t="s">
        <v>539</v>
      </c>
      <c r="K173" t="s">
        <v>553</v>
      </c>
    </row>
    <row r="174" spans="1:11" x14ac:dyDescent="0.25">
      <c r="A174">
        <v>173</v>
      </c>
      <c r="B174" t="s">
        <v>11</v>
      </c>
      <c r="C174" t="s">
        <v>12</v>
      </c>
      <c r="D174" t="s">
        <v>13</v>
      </c>
      <c r="E174" t="s">
        <v>554</v>
      </c>
      <c r="F174" t="s">
        <v>15</v>
      </c>
      <c r="G174" t="s">
        <v>469</v>
      </c>
      <c r="H174" t="s">
        <v>555</v>
      </c>
      <c r="I174" t="s">
        <v>457</v>
      </c>
      <c r="J174" t="s">
        <v>539</v>
      </c>
      <c r="K174" t="s">
        <v>553</v>
      </c>
    </row>
    <row r="175" spans="1:11" x14ac:dyDescent="0.25">
      <c r="A175">
        <v>174</v>
      </c>
      <c r="B175" t="s">
        <v>413</v>
      </c>
      <c r="C175" t="s">
        <v>414</v>
      </c>
      <c r="D175" t="s">
        <v>194</v>
      </c>
      <c r="E175" t="s">
        <v>556</v>
      </c>
      <c r="F175" t="s">
        <v>102</v>
      </c>
      <c r="G175" t="s">
        <v>557</v>
      </c>
      <c r="H175" t="s">
        <v>558</v>
      </c>
      <c r="I175" t="s">
        <v>277</v>
      </c>
      <c r="J175" t="s">
        <v>539</v>
      </c>
      <c r="K175" t="s">
        <v>200</v>
      </c>
    </row>
    <row r="176" spans="1:11" x14ac:dyDescent="0.25">
      <c r="A176">
        <v>175</v>
      </c>
      <c r="B176" t="s">
        <v>559</v>
      </c>
      <c r="C176" t="s">
        <v>560</v>
      </c>
      <c r="D176" t="s">
        <v>88</v>
      </c>
      <c r="E176" t="s">
        <v>561</v>
      </c>
      <c r="F176" t="s">
        <v>47</v>
      </c>
      <c r="G176" t="s">
        <v>102</v>
      </c>
      <c r="H176" t="s">
        <v>562</v>
      </c>
      <c r="I176" t="s">
        <v>424</v>
      </c>
      <c r="J176" t="s">
        <v>539</v>
      </c>
      <c r="K176" t="s">
        <v>563</v>
      </c>
    </row>
    <row r="177" spans="1:11" x14ac:dyDescent="0.25">
      <c r="A177">
        <v>176</v>
      </c>
      <c r="B177" t="s">
        <v>564</v>
      </c>
      <c r="C177" t="s">
        <v>565</v>
      </c>
      <c r="D177" t="s">
        <v>369</v>
      </c>
      <c r="E177" t="s">
        <v>15</v>
      </c>
      <c r="F177" t="s">
        <v>125</v>
      </c>
      <c r="G177" t="s">
        <v>15</v>
      </c>
      <c r="H177" t="s">
        <v>566</v>
      </c>
      <c r="I177" t="s">
        <v>566</v>
      </c>
      <c r="J177" t="s">
        <v>539</v>
      </c>
      <c r="K177" t="s">
        <v>563</v>
      </c>
    </row>
    <row r="178" spans="1:11" x14ac:dyDescent="0.25">
      <c r="A178">
        <v>177</v>
      </c>
      <c r="B178" t="s">
        <v>67</v>
      </c>
      <c r="C178" t="s">
        <v>68</v>
      </c>
      <c r="D178" t="s">
        <v>13</v>
      </c>
      <c r="E178" t="s">
        <v>73</v>
      </c>
      <c r="F178" t="s">
        <v>15</v>
      </c>
      <c r="G178" t="s">
        <v>16</v>
      </c>
      <c r="H178" t="s">
        <v>567</v>
      </c>
      <c r="I178" t="s">
        <v>568</v>
      </c>
      <c r="J178" t="s">
        <v>539</v>
      </c>
      <c r="K178" t="s">
        <v>76</v>
      </c>
    </row>
    <row r="179" spans="1:11" x14ac:dyDescent="0.25">
      <c r="A179">
        <v>178</v>
      </c>
      <c r="B179" t="s">
        <v>163</v>
      </c>
      <c r="C179" t="s">
        <v>164</v>
      </c>
      <c r="D179" t="s">
        <v>45</v>
      </c>
      <c r="E179" t="s">
        <v>569</v>
      </c>
      <c r="F179" t="s">
        <v>125</v>
      </c>
      <c r="G179" t="s">
        <v>102</v>
      </c>
      <c r="H179" t="s">
        <v>570</v>
      </c>
      <c r="I179" t="s">
        <v>571</v>
      </c>
      <c r="J179" t="s">
        <v>539</v>
      </c>
      <c r="K179" t="s">
        <v>428</v>
      </c>
    </row>
    <row r="180" spans="1:11" x14ac:dyDescent="0.25">
      <c r="A180">
        <v>179</v>
      </c>
      <c r="B180" t="s">
        <v>572</v>
      </c>
      <c r="C180" t="s">
        <v>573</v>
      </c>
      <c r="D180" t="s">
        <v>45</v>
      </c>
      <c r="E180" t="s">
        <v>264</v>
      </c>
      <c r="F180" t="s">
        <v>15</v>
      </c>
      <c r="G180" t="s">
        <v>136</v>
      </c>
      <c r="H180" t="s">
        <v>574</v>
      </c>
      <c r="I180" t="s">
        <v>48</v>
      </c>
      <c r="J180" t="s">
        <v>539</v>
      </c>
      <c r="K180" t="s">
        <v>575</v>
      </c>
    </row>
    <row r="181" spans="1:11" x14ac:dyDescent="0.25">
      <c r="A181">
        <v>180</v>
      </c>
      <c r="B181" t="s">
        <v>576</v>
      </c>
      <c r="C181" t="s">
        <v>577</v>
      </c>
      <c r="D181" t="s">
        <v>45</v>
      </c>
      <c r="E181" t="s">
        <v>419</v>
      </c>
      <c r="F181" t="s">
        <v>15</v>
      </c>
      <c r="G181" t="s">
        <v>59</v>
      </c>
      <c r="H181" t="s">
        <v>60</v>
      </c>
      <c r="I181" t="s">
        <v>114</v>
      </c>
      <c r="J181" t="s">
        <v>539</v>
      </c>
      <c r="K181" t="s">
        <v>575</v>
      </c>
    </row>
    <row r="182" spans="1:11" x14ac:dyDescent="0.25">
      <c r="A182">
        <v>181</v>
      </c>
      <c r="B182" t="s">
        <v>416</v>
      </c>
      <c r="C182" t="s">
        <v>417</v>
      </c>
      <c r="D182" t="s">
        <v>45</v>
      </c>
      <c r="E182" t="s">
        <v>141</v>
      </c>
      <c r="F182" t="s">
        <v>15</v>
      </c>
      <c r="G182" t="s">
        <v>63</v>
      </c>
      <c r="H182" t="s">
        <v>418</v>
      </c>
      <c r="I182" t="s">
        <v>419</v>
      </c>
      <c r="J182" t="s">
        <v>539</v>
      </c>
      <c r="K182" t="s">
        <v>578</v>
      </c>
    </row>
    <row r="183" spans="1:11" x14ac:dyDescent="0.25">
      <c r="A183">
        <v>182</v>
      </c>
      <c r="B183" t="s">
        <v>579</v>
      </c>
      <c r="C183" t="s">
        <v>580</v>
      </c>
      <c r="D183" t="s">
        <v>45</v>
      </c>
      <c r="E183" t="s">
        <v>581</v>
      </c>
      <c r="F183" t="s">
        <v>15</v>
      </c>
      <c r="G183" t="s">
        <v>102</v>
      </c>
      <c r="H183" t="s">
        <v>424</v>
      </c>
      <c r="I183" t="s">
        <v>582</v>
      </c>
      <c r="J183" t="s">
        <v>539</v>
      </c>
      <c r="K183" t="s">
        <v>578</v>
      </c>
    </row>
    <row r="184" spans="1:11" x14ac:dyDescent="0.25">
      <c r="A184">
        <v>183</v>
      </c>
      <c r="B184" t="s">
        <v>133</v>
      </c>
      <c r="C184" t="s">
        <v>134</v>
      </c>
      <c r="D184" t="s">
        <v>13</v>
      </c>
      <c r="E184" t="s">
        <v>135</v>
      </c>
      <c r="F184" t="s">
        <v>15</v>
      </c>
      <c r="G184" t="s">
        <v>136</v>
      </c>
      <c r="H184" t="s">
        <v>574</v>
      </c>
      <c r="I184" t="s">
        <v>583</v>
      </c>
      <c r="J184" t="s">
        <v>539</v>
      </c>
      <c r="K184" t="s">
        <v>578</v>
      </c>
    </row>
    <row r="185" spans="1:11" x14ac:dyDescent="0.25">
      <c r="A185">
        <v>184</v>
      </c>
      <c r="B185" t="s">
        <v>11</v>
      </c>
      <c r="C185" t="s">
        <v>12</v>
      </c>
      <c r="D185" t="s">
        <v>13</v>
      </c>
      <c r="E185" t="s">
        <v>18</v>
      </c>
      <c r="F185" t="s">
        <v>32</v>
      </c>
      <c r="G185" t="s">
        <v>70</v>
      </c>
      <c r="H185" t="s">
        <v>189</v>
      </c>
      <c r="I185" t="s">
        <v>190</v>
      </c>
      <c r="J185" t="s">
        <v>539</v>
      </c>
      <c r="K185" t="s">
        <v>206</v>
      </c>
    </row>
    <row r="186" spans="1:11" x14ac:dyDescent="0.25">
      <c r="A186">
        <v>185</v>
      </c>
      <c r="B186" t="s">
        <v>584</v>
      </c>
      <c r="C186" t="s">
        <v>585</v>
      </c>
      <c r="D186" t="s">
        <v>23</v>
      </c>
      <c r="E186" t="s">
        <v>586</v>
      </c>
      <c r="F186" t="s">
        <v>125</v>
      </c>
      <c r="G186" t="s">
        <v>180</v>
      </c>
      <c r="H186" t="s">
        <v>587</v>
      </c>
      <c r="I186" t="s">
        <v>588</v>
      </c>
      <c r="J186" t="s">
        <v>539</v>
      </c>
      <c r="K186" t="s">
        <v>478</v>
      </c>
    </row>
    <row r="187" spans="1:11" x14ac:dyDescent="0.25">
      <c r="A187">
        <v>186</v>
      </c>
      <c r="B187" t="s">
        <v>429</v>
      </c>
      <c r="C187" t="s">
        <v>430</v>
      </c>
      <c r="D187" t="s">
        <v>88</v>
      </c>
      <c r="E187" t="s">
        <v>15</v>
      </c>
      <c r="F187" t="s">
        <v>47</v>
      </c>
      <c r="G187" t="s">
        <v>15</v>
      </c>
      <c r="H187" t="s">
        <v>589</v>
      </c>
      <c r="I187" t="s">
        <v>589</v>
      </c>
      <c r="J187" t="s">
        <v>539</v>
      </c>
      <c r="K187" t="s">
        <v>590</v>
      </c>
    </row>
    <row r="188" spans="1:11" x14ac:dyDescent="0.25">
      <c r="A188">
        <v>187</v>
      </c>
      <c r="B188" t="s">
        <v>261</v>
      </c>
      <c r="C188" t="s">
        <v>262</v>
      </c>
      <c r="D188" t="s">
        <v>88</v>
      </c>
      <c r="E188" t="s">
        <v>464</v>
      </c>
      <c r="F188" t="s">
        <v>15</v>
      </c>
      <c r="G188" t="s">
        <v>47</v>
      </c>
      <c r="H188" t="s">
        <v>462</v>
      </c>
      <c r="I188" t="s">
        <v>465</v>
      </c>
      <c r="J188" t="s">
        <v>539</v>
      </c>
      <c r="K188" t="s">
        <v>590</v>
      </c>
    </row>
    <row r="189" spans="1:11" x14ac:dyDescent="0.25">
      <c r="A189">
        <v>188</v>
      </c>
      <c r="B189" t="s">
        <v>183</v>
      </c>
      <c r="C189" t="s">
        <v>184</v>
      </c>
      <c r="D189" t="s">
        <v>23</v>
      </c>
      <c r="E189" t="s">
        <v>185</v>
      </c>
      <c r="F189" t="s">
        <v>15</v>
      </c>
      <c r="G189" t="s">
        <v>102</v>
      </c>
      <c r="H189" t="s">
        <v>591</v>
      </c>
      <c r="I189" t="s">
        <v>592</v>
      </c>
      <c r="J189" t="s">
        <v>539</v>
      </c>
      <c r="K189" t="s">
        <v>593</v>
      </c>
    </row>
    <row r="190" spans="1:11" x14ac:dyDescent="0.25">
      <c r="A190">
        <v>189</v>
      </c>
      <c r="B190" t="s">
        <v>400</v>
      </c>
      <c r="C190" t="s">
        <v>401</v>
      </c>
      <c r="D190" t="s">
        <v>13</v>
      </c>
      <c r="E190" t="s">
        <v>594</v>
      </c>
      <c r="F190" t="s">
        <v>15</v>
      </c>
      <c r="G190" t="s">
        <v>136</v>
      </c>
      <c r="H190" t="s">
        <v>595</v>
      </c>
      <c r="I190" t="s">
        <v>596</v>
      </c>
      <c r="J190" t="s">
        <v>539</v>
      </c>
      <c r="K190" t="s">
        <v>119</v>
      </c>
    </row>
    <row r="191" spans="1:11" x14ac:dyDescent="0.25">
      <c r="A191">
        <v>190</v>
      </c>
      <c r="B191" t="s">
        <v>36</v>
      </c>
      <c r="C191" t="s">
        <v>37</v>
      </c>
      <c r="D191" t="s">
        <v>13</v>
      </c>
      <c r="E191" t="s">
        <v>15</v>
      </c>
      <c r="F191" t="s">
        <v>58</v>
      </c>
      <c r="G191" t="s">
        <v>15</v>
      </c>
      <c r="H191" t="s">
        <v>597</v>
      </c>
      <c r="I191" t="s">
        <v>597</v>
      </c>
      <c r="J191" t="s">
        <v>539</v>
      </c>
      <c r="K191" t="s">
        <v>119</v>
      </c>
    </row>
    <row r="192" spans="1:11" x14ac:dyDescent="0.25">
      <c r="A192">
        <v>191</v>
      </c>
      <c r="B192" t="s">
        <v>598</v>
      </c>
      <c r="C192" t="s">
        <v>599</v>
      </c>
      <c r="D192" t="s">
        <v>194</v>
      </c>
      <c r="E192" t="s">
        <v>600</v>
      </c>
      <c r="F192" t="s">
        <v>15</v>
      </c>
      <c r="G192" t="s">
        <v>63</v>
      </c>
      <c r="H192" t="s">
        <v>601</v>
      </c>
      <c r="I192" t="s">
        <v>602</v>
      </c>
      <c r="J192" t="s">
        <v>539</v>
      </c>
      <c r="K192" t="s">
        <v>119</v>
      </c>
    </row>
    <row r="193" spans="1:11" x14ac:dyDescent="0.25">
      <c r="A193">
        <v>192</v>
      </c>
      <c r="B193" t="s">
        <v>584</v>
      </c>
      <c r="C193" t="s">
        <v>585</v>
      </c>
      <c r="D193" t="s">
        <v>23</v>
      </c>
      <c r="E193" t="s">
        <v>586</v>
      </c>
      <c r="F193" t="s">
        <v>125</v>
      </c>
      <c r="G193" t="s">
        <v>180</v>
      </c>
      <c r="H193" t="s">
        <v>587</v>
      </c>
      <c r="I193" t="s">
        <v>588</v>
      </c>
      <c r="J193" t="s">
        <v>539</v>
      </c>
      <c r="K193" t="s">
        <v>603</v>
      </c>
    </row>
    <row r="194" spans="1:11" x14ac:dyDescent="0.25">
      <c r="A194">
        <v>193</v>
      </c>
      <c r="B194" t="s">
        <v>133</v>
      </c>
      <c r="C194" t="s">
        <v>134</v>
      </c>
      <c r="D194" t="s">
        <v>13</v>
      </c>
      <c r="E194" t="s">
        <v>135</v>
      </c>
      <c r="F194" t="s">
        <v>15</v>
      </c>
      <c r="G194" t="s">
        <v>136</v>
      </c>
      <c r="H194" t="s">
        <v>103</v>
      </c>
      <c r="I194" t="s">
        <v>137</v>
      </c>
      <c r="J194" t="s">
        <v>539</v>
      </c>
      <c r="K194" t="s">
        <v>127</v>
      </c>
    </row>
    <row r="195" spans="1:11" x14ac:dyDescent="0.25">
      <c r="A195">
        <v>194</v>
      </c>
      <c r="B195" t="s">
        <v>251</v>
      </c>
      <c r="C195" t="s">
        <v>252</v>
      </c>
      <c r="D195" t="s">
        <v>88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539</v>
      </c>
      <c r="K195" t="s">
        <v>604</v>
      </c>
    </row>
    <row r="196" spans="1:11" x14ac:dyDescent="0.25">
      <c r="A196">
        <v>195</v>
      </c>
      <c r="B196" t="s">
        <v>259</v>
      </c>
      <c r="C196" t="s">
        <v>260</v>
      </c>
      <c r="D196" t="s">
        <v>88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539</v>
      </c>
      <c r="K196" t="s">
        <v>604</v>
      </c>
    </row>
    <row r="197" spans="1:11" x14ac:dyDescent="0.25">
      <c r="A197">
        <v>196</v>
      </c>
      <c r="B197" t="s">
        <v>605</v>
      </c>
      <c r="C197" t="s">
        <v>606</v>
      </c>
      <c r="D197" t="s">
        <v>23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607</v>
      </c>
      <c r="K197" t="s">
        <v>608</v>
      </c>
    </row>
    <row r="198" spans="1:11" x14ac:dyDescent="0.25">
      <c r="A198">
        <v>197</v>
      </c>
      <c r="B198" t="s">
        <v>605</v>
      </c>
      <c r="C198" t="s">
        <v>606</v>
      </c>
      <c r="D198" t="s">
        <v>23</v>
      </c>
      <c r="E198" t="s">
        <v>609</v>
      </c>
      <c r="F198" t="s">
        <v>15</v>
      </c>
      <c r="G198" t="s">
        <v>197</v>
      </c>
      <c r="H198" t="s">
        <v>610</v>
      </c>
      <c r="I198" t="s">
        <v>611</v>
      </c>
      <c r="J198" t="s">
        <v>612</v>
      </c>
      <c r="K198" t="s">
        <v>608</v>
      </c>
    </row>
    <row r="199" spans="1:11" x14ac:dyDescent="0.25">
      <c r="A199">
        <v>198</v>
      </c>
      <c r="B199" t="s">
        <v>613</v>
      </c>
      <c r="C199" t="s">
        <v>614</v>
      </c>
      <c r="D199" t="s">
        <v>88</v>
      </c>
      <c r="E199" t="s">
        <v>615</v>
      </c>
      <c r="F199" t="s">
        <v>15</v>
      </c>
      <c r="G199" t="s">
        <v>125</v>
      </c>
      <c r="H199" t="s">
        <v>72</v>
      </c>
      <c r="I199" t="s">
        <v>616</v>
      </c>
      <c r="J199" t="s">
        <v>617</v>
      </c>
      <c r="K199" t="s">
        <v>329</v>
      </c>
    </row>
    <row r="200" spans="1:11" x14ac:dyDescent="0.25">
      <c r="A200">
        <v>199</v>
      </c>
      <c r="B200" t="s">
        <v>618</v>
      </c>
      <c r="C200" t="s">
        <v>619</v>
      </c>
      <c r="D200" t="s">
        <v>88</v>
      </c>
      <c r="E200" t="s">
        <v>615</v>
      </c>
      <c r="F200" t="s">
        <v>15</v>
      </c>
      <c r="G200" t="s">
        <v>125</v>
      </c>
      <c r="H200" t="s">
        <v>72</v>
      </c>
      <c r="I200" t="s">
        <v>616</v>
      </c>
      <c r="J200" t="s">
        <v>617</v>
      </c>
      <c r="K200" t="s">
        <v>329</v>
      </c>
    </row>
    <row r="201" spans="1:11" x14ac:dyDescent="0.25">
      <c r="A201">
        <v>200</v>
      </c>
      <c r="B201" t="s">
        <v>620</v>
      </c>
      <c r="C201" t="s">
        <v>621</v>
      </c>
      <c r="D201" t="s">
        <v>336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617</v>
      </c>
      <c r="K201" t="s">
        <v>329</v>
      </c>
    </row>
    <row r="202" spans="1:11" x14ac:dyDescent="0.25">
      <c r="A202">
        <v>201</v>
      </c>
      <c r="B202" t="s">
        <v>622</v>
      </c>
      <c r="C202" t="s">
        <v>623</v>
      </c>
      <c r="D202" t="s">
        <v>13</v>
      </c>
      <c r="E202" t="s">
        <v>203</v>
      </c>
      <c r="F202" t="s">
        <v>15</v>
      </c>
      <c r="G202" t="s">
        <v>624</v>
      </c>
      <c r="H202" t="s">
        <v>114</v>
      </c>
      <c r="I202" t="s">
        <v>160</v>
      </c>
      <c r="J202" t="s">
        <v>617</v>
      </c>
      <c r="K202" t="s">
        <v>625</v>
      </c>
    </row>
    <row r="203" spans="1:11" x14ac:dyDescent="0.25">
      <c r="A203">
        <v>202</v>
      </c>
      <c r="B203" t="s">
        <v>626</v>
      </c>
      <c r="C203" t="s">
        <v>627</v>
      </c>
      <c r="D203" t="s">
        <v>13</v>
      </c>
      <c r="E203" t="s">
        <v>203</v>
      </c>
      <c r="F203" t="s">
        <v>15</v>
      </c>
      <c r="G203" t="s">
        <v>624</v>
      </c>
      <c r="H203" t="s">
        <v>114</v>
      </c>
      <c r="I203" t="s">
        <v>160</v>
      </c>
      <c r="J203" t="s">
        <v>617</v>
      </c>
      <c r="K203" t="s">
        <v>625</v>
      </c>
    </row>
    <row r="204" spans="1:11" x14ac:dyDescent="0.25">
      <c r="A204">
        <v>203</v>
      </c>
      <c r="B204" t="s">
        <v>628</v>
      </c>
      <c r="C204" t="s">
        <v>629</v>
      </c>
      <c r="D204" t="s">
        <v>194</v>
      </c>
      <c r="E204" t="s">
        <v>630</v>
      </c>
      <c r="F204" t="s">
        <v>15</v>
      </c>
      <c r="G204" t="s">
        <v>58</v>
      </c>
      <c r="H204" t="s">
        <v>152</v>
      </c>
      <c r="I204" t="s">
        <v>631</v>
      </c>
      <c r="J204" t="s">
        <v>617</v>
      </c>
      <c r="K204" t="s">
        <v>625</v>
      </c>
    </row>
    <row r="205" spans="1:11" x14ac:dyDescent="0.25">
      <c r="A205">
        <v>204</v>
      </c>
      <c r="B205" t="s">
        <v>632</v>
      </c>
      <c r="C205" t="s">
        <v>633</v>
      </c>
      <c r="D205" t="s">
        <v>13</v>
      </c>
      <c r="E205" t="s">
        <v>596</v>
      </c>
      <c r="F205" t="s">
        <v>15</v>
      </c>
      <c r="G205" t="s">
        <v>59</v>
      </c>
      <c r="H205" t="s">
        <v>60</v>
      </c>
      <c r="I205" t="s">
        <v>634</v>
      </c>
      <c r="J205" t="s">
        <v>617</v>
      </c>
      <c r="K205" t="s">
        <v>625</v>
      </c>
    </row>
    <row r="206" spans="1:11" x14ac:dyDescent="0.25">
      <c r="A206">
        <v>205</v>
      </c>
      <c r="B206" t="s">
        <v>269</v>
      </c>
      <c r="C206" t="s">
        <v>270</v>
      </c>
      <c r="D206" t="s">
        <v>13</v>
      </c>
      <c r="E206" t="s">
        <v>419</v>
      </c>
      <c r="F206" t="s">
        <v>15</v>
      </c>
      <c r="G206" t="s">
        <v>63</v>
      </c>
      <c r="H206" t="s">
        <v>217</v>
      </c>
      <c r="I206" t="s">
        <v>635</v>
      </c>
      <c r="J206" t="s">
        <v>617</v>
      </c>
      <c r="K206" t="s">
        <v>625</v>
      </c>
    </row>
    <row r="207" spans="1:11" x14ac:dyDescent="0.25">
      <c r="A207">
        <v>206</v>
      </c>
      <c r="B207" t="s">
        <v>636</v>
      </c>
      <c r="C207" t="s">
        <v>637</v>
      </c>
      <c r="D207" t="s">
        <v>13</v>
      </c>
      <c r="E207" t="s">
        <v>638</v>
      </c>
      <c r="F207" t="s">
        <v>15</v>
      </c>
      <c r="G207" t="s">
        <v>63</v>
      </c>
      <c r="H207" t="s">
        <v>217</v>
      </c>
      <c r="I207" t="s">
        <v>160</v>
      </c>
      <c r="J207" t="s">
        <v>617</v>
      </c>
      <c r="K207" t="s">
        <v>625</v>
      </c>
    </row>
    <row r="208" spans="1:11" x14ac:dyDescent="0.25">
      <c r="A208">
        <v>207</v>
      </c>
      <c r="B208" t="s">
        <v>173</v>
      </c>
      <c r="C208" t="s">
        <v>174</v>
      </c>
      <c r="D208" t="s">
        <v>30</v>
      </c>
      <c r="E208" t="s">
        <v>34</v>
      </c>
      <c r="F208" t="s">
        <v>15</v>
      </c>
      <c r="G208" t="s">
        <v>125</v>
      </c>
      <c r="H208" t="s">
        <v>380</v>
      </c>
      <c r="I208" t="s">
        <v>639</v>
      </c>
      <c r="J208" t="s">
        <v>617</v>
      </c>
      <c r="K208" t="s">
        <v>625</v>
      </c>
    </row>
    <row r="209" spans="1:11" x14ac:dyDescent="0.25">
      <c r="A209">
        <v>208</v>
      </c>
      <c r="B209" t="s">
        <v>177</v>
      </c>
      <c r="C209" t="s">
        <v>178</v>
      </c>
      <c r="D209" t="s">
        <v>30</v>
      </c>
      <c r="E209" t="s">
        <v>34</v>
      </c>
      <c r="F209" t="s">
        <v>15</v>
      </c>
      <c r="G209" t="s">
        <v>125</v>
      </c>
      <c r="H209" t="s">
        <v>380</v>
      </c>
      <c r="I209" t="s">
        <v>639</v>
      </c>
      <c r="J209" t="s">
        <v>617</v>
      </c>
      <c r="K209" t="s">
        <v>625</v>
      </c>
    </row>
    <row r="210" spans="1:11" x14ac:dyDescent="0.25">
      <c r="A210">
        <v>209</v>
      </c>
      <c r="B210" t="s">
        <v>640</v>
      </c>
      <c r="C210" t="s">
        <v>641</v>
      </c>
      <c r="D210" t="s">
        <v>194</v>
      </c>
      <c r="E210" t="s">
        <v>642</v>
      </c>
      <c r="F210" t="s">
        <v>15</v>
      </c>
      <c r="G210" t="s">
        <v>125</v>
      </c>
      <c r="H210" t="s">
        <v>643</v>
      </c>
      <c r="I210" t="s">
        <v>644</v>
      </c>
      <c r="J210" t="s">
        <v>617</v>
      </c>
      <c r="K210" t="s">
        <v>625</v>
      </c>
    </row>
    <row r="211" spans="1:11" x14ac:dyDescent="0.25">
      <c r="A211">
        <v>210</v>
      </c>
      <c r="B211" t="s">
        <v>645</v>
      </c>
      <c r="C211" t="s">
        <v>646</v>
      </c>
      <c r="D211" t="s">
        <v>194</v>
      </c>
      <c r="E211" t="s">
        <v>642</v>
      </c>
      <c r="F211" t="s">
        <v>15</v>
      </c>
      <c r="G211" t="s">
        <v>125</v>
      </c>
      <c r="H211" t="s">
        <v>643</v>
      </c>
      <c r="I211" t="s">
        <v>644</v>
      </c>
      <c r="J211" t="s">
        <v>617</v>
      </c>
      <c r="K211" t="s">
        <v>625</v>
      </c>
    </row>
    <row r="212" spans="1:11" x14ac:dyDescent="0.25">
      <c r="A212">
        <v>211</v>
      </c>
      <c r="B212" t="s">
        <v>636</v>
      </c>
      <c r="C212" t="s">
        <v>637</v>
      </c>
      <c r="D212" t="s">
        <v>13</v>
      </c>
      <c r="E212" t="s">
        <v>638</v>
      </c>
      <c r="F212" t="s">
        <v>15</v>
      </c>
      <c r="G212" t="s">
        <v>63</v>
      </c>
      <c r="H212" t="s">
        <v>222</v>
      </c>
      <c r="I212" t="s">
        <v>647</v>
      </c>
      <c r="J212" t="s">
        <v>617</v>
      </c>
      <c r="K212" t="s">
        <v>648</v>
      </c>
    </row>
    <row r="213" spans="1:11" x14ac:dyDescent="0.25">
      <c r="A213">
        <v>212</v>
      </c>
      <c r="B213" t="s">
        <v>273</v>
      </c>
      <c r="C213" t="s">
        <v>274</v>
      </c>
      <c r="D213" t="s">
        <v>13</v>
      </c>
      <c r="E213" t="s">
        <v>649</v>
      </c>
      <c r="F213" t="s">
        <v>15</v>
      </c>
      <c r="G213" t="s">
        <v>63</v>
      </c>
      <c r="H213" t="s">
        <v>377</v>
      </c>
      <c r="I213" t="s">
        <v>223</v>
      </c>
      <c r="J213" t="s">
        <v>617</v>
      </c>
      <c r="K213" t="s">
        <v>648</v>
      </c>
    </row>
    <row r="214" spans="1:11" x14ac:dyDescent="0.25">
      <c r="A214">
        <v>213</v>
      </c>
      <c r="B214" t="s">
        <v>133</v>
      </c>
      <c r="C214" t="s">
        <v>134</v>
      </c>
      <c r="D214" t="s">
        <v>13</v>
      </c>
      <c r="E214" t="s">
        <v>650</v>
      </c>
      <c r="F214" t="s">
        <v>15</v>
      </c>
      <c r="G214" t="s">
        <v>63</v>
      </c>
      <c r="H214" t="s">
        <v>377</v>
      </c>
      <c r="I214" t="s">
        <v>651</v>
      </c>
      <c r="J214" t="s">
        <v>617</v>
      </c>
      <c r="K214" t="s">
        <v>648</v>
      </c>
    </row>
    <row r="215" spans="1:11" x14ac:dyDescent="0.25">
      <c r="A215">
        <v>214</v>
      </c>
      <c r="B215" t="s">
        <v>147</v>
      </c>
      <c r="C215" t="s">
        <v>148</v>
      </c>
      <c r="D215" t="s">
        <v>149</v>
      </c>
      <c r="E215" t="s">
        <v>652</v>
      </c>
      <c r="F215" t="s">
        <v>15</v>
      </c>
      <c r="G215" t="s">
        <v>653</v>
      </c>
      <c r="H215" t="s">
        <v>365</v>
      </c>
      <c r="I215" t="s">
        <v>199</v>
      </c>
      <c r="J215" t="s">
        <v>617</v>
      </c>
      <c r="K215" t="s">
        <v>654</v>
      </c>
    </row>
    <row r="216" spans="1:11" x14ac:dyDescent="0.25">
      <c r="A216">
        <v>215</v>
      </c>
      <c r="B216" t="s">
        <v>155</v>
      </c>
      <c r="C216" t="s">
        <v>156</v>
      </c>
      <c r="D216" t="s">
        <v>149</v>
      </c>
      <c r="E216" t="s">
        <v>652</v>
      </c>
      <c r="F216" t="s">
        <v>15</v>
      </c>
      <c r="G216" t="s">
        <v>653</v>
      </c>
      <c r="H216" t="s">
        <v>365</v>
      </c>
      <c r="I216" t="s">
        <v>199</v>
      </c>
      <c r="J216" t="s">
        <v>617</v>
      </c>
      <c r="K216" t="s">
        <v>654</v>
      </c>
    </row>
    <row r="217" spans="1:11" x14ac:dyDescent="0.25">
      <c r="A217">
        <v>216</v>
      </c>
      <c r="B217" t="s">
        <v>655</v>
      </c>
      <c r="C217" t="s">
        <v>656</v>
      </c>
      <c r="D217" t="s">
        <v>107</v>
      </c>
      <c r="E217" t="s">
        <v>346</v>
      </c>
      <c r="F217" t="s">
        <v>15</v>
      </c>
      <c r="G217" t="s">
        <v>125</v>
      </c>
      <c r="H217" t="s">
        <v>152</v>
      </c>
      <c r="I217" t="s">
        <v>328</v>
      </c>
      <c r="J217" t="s">
        <v>617</v>
      </c>
      <c r="K217" t="s">
        <v>654</v>
      </c>
    </row>
    <row r="218" spans="1:11" x14ac:dyDescent="0.25">
      <c r="A218">
        <v>217</v>
      </c>
      <c r="B218" t="s">
        <v>273</v>
      </c>
      <c r="C218" t="s">
        <v>274</v>
      </c>
      <c r="D218" t="s">
        <v>13</v>
      </c>
      <c r="E218" t="s">
        <v>275</v>
      </c>
      <c r="F218" t="s">
        <v>15</v>
      </c>
      <c r="G218" t="s">
        <v>276</v>
      </c>
      <c r="H218" t="s">
        <v>657</v>
      </c>
      <c r="I218" t="s">
        <v>160</v>
      </c>
      <c r="J218" t="s">
        <v>617</v>
      </c>
      <c r="K218" t="s">
        <v>658</v>
      </c>
    </row>
    <row r="219" spans="1:11" x14ac:dyDescent="0.25">
      <c r="A219">
        <v>218</v>
      </c>
      <c r="B219" t="s">
        <v>441</v>
      </c>
      <c r="C219" t="s">
        <v>442</v>
      </c>
      <c r="D219" t="s">
        <v>23</v>
      </c>
      <c r="E219" t="s">
        <v>203</v>
      </c>
      <c r="F219" t="s">
        <v>15</v>
      </c>
      <c r="G219" t="s">
        <v>58</v>
      </c>
      <c r="H219" t="s">
        <v>253</v>
      </c>
      <c r="I219" t="s">
        <v>647</v>
      </c>
      <c r="J219" t="s">
        <v>617</v>
      </c>
      <c r="K219" t="s">
        <v>658</v>
      </c>
    </row>
    <row r="220" spans="1:11" x14ac:dyDescent="0.25">
      <c r="A220">
        <v>219</v>
      </c>
      <c r="B220" t="s">
        <v>655</v>
      </c>
      <c r="C220" t="s">
        <v>656</v>
      </c>
      <c r="D220" t="s">
        <v>107</v>
      </c>
      <c r="E220" t="s">
        <v>346</v>
      </c>
      <c r="F220" t="s">
        <v>15</v>
      </c>
      <c r="G220" t="s">
        <v>125</v>
      </c>
      <c r="H220" t="s">
        <v>152</v>
      </c>
      <c r="I220" t="s">
        <v>328</v>
      </c>
      <c r="J220" t="s">
        <v>617</v>
      </c>
      <c r="K220" t="s">
        <v>659</v>
      </c>
    </row>
    <row r="221" spans="1:11" x14ac:dyDescent="0.25">
      <c r="A221">
        <v>220</v>
      </c>
      <c r="B221" t="s">
        <v>105</v>
      </c>
      <c r="C221" t="s">
        <v>106</v>
      </c>
      <c r="D221" t="s">
        <v>107</v>
      </c>
      <c r="E221" t="s">
        <v>660</v>
      </c>
      <c r="F221" t="s">
        <v>15</v>
      </c>
      <c r="G221" t="s">
        <v>125</v>
      </c>
      <c r="H221" t="s">
        <v>409</v>
      </c>
      <c r="I221" t="s">
        <v>661</v>
      </c>
      <c r="J221" t="s">
        <v>617</v>
      </c>
      <c r="K221" t="s">
        <v>659</v>
      </c>
    </row>
    <row r="222" spans="1:11" x14ac:dyDescent="0.25">
      <c r="A222">
        <v>221</v>
      </c>
      <c r="B222" t="s">
        <v>429</v>
      </c>
      <c r="C222" t="s">
        <v>430</v>
      </c>
      <c r="D222" t="s">
        <v>88</v>
      </c>
      <c r="E222" t="s">
        <v>114</v>
      </c>
      <c r="F222" t="s">
        <v>125</v>
      </c>
      <c r="G222" t="s">
        <v>125</v>
      </c>
      <c r="H222" t="s">
        <v>643</v>
      </c>
      <c r="I222" t="s">
        <v>631</v>
      </c>
      <c r="J222" t="s">
        <v>662</v>
      </c>
      <c r="K222" t="s">
        <v>663</v>
      </c>
    </row>
    <row r="223" spans="1:11" x14ac:dyDescent="0.25">
      <c r="A223">
        <v>222</v>
      </c>
      <c r="B223" t="s">
        <v>259</v>
      </c>
      <c r="C223" t="s">
        <v>260</v>
      </c>
      <c r="D223" t="s">
        <v>88</v>
      </c>
      <c r="E223" t="s">
        <v>114</v>
      </c>
      <c r="F223" t="s">
        <v>125</v>
      </c>
      <c r="G223" t="s">
        <v>125</v>
      </c>
      <c r="H223" t="s">
        <v>643</v>
      </c>
      <c r="I223" t="s">
        <v>631</v>
      </c>
      <c r="J223" t="s">
        <v>662</v>
      </c>
      <c r="K223" t="s">
        <v>663</v>
      </c>
    </row>
    <row r="224" spans="1:11" x14ac:dyDescent="0.25">
      <c r="A224">
        <v>223</v>
      </c>
      <c r="B224" t="s">
        <v>261</v>
      </c>
      <c r="C224" t="s">
        <v>262</v>
      </c>
      <c r="D224" t="s">
        <v>88</v>
      </c>
      <c r="E224" t="s">
        <v>114</v>
      </c>
      <c r="F224" t="s">
        <v>125</v>
      </c>
      <c r="G224" t="s">
        <v>125</v>
      </c>
      <c r="H224" t="s">
        <v>643</v>
      </c>
      <c r="I224" t="s">
        <v>631</v>
      </c>
      <c r="J224" t="s">
        <v>662</v>
      </c>
      <c r="K224" t="s">
        <v>663</v>
      </c>
    </row>
    <row r="225" spans="1:11" x14ac:dyDescent="0.25">
      <c r="A225">
        <v>224</v>
      </c>
      <c r="B225" t="s">
        <v>479</v>
      </c>
      <c r="C225" t="s">
        <v>480</v>
      </c>
      <c r="D225" t="s">
        <v>45</v>
      </c>
      <c r="E225" t="s">
        <v>27</v>
      </c>
      <c r="F225" t="s">
        <v>125</v>
      </c>
      <c r="G225" t="s">
        <v>102</v>
      </c>
      <c r="H225" t="s">
        <v>570</v>
      </c>
      <c r="I225" t="s">
        <v>332</v>
      </c>
      <c r="J225" t="s">
        <v>662</v>
      </c>
      <c r="K225" t="s">
        <v>664</v>
      </c>
    </row>
    <row r="226" spans="1:11" x14ac:dyDescent="0.25">
      <c r="A226">
        <v>225</v>
      </c>
      <c r="B226" t="s">
        <v>579</v>
      </c>
      <c r="C226" t="s">
        <v>580</v>
      </c>
      <c r="D226" t="s">
        <v>45</v>
      </c>
      <c r="E226" t="s">
        <v>581</v>
      </c>
      <c r="F226" t="s">
        <v>15</v>
      </c>
      <c r="G226" t="s">
        <v>102</v>
      </c>
      <c r="H226" t="s">
        <v>424</v>
      </c>
      <c r="I226" t="s">
        <v>582</v>
      </c>
      <c r="J226" t="s">
        <v>662</v>
      </c>
      <c r="K226" t="s">
        <v>42</v>
      </c>
    </row>
    <row r="227" spans="1:11" x14ac:dyDescent="0.25">
      <c r="A227">
        <v>226</v>
      </c>
      <c r="B227" t="s">
        <v>36</v>
      </c>
      <c r="C227" t="s">
        <v>37</v>
      </c>
      <c r="D227" t="s">
        <v>13</v>
      </c>
      <c r="E227" t="s">
        <v>38</v>
      </c>
      <c r="F227" t="s">
        <v>15</v>
      </c>
      <c r="G227" t="s">
        <v>39</v>
      </c>
      <c r="H227" t="s">
        <v>40</v>
      </c>
      <c r="I227" t="s">
        <v>41</v>
      </c>
      <c r="J227" t="s">
        <v>662</v>
      </c>
      <c r="K227" t="s">
        <v>42</v>
      </c>
    </row>
    <row r="228" spans="1:11" x14ac:dyDescent="0.25">
      <c r="A228">
        <v>227</v>
      </c>
      <c r="B228" t="s">
        <v>429</v>
      </c>
      <c r="C228" t="s">
        <v>430</v>
      </c>
      <c r="D228" t="s">
        <v>88</v>
      </c>
      <c r="E228" t="s">
        <v>464</v>
      </c>
      <c r="F228" t="s">
        <v>47</v>
      </c>
      <c r="G228" t="s">
        <v>47</v>
      </c>
      <c r="H228" t="s">
        <v>665</v>
      </c>
      <c r="I228" t="s">
        <v>72</v>
      </c>
      <c r="J228" t="s">
        <v>662</v>
      </c>
      <c r="K228" t="s">
        <v>666</v>
      </c>
    </row>
    <row r="229" spans="1:11" x14ac:dyDescent="0.25">
      <c r="A229">
        <v>228</v>
      </c>
      <c r="B229" t="s">
        <v>259</v>
      </c>
      <c r="C229" t="s">
        <v>260</v>
      </c>
      <c r="D229" t="s">
        <v>88</v>
      </c>
      <c r="E229" t="s">
        <v>464</v>
      </c>
      <c r="F229" t="s">
        <v>47</v>
      </c>
      <c r="G229" t="s">
        <v>47</v>
      </c>
      <c r="H229" t="s">
        <v>665</v>
      </c>
      <c r="I229" t="s">
        <v>72</v>
      </c>
      <c r="J229" t="s">
        <v>662</v>
      </c>
      <c r="K229" t="s">
        <v>666</v>
      </c>
    </row>
    <row r="230" spans="1:11" x14ac:dyDescent="0.25">
      <c r="A230">
        <v>229</v>
      </c>
      <c r="B230" t="s">
        <v>261</v>
      </c>
      <c r="C230" t="s">
        <v>262</v>
      </c>
      <c r="D230" t="s">
        <v>88</v>
      </c>
      <c r="E230" t="s">
        <v>464</v>
      </c>
      <c r="F230" t="s">
        <v>47</v>
      </c>
      <c r="G230" t="s">
        <v>47</v>
      </c>
      <c r="H230" t="s">
        <v>665</v>
      </c>
      <c r="I230" t="s">
        <v>72</v>
      </c>
      <c r="J230" t="s">
        <v>662</v>
      </c>
      <c r="K230" t="s">
        <v>666</v>
      </c>
    </row>
    <row r="231" spans="1:11" x14ac:dyDescent="0.25">
      <c r="A231">
        <v>230</v>
      </c>
      <c r="B231" t="s">
        <v>259</v>
      </c>
      <c r="C231" t="s">
        <v>260</v>
      </c>
      <c r="D231" t="s">
        <v>88</v>
      </c>
      <c r="E231" t="s">
        <v>464</v>
      </c>
      <c r="F231" t="s">
        <v>47</v>
      </c>
      <c r="G231" t="s">
        <v>47</v>
      </c>
      <c r="H231" t="s">
        <v>665</v>
      </c>
      <c r="I231" t="s">
        <v>72</v>
      </c>
      <c r="J231" t="s">
        <v>662</v>
      </c>
      <c r="K231" t="s">
        <v>374</v>
      </c>
    </row>
    <row r="232" spans="1:11" x14ac:dyDescent="0.25">
      <c r="A232">
        <v>231</v>
      </c>
      <c r="B232" t="s">
        <v>429</v>
      </c>
      <c r="C232" t="s">
        <v>430</v>
      </c>
      <c r="D232" t="s">
        <v>88</v>
      </c>
      <c r="E232" t="s">
        <v>15</v>
      </c>
      <c r="F232" t="s">
        <v>47</v>
      </c>
      <c r="G232" t="s">
        <v>15</v>
      </c>
      <c r="H232" t="s">
        <v>589</v>
      </c>
      <c r="I232" t="s">
        <v>589</v>
      </c>
      <c r="J232" t="s">
        <v>662</v>
      </c>
      <c r="K232" t="s">
        <v>667</v>
      </c>
    </row>
    <row r="233" spans="1:11" x14ac:dyDescent="0.25">
      <c r="A233">
        <v>232</v>
      </c>
      <c r="B233" t="s">
        <v>259</v>
      </c>
      <c r="C233" t="s">
        <v>260</v>
      </c>
      <c r="D233" t="s">
        <v>88</v>
      </c>
      <c r="E233" t="s">
        <v>464</v>
      </c>
      <c r="F233" t="s">
        <v>15</v>
      </c>
      <c r="G233" t="s">
        <v>47</v>
      </c>
      <c r="H233" t="s">
        <v>462</v>
      </c>
      <c r="I233" t="s">
        <v>465</v>
      </c>
      <c r="J233" t="s">
        <v>662</v>
      </c>
      <c r="K233" t="s">
        <v>667</v>
      </c>
    </row>
    <row r="234" spans="1:11" x14ac:dyDescent="0.25">
      <c r="A234">
        <v>233</v>
      </c>
      <c r="B234" t="s">
        <v>668</v>
      </c>
      <c r="C234" t="s">
        <v>669</v>
      </c>
      <c r="D234" t="s">
        <v>88</v>
      </c>
      <c r="E234" t="s">
        <v>15</v>
      </c>
      <c r="F234" t="s">
        <v>125</v>
      </c>
      <c r="G234" t="s">
        <v>15</v>
      </c>
      <c r="H234" t="s">
        <v>670</v>
      </c>
      <c r="I234" t="s">
        <v>670</v>
      </c>
      <c r="J234" t="s">
        <v>671</v>
      </c>
      <c r="K234" t="s">
        <v>176</v>
      </c>
    </row>
    <row r="235" spans="1:11" x14ac:dyDescent="0.25">
      <c r="A235">
        <v>234</v>
      </c>
      <c r="B235" t="s">
        <v>672</v>
      </c>
      <c r="C235" t="s">
        <v>673</v>
      </c>
      <c r="D235" t="s">
        <v>88</v>
      </c>
      <c r="E235" t="s">
        <v>475</v>
      </c>
      <c r="F235" t="s">
        <v>15</v>
      </c>
      <c r="G235" t="s">
        <v>90</v>
      </c>
      <c r="H235" t="s">
        <v>674</v>
      </c>
      <c r="I235" t="s">
        <v>27</v>
      </c>
      <c r="J235" t="s">
        <v>671</v>
      </c>
      <c r="K235" t="s">
        <v>176</v>
      </c>
    </row>
    <row r="236" spans="1:11" x14ac:dyDescent="0.25">
      <c r="A236">
        <v>235</v>
      </c>
      <c r="B236" t="s">
        <v>675</v>
      </c>
      <c r="C236" t="s">
        <v>676</v>
      </c>
      <c r="D236" t="s">
        <v>88</v>
      </c>
      <c r="E236" t="s">
        <v>677</v>
      </c>
      <c r="F236" t="s">
        <v>47</v>
      </c>
      <c r="G236" t="s">
        <v>196</v>
      </c>
      <c r="H236" t="s">
        <v>678</v>
      </c>
      <c r="I236" t="s">
        <v>679</v>
      </c>
      <c r="J236" t="s">
        <v>671</v>
      </c>
      <c r="K236" t="s">
        <v>66</v>
      </c>
    </row>
    <row r="237" spans="1:11" x14ac:dyDescent="0.25">
      <c r="A237">
        <v>236</v>
      </c>
      <c r="B237" t="s">
        <v>240</v>
      </c>
      <c r="C237" t="s">
        <v>241</v>
      </c>
      <c r="D237" t="s">
        <v>88</v>
      </c>
      <c r="E237" t="s">
        <v>242</v>
      </c>
      <c r="F237" t="s">
        <v>15</v>
      </c>
      <c r="G237" t="s">
        <v>102</v>
      </c>
      <c r="H237" t="s">
        <v>243</v>
      </c>
      <c r="I237" t="s">
        <v>244</v>
      </c>
      <c r="J237" t="s">
        <v>671</v>
      </c>
      <c r="K237" t="s">
        <v>66</v>
      </c>
    </row>
    <row r="238" spans="1:11" x14ac:dyDescent="0.25">
      <c r="A238">
        <v>237</v>
      </c>
      <c r="B238" t="s">
        <v>680</v>
      </c>
      <c r="C238" t="s">
        <v>681</v>
      </c>
      <c r="D238" t="s">
        <v>30</v>
      </c>
      <c r="E238" t="s">
        <v>203</v>
      </c>
      <c r="F238" t="s">
        <v>125</v>
      </c>
      <c r="G238" t="s">
        <v>290</v>
      </c>
      <c r="H238" t="s">
        <v>141</v>
      </c>
      <c r="I238" t="s">
        <v>203</v>
      </c>
      <c r="J238" t="s">
        <v>671</v>
      </c>
      <c r="K238" t="s">
        <v>682</v>
      </c>
    </row>
    <row r="239" spans="1:11" x14ac:dyDescent="0.25">
      <c r="A239">
        <v>238</v>
      </c>
      <c r="B239" t="s">
        <v>683</v>
      </c>
      <c r="C239" t="s">
        <v>684</v>
      </c>
      <c r="D239" t="s">
        <v>45</v>
      </c>
      <c r="E239" t="s">
        <v>685</v>
      </c>
      <c r="F239" t="s">
        <v>125</v>
      </c>
      <c r="G239" t="s">
        <v>58</v>
      </c>
      <c r="H239" t="s">
        <v>151</v>
      </c>
      <c r="I239" t="s">
        <v>686</v>
      </c>
      <c r="J239" t="s">
        <v>671</v>
      </c>
      <c r="K239" t="s">
        <v>687</v>
      </c>
    </row>
    <row r="240" spans="1:11" x14ac:dyDescent="0.25">
      <c r="A240">
        <v>239</v>
      </c>
      <c r="B240" t="s">
        <v>688</v>
      </c>
      <c r="C240" t="s">
        <v>689</v>
      </c>
      <c r="D240" t="s">
        <v>45</v>
      </c>
      <c r="E240" t="s">
        <v>690</v>
      </c>
      <c r="F240" t="s">
        <v>15</v>
      </c>
      <c r="G240" t="s">
        <v>47</v>
      </c>
      <c r="H240" t="s">
        <v>264</v>
      </c>
      <c r="I240" t="s">
        <v>691</v>
      </c>
      <c r="J240" t="s">
        <v>671</v>
      </c>
      <c r="K240" t="s">
        <v>687</v>
      </c>
    </row>
    <row r="241" spans="1:11" x14ac:dyDescent="0.25">
      <c r="A241">
        <v>240</v>
      </c>
      <c r="B241" t="s">
        <v>94</v>
      </c>
      <c r="C241" t="s">
        <v>95</v>
      </c>
      <c r="D241" t="s">
        <v>45</v>
      </c>
      <c r="E241" t="s">
        <v>692</v>
      </c>
      <c r="F241" t="s">
        <v>15</v>
      </c>
      <c r="G241" t="s">
        <v>125</v>
      </c>
      <c r="H241" t="s">
        <v>693</v>
      </c>
      <c r="I241" t="s">
        <v>694</v>
      </c>
      <c r="J241" t="s">
        <v>671</v>
      </c>
      <c r="K241" t="s">
        <v>687</v>
      </c>
    </row>
    <row r="242" spans="1:11" x14ac:dyDescent="0.25">
      <c r="A242">
        <v>241</v>
      </c>
      <c r="B242" t="s">
        <v>491</v>
      </c>
      <c r="C242" t="s">
        <v>492</v>
      </c>
      <c r="D242" t="s">
        <v>88</v>
      </c>
      <c r="E242" t="s">
        <v>418</v>
      </c>
      <c r="F242" t="s">
        <v>15</v>
      </c>
      <c r="G242" t="s">
        <v>59</v>
      </c>
      <c r="H242" t="s">
        <v>657</v>
      </c>
      <c r="I242" t="s">
        <v>222</v>
      </c>
      <c r="J242" t="s">
        <v>671</v>
      </c>
      <c r="K242" t="s">
        <v>575</v>
      </c>
    </row>
    <row r="243" spans="1:11" x14ac:dyDescent="0.25">
      <c r="A243">
        <v>242</v>
      </c>
      <c r="B243" t="s">
        <v>248</v>
      </c>
      <c r="C243" t="s">
        <v>249</v>
      </c>
      <c r="D243" t="s">
        <v>250</v>
      </c>
      <c r="E243" t="s">
        <v>351</v>
      </c>
      <c r="F243" t="s">
        <v>15</v>
      </c>
      <c r="G243" t="s">
        <v>290</v>
      </c>
      <c r="H243" t="s">
        <v>574</v>
      </c>
      <c r="I243" t="s">
        <v>695</v>
      </c>
      <c r="J243" t="s">
        <v>671</v>
      </c>
      <c r="K243" t="s">
        <v>578</v>
      </c>
    </row>
    <row r="244" spans="1:11" x14ac:dyDescent="0.25">
      <c r="A244">
        <v>243</v>
      </c>
      <c r="B244" t="s">
        <v>207</v>
      </c>
      <c r="C244" t="s">
        <v>208</v>
      </c>
      <c r="D244" t="s">
        <v>23</v>
      </c>
      <c r="E244" t="s">
        <v>203</v>
      </c>
      <c r="F244" t="s">
        <v>15</v>
      </c>
      <c r="G244" t="s">
        <v>47</v>
      </c>
      <c r="H244" t="s">
        <v>344</v>
      </c>
      <c r="I244" t="s">
        <v>72</v>
      </c>
      <c r="J244" t="s">
        <v>671</v>
      </c>
      <c r="K244" t="s">
        <v>578</v>
      </c>
    </row>
    <row r="245" spans="1:11" x14ac:dyDescent="0.25">
      <c r="A245">
        <v>244</v>
      </c>
      <c r="B245" t="s">
        <v>484</v>
      </c>
      <c r="C245" t="s">
        <v>485</v>
      </c>
      <c r="D245" t="s">
        <v>13</v>
      </c>
      <c r="E245" t="s">
        <v>696</v>
      </c>
      <c r="F245" t="s">
        <v>15</v>
      </c>
      <c r="G245" t="s">
        <v>63</v>
      </c>
      <c r="H245" t="s">
        <v>475</v>
      </c>
      <c r="I245" t="s">
        <v>377</v>
      </c>
      <c r="J245" t="s">
        <v>671</v>
      </c>
      <c r="K245" t="s">
        <v>578</v>
      </c>
    </row>
    <row r="246" spans="1:11" x14ac:dyDescent="0.25">
      <c r="A246">
        <v>245</v>
      </c>
      <c r="B246" t="s">
        <v>697</v>
      </c>
      <c r="C246" t="s">
        <v>698</v>
      </c>
      <c r="D246" t="s">
        <v>45</v>
      </c>
      <c r="E246" t="s">
        <v>699</v>
      </c>
      <c r="F246" t="s">
        <v>15</v>
      </c>
      <c r="G246" t="s">
        <v>70</v>
      </c>
      <c r="H246" t="s">
        <v>470</v>
      </c>
      <c r="I246" t="s">
        <v>700</v>
      </c>
      <c r="J246" t="s">
        <v>671</v>
      </c>
      <c r="K246" t="s">
        <v>50</v>
      </c>
    </row>
    <row r="247" spans="1:11" x14ac:dyDescent="0.25">
      <c r="A247">
        <v>246</v>
      </c>
      <c r="B247" t="s">
        <v>701</v>
      </c>
      <c r="C247" t="s">
        <v>702</v>
      </c>
      <c r="D247" t="s">
        <v>45</v>
      </c>
      <c r="E247" t="s">
        <v>15</v>
      </c>
      <c r="F247" t="s">
        <v>125</v>
      </c>
      <c r="G247" t="s">
        <v>15</v>
      </c>
      <c r="H247" t="s">
        <v>703</v>
      </c>
      <c r="I247" t="s">
        <v>703</v>
      </c>
      <c r="J247" t="s">
        <v>671</v>
      </c>
      <c r="K247" t="s">
        <v>50</v>
      </c>
    </row>
    <row r="248" spans="1:11" x14ac:dyDescent="0.25">
      <c r="A248">
        <v>247</v>
      </c>
      <c r="B248" t="s">
        <v>400</v>
      </c>
      <c r="C248" t="s">
        <v>401</v>
      </c>
      <c r="D248" t="s">
        <v>13</v>
      </c>
      <c r="E248" t="s">
        <v>594</v>
      </c>
      <c r="F248" t="s">
        <v>15</v>
      </c>
      <c r="G248" t="s">
        <v>136</v>
      </c>
      <c r="H248" t="s">
        <v>595</v>
      </c>
      <c r="I248" t="s">
        <v>596</v>
      </c>
      <c r="J248" t="s">
        <v>671</v>
      </c>
      <c r="K248" t="s">
        <v>593</v>
      </c>
    </row>
    <row r="249" spans="1:11" x14ac:dyDescent="0.25">
      <c r="A249">
        <v>248</v>
      </c>
      <c r="B249" t="s">
        <v>36</v>
      </c>
      <c r="C249" t="s">
        <v>37</v>
      </c>
      <c r="D249" t="s">
        <v>13</v>
      </c>
      <c r="E249" t="s">
        <v>15</v>
      </c>
      <c r="F249" t="s">
        <v>180</v>
      </c>
      <c r="G249" t="s">
        <v>15</v>
      </c>
      <c r="H249" t="s">
        <v>704</v>
      </c>
      <c r="I249" t="s">
        <v>704</v>
      </c>
      <c r="J249" t="s">
        <v>671</v>
      </c>
      <c r="K249" t="s">
        <v>593</v>
      </c>
    </row>
    <row r="250" spans="1:11" x14ac:dyDescent="0.25">
      <c r="A250">
        <v>249</v>
      </c>
      <c r="B250" t="s">
        <v>705</v>
      </c>
      <c r="C250" t="s">
        <v>706</v>
      </c>
      <c r="D250" t="s">
        <v>45</v>
      </c>
      <c r="E250" t="s">
        <v>520</v>
      </c>
      <c r="F250" t="s">
        <v>32</v>
      </c>
      <c r="G250" t="s">
        <v>102</v>
      </c>
      <c r="H250" t="s">
        <v>520</v>
      </c>
      <c r="I250" t="s">
        <v>15</v>
      </c>
      <c r="J250" t="s">
        <v>671</v>
      </c>
      <c r="K250" t="s">
        <v>119</v>
      </c>
    </row>
    <row r="251" spans="1:11" x14ac:dyDescent="0.25">
      <c r="A251">
        <v>250</v>
      </c>
      <c r="B251" t="s">
        <v>707</v>
      </c>
      <c r="C251" t="s">
        <v>708</v>
      </c>
      <c r="D251" t="s">
        <v>45</v>
      </c>
      <c r="E251" t="s">
        <v>457</v>
      </c>
      <c r="F251" t="s">
        <v>290</v>
      </c>
      <c r="G251" t="s">
        <v>709</v>
      </c>
      <c r="H251" t="s">
        <v>710</v>
      </c>
      <c r="I251" t="s">
        <v>711</v>
      </c>
      <c r="J251" t="s">
        <v>671</v>
      </c>
      <c r="K251" t="s">
        <v>119</v>
      </c>
    </row>
    <row r="252" spans="1:11" x14ac:dyDescent="0.25">
      <c r="A252">
        <v>251</v>
      </c>
      <c r="B252" t="s">
        <v>493</v>
      </c>
      <c r="C252" t="s">
        <v>494</v>
      </c>
      <c r="D252" t="s">
        <v>149</v>
      </c>
      <c r="E252" t="s">
        <v>15</v>
      </c>
      <c r="F252" t="s">
        <v>125</v>
      </c>
      <c r="G252" t="s">
        <v>15</v>
      </c>
      <c r="H252" t="s">
        <v>15</v>
      </c>
      <c r="I252" t="s">
        <v>15</v>
      </c>
      <c r="J252" t="s">
        <v>671</v>
      </c>
      <c r="K252" t="s">
        <v>119</v>
      </c>
    </row>
    <row r="253" spans="1:11" x14ac:dyDescent="0.25">
      <c r="A253">
        <v>252</v>
      </c>
      <c r="B253" t="s">
        <v>99</v>
      </c>
      <c r="C253" t="s">
        <v>100</v>
      </c>
      <c r="D253" t="s">
        <v>88</v>
      </c>
      <c r="E253" t="s">
        <v>101</v>
      </c>
      <c r="F253" t="s">
        <v>90</v>
      </c>
      <c r="G253" t="s">
        <v>102</v>
      </c>
      <c r="H253" t="s">
        <v>427</v>
      </c>
      <c r="I253" t="s">
        <v>712</v>
      </c>
      <c r="J253" t="s">
        <v>671</v>
      </c>
      <c r="K253" t="s">
        <v>119</v>
      </c>
    </row>
    <row r="254" spans="1:11" x14ac:dyDescent="0.25">
      <c r="A254">
        <v>253</v>
      </c>
      <c r="B254" t="s">
        <v>620</v>
      </c>
      <c r="C254" t="s">
        <v>621</v>
      </c>
      <c r="D254" t="s">
        <v>336</v>
      </c>
      <c r="E254" t="s">
        <v>713</v>
      </c>
      <c r="F254" t="s">
        <v>15</v>
      </c>
      <c r="G254" t="s">
        <v>125</v>
      </c>
      <c r="H254" t="s">
        <v>714</v>
      </c>
      <c r="I254" t="s">
        <v>647</v>
      </c>
      <c r="J254" t="s">
        <v>671</v>
      </c>
      <c r="K254" t="s">
        <v>525</v>
      </c>
    </row>
    <row r="255" spans="1:11" x14ac:dyDescent="0.25">
      <c r="A255">
        <v>254</v>
      </c>
      <c r="B255" t="s">
        <v>715</v>
      </c>
      <c r="C255" t="s">
        <v>716</v>
      </c>
      <c r="D255" t="s">
        <v>336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671</v>
      </c>
      <c r="K255" t="s">
        <v>525</v>
      </c>
    </row>
    <row r="256" spans="1:11" x14ac:dyDescent="0.25">
      <c r="A256">
        <v>255</v>
      </c>
      <c r="B256" t="s">
        <v>717</v>
      </c>
      <c r="C256" t="s">
        <v>718</v>
      </c>
      <c r="D256" t="s">
        <v>88</v>
      </c>
      <c r="E256" t="s">
        <v>719</v>
      </c>
      <c r="F256" t="s">
        <v>15</v>
      </c>
      <c r="G256" t="s">
        <v>47</v>
      </c>
      <c r="H256" t="s">
        <v>186</v>
      </c>
      <c r="I256" t="s">
        <v>720</v>
      </c>
      <c r="J256" t="s">
        <v>721</v>
      </c>
      <c r="K256" t="s">
        <v>575</v>
      </c>
    </row>
    <row r="257" spans="1:11" x14ac:dyDescent="0.25">
      <c r="A257">
        <v>256</v>
      </c>
      <c r="B257" t="s">
        <v>717</v>
      </c>
      <c r="C257" t="s">
        <v>718</v>
      </c>
      <c r="D257" t="s">
        <v>88</v>
      </c>
      <c r="E257" t="s">
        <v>722</v>
      </c>
      <c r="F257" t="s">
        <v>15</v>
      </c>
      <c r="G257" t="s">
        <v>63</v>
      </c>
      <c r="H257" t="s">
        <v>723</v>
      </c>
      <c r="I257" t="s">
        <v>504</v>
      </c>
      <c r="J257" t="s">
        <v>721</v>
      </c>
      <c r="K257" t="s">
        <v>724</v>
      </c>
    </row>
    <row r="258" spans="1:11" x14ac:dyDescent="0.25">
      <c r="A258">
        <v>257</v>
      </c>
      <c r="B258" t="s">
        <v>717</v>
      </c>
      <c r="C258" t="s">
        <v>718</v>
      </c>
      <c r="D258" t="s">
        <v>88</v>
      </c>
      <c r="E258" t="s">
        <v>725</v>
      </c>
      <c r="F258" t="s">
        <v>32</v>
      </c>
      <c r="G258" t="s">
        <v>196</v>
      </c>
      <c r="H258" t="s">
        <v>726</v>
      </c>
      <c r="I258" t="s">
        <v>727</v>
      </c>
      <c r="J258" t="s">
        <v>721</v>
      </c>
      <c r="K258" t="s">
        <v>728</v>
      </c>
    </row>
    <row r="259" spans="1:11" x14ac:dyDescent="0.25">
      <c r="A259">
        <v>258</v>
      </c>
      <c r="B259" t="s">
        <v>111</v>
      </c>
      <c r="C259" t="s">
        <v>112</v>
      </c>
      <c r="D259" t="s">
        <v>13</v>
      </c>
      <c r="E259" t="s">
        <v>113</v>
      </c>
      <c r="F259" t="s">
        <v>15</v>
      </c>
      <c r="G259" t="s">
        <v>63</v>
      </c>
      <c r="H259" t="s">
        <v>114</v>
      </c>
      <c r="I259" t="s">
        <v>115</v>
      </c>
      <c r="J259" t="s">
        <v>729</v>
      </c>
      <c r="K259" t="s">
        <v>478</v>
      </c>
    </row>
    <row r="260" spans="1:11" x14ac:dyDescent="0.25">
      <c r="A260">
        <v>259</v>
      </c>
      <c r="B260" t="s">
        <v>259</v>
      </c>
      <c r="C260" t="s">
        <v>260</v>
      </c>
      <c r="D260" t="s">
        <v>88</v>
      </c>
      <c r="E260" t="s">
        <v>730</v>
      </c>
      <c r="F260" t="s">
        <v>102</v>
      </c>
      <c r="G260" t="s">
        <v>102</v>
      </c>
      <c r="H260" t="s">
        <v>462</v>
      </c>
      <c r="I260" t="s">
        <v>643</v>
      </c>
      <c r="J260" t="s">
        <v>729</v>
      </c>
      <c r="K260" t="s">
        <v>604</v>
      </c>
    </row>
    <row r="261" spans="1:11" x14ac:dyDescent="0.25">
      <c r="A261">
        <v>260</v>
      </c>
      <c r="B261" t="s">
        <v>528</v>
      </c>
      <c r="C261" t="s">
        <v>529</v>
      </c>
      <c r="D261" t="s">
        <v>530</v>
      </c>
      <c r="E261" t="s">
        <v>266</v>
      </c>
      <c r="F261" t="s">
        <v>90</v>
      </c>
      <c r="G261" t="s">
        <v>63</v>
      </c>
      <c r="H261" t="s">
        <v>237</v>
      </c>
      <c r="I261" t="s">
        <v>731</v>
      </c>
      <c r="J261" t="s">
        <v>732</v>
      </c>
      <c r="K261" t="s">
        <v>733</v>
      </c>
    </row>
    <row r="262" spans="1:11" x14ac:dyDescent="0.25">
      <c r="A262">
        <v>261</v>
      </c>
      <c r="B262" t="s">
        <v>67</v>
      </c>
      <c r="C262" t="s">
        <v>68</v>
      </c>
      <c r="D262" t="s">
        <v>13</v>
      </c>
      <c r="E262" t="s">
        <v>734</v>
      </c>
      <c r="F262" t="s">
        <v>70</v>
      </c>
      <c r="G262" t="s">
        <v>735</v>
      </c>
      <c r="H262" t="s">
        <v>736</v>
      </c>
      <c r="I262" t="s">
        <v>264</v>
      </c>
      <c r="J262" t="s">
        <v>732</v>
      </c>
      <c r="K262" t="s">
        <v>733</v>
      </c>
    </row>
    <row r="263" spans="1:11" x14ac:dyDescent="0.25">
      <c r="A263">
        <v>262</v>
      </c>
      <c r="B263" t="s">
        <v>516</v>
      </c>
      <c r="C263" t="s">
        <v>517</v>
      </c>
      <c r="D263" t="s">
        <v>518</v>
      </c>
      <c r="E263" t="s">
        <v>15</v>
      </c>
      <c r="F263" t="s">
        <v>15</v>
      </c>
      <c r="G263" t="s">
        <v>15</v>
      </c>
      <c r="H263" t="s">
        <v>737</v>
      </c>
      <c r="I263" t="s">
        <v>737</v>
      </c>
      <c r="J263" t="s">
        <v>732</v>
      </c>
      <c r="K263" t="s">
        <v>733</v>
      </c>
    </row>
    <row r="264" spans="1:11" x14ac:dyDescent="0.25">
      <c r="A264">
        <v>263</v>
      </c>
      <c r="B264" t="s">
        <v>738</v>
      </c>
      <c r="C264" t="s">
        <v>739</v>
      </c>
      <c r="D264" t="s">
        <v>13</v>
      </c>
      <c r="E264" t="s">
        <v>740</v>
      </c>
      <c r="F264" t="s">
        <v>125</v>
      </c>
      <c r="G264" t="s">
        <v>741</v>
      </c>
      <c r="H264" t="s">
        <v>742</v>
      </c>
      <c r="I264" t="s">
        <v>743</v>
      </c>
      <c r="J264" t="s">
        <v>732</v>
      </c>
      <c r="K264" t="s">
        <v>154</v>
      </c>
    </row>
    <row r="265" spans="1:11" x14ac:dyDescent="0.25">
      <c r="A265">
        <v>264</v>
      </c>
      <c r="B265" t="s">
        <v>744</v>
      </c>
      <c r="C265" t="s">
        <v>745</v>
      </c>
      <c r="D265" t="s">
        <v>13</v>
      </c>
      <c r="E265" t="s">
        <v>746</v>
      </c>
      <c r="F265" t="s">
        <v>15</v>
      </c>
      <c r="G265" t="s">
        <v>58</v>
      </c>
      <c r="H265" t="s">
        <v>634</v>
      </c>
      <c r="I265" t="s">
        <v>747</v>
      </c>
      <c r="J265" t="s">
        <v>732</v>
      </c>
      <c r="K265" t="s">
        <v>319</v>
      </c>
    </row>
    <row r="266" spans="1:11" x14ac:dyDescent="0.25">
      <c r="A266">
        <v>265</v>
      </c>
      <c r="B266" t="s">
        <v>748</v>
      </c>
      <c r="C266" t="s">
        <v>749</v>
      </c>
      <c r="D266" t="s">
        <v>13</v>
      </c>
      <c r="E266" t="s">
        <v>746</v>
      </c>
      <c r="F266" t="s">
        <v>15</v>
      </c>
      <c r="G266" t="s">
        <v>58</v>
      </c>
      <c r="H266" t="s">
        <v>634</v>
      </c>
      <c r="I266" t="s">
        <v>747</v>
      </c>
      <c r="J266" t="s">
        <v>732</v>
      </c>
      <c r="K266" t="s">
        <v>319</v>
      </c>
    </row>
    <row r="267" spans="1:11" x14ac:dyDescent="0.25">
      <c r="A267">
        <v>266</v>
      </c>
      <c r="B267" t="s">
        <v>632</v>
      </c>
      <c r="C267" t="s">
        <v>633</v>
      </c>
      <c r="D267" t="s">
        <v>13</v>
      </c>
      <c r="E267" t="s">
        <v>746</v>
      </c>
      <c r="F267" t="s">
        <v>15</v>
      </c>
      <c r="G267" t="s">
        <v>58</v>
      </c>
      <c r="H267" t="s">
        <v>634</v>
      </c>
      <c r="I267" t="s">
        <v>747</v>
      </c>
      <c r="J267" t="s">
        <v>732</v>
      </c>
      <c r="K267" t="s">
        <v>319</v>
      </c>
    </row>
    <row r="268" spans="1:11" x14ac:dyDescent="0.25">
      <c r="A268">
        <v>267</v>
      </c>
      <c r="B268" t="s">
        <v>717</v>
      </c>
      <c r="C268" t="s">
        <v>718</v>
      </c>
      <c r="D268" t="s">
        <v>88</v>
      </c>
      <c r="E268" t="s">
        <v>750</v>
      </c>
      <c r="F268" t="s">
        <v>125</v>
      </c>
      <c r="G268" t="s">
        <v>32</v>
      </c>
      <c r="H268" t="s">
        <v>751</v>
      </c>
      <c r="I268" t="s">
        <v>752</v>
      </c>
      <c r="J268" t="s">
        <v>732</v>
      </c>
      <c r="K268" t="s">
        <v>329</v>
      </c>
    </row>
    <row r="269" spans="1:11" x14ac:dyDescent="0.25">
      <c r="A269">
        <v>268</v>
      </c>
      <c r="B269" t="s">
        <v>753</v>
      </c>
      <c r="C269" t="s">
        <v>754</v>
      </c>
      <c r="D269" t="s">
        <v>88</v>
      </c>
      <c r="E269" t="s">
        <v>750</v>
      </c>
      <c r="F269" t="s">
        <v>15</v>
      </c>
      <c r="G269" t="s">
        <v>32</v>
      </c>
      <c r="H269" t="s">
        <v>755</v>
      </c>
      <c r="I269" t="s">
        <v>756</v>
      </c>
      <c r="J269" t="s">
        <v>732</v>
      </c>
      <c r="K269" t="s">
        <v>329</v>
      </c>
    </row>
    <row r="270" spans="1:11" x14ac:dyDescent="0.25">
      <c r="A270">
        <v>269</v>
      </c>
      <c r="B270" t="s">
        <v>757</v>
      </c>
      <c r="C270" t="s">
        <v>758</v>
      </c>
      <c r="D270" t="s">
        <v>88</v>
      </c>
      <c r="E270" t="s">
        <v>750</v>
      </c>
      <c r="F270" t="s">
        <v>15</v>
      </c>
      <c r="G270" t="s">
        <v>32</v>
      </c>
      <c r="H270" t="s">
        <v>755</v>
      </c>
      <c r="I270" t="s">
        <v>756</v>
      </c>
      <c r="J270" t="s">
        <v>732</v>
      </c>
      <c r="K270" t="s">
        <v>329</v>
      </c>
    </row>
    <row r="271" spans="1:11" x14ac:dyDescent="0.25">
      <c r="A271">
        <v>270</v>
      </c>
      <c r="B271" t="s">
        <v>620</v>
      </c>
      <c r="C271" t="s">
        <v>621</v>
      </c>
      <c r="D271" t="s">
        <v>336</v>
      </c>
      <c r="E271" t="s">
        <v>759</v>
      </c>
      <c r="F271" t="s">
        <v>15</v>
      </c>
      <c r="G271" t="s">
        <v>90</v>
      </c>
      <c r="H271" t="s">
        <v>760</v>
      </c>
      <c r="I271" t="s">
        <v>761</v>
      </c>
      <c r="J271" t="s">
        <v>732</v>
      </c>
      <c r="K271" t="s">
        <v>329</v>
      </c>
    </row>
    <row r="272" spans="1:11" x14ac:dyDescent="0.25">
      <c r="A272">
        <v>271</v>
      </c>
      <c r="B272" t="s">
        <v>281</v>
      </c>
      <c r="C272" t="s">
        <v>282</v>
      </c>
      <c r="D272" t="s">
        <v>85</v>
      </c>
      <c r="E272" t="s">
        <v>377</v>
      </c>
      <c r="F272" t="s">
        <v>15</v>
      </c>
      <c r="G272" t="s">
        <v>90</v>
      </c>
      <c r="H272" t="s">
        <v>762</v>
      </c>
      <c r="I272" t="s">
        <v>504</v>
      </c>
      <c r="J272" t="s">
        <v>732</v>
      </c>
      <c r="K272" t="s">
        <v>625</v>
      </c>
    </row>
    <row r="273" spans="1:11" x14ac:dyDescent="0.25">
      <c r="A273">
        <v>272</v>
      </c>
      <c r="B273" t="s">
        <v>744</v>
      </c>
      <c r="C273" t="s">
        <v>745</v>
      </c>
      <c r="D273" t="s">
        <v>13</v>
      </c>
      <c r="E273" t="s">
        <v>15</v>
      </c>
      <c r="F273" t="s">
        <v>15</v>
      </c>
      <c r="G273" t="s">
        <v>15</v>
      </c>
      <c r="H273" t="s">
        <v>763</v>
      </c>
      <c r="I273" t="s">
        <v>763</v>
      </c>
      <c r="J273" t="s">
        <v>732</v>
      </c>
      <c r="K273" t="s">
        <v>625</v>
      </c>
    </row>
    <row r="274" spans="1:11" x14ac:dyDescent="0.25">
      <c r="A274">
        <v>273</v>
      </c>
      <c r="B274" t="s">
        <v>764</v>
      </c>
      <c r="C274" t="s">
        <v>765</v>
      </c>
      <c r="D274" t="s">
        <v>13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732</v>
      </c>
      <c r="K274" t="s">
        <v>625</v>
      </c>
    </row>
    <row r="275" spans="1:11" x14ac:dyDescent="0.25">
      <c r="A275">
        <v>274</v>
      </c>
      <c r="B275" t="s">
        <v>400</v>
      </c>
      <c r="C275" t="s">
        <v>401</v>
      </c>
      <c r="D275" t="s">
        <v>13</v>
      </c>
      <c r="E275" t="s">
        <v>377</v>
      </c>
      <c r="F275" t="s">
        <v>125</v>
      </c>
      <c r="G275" t="s">
        <v>63</v>
      </c>
      <c r="H275" t="s">
        <v>332</v>
      </c>
      <c r="I275" t="s">
        <v>634</v>
      </c>
      <c r="J275" t="s">
        <v>732</v>
      </c>
      <c r="K275" t="s">
        <v>625</v>
      </c>
    </row>
    <row r="276" spans="1:11" x14ac:dyDescent="0.25">
      <c r="A276">
        <v>275</v>
      </c>
      <c r="B276" t="s">
        <v>540</v>
      </c>
      <c r="C276" t="s">
        <v>541</v>
      </c>
      <c r="D276" t="s">
        <v>339</v>
      </c>
      <c r="E276" t="s">
        <v>766</v>
      </c>
      <c r="F276" t="s">
        <v>15</v>
      </c>
      <c r="G276" t="s">
        <v>90</v>
      </c>
      <c r="H276" t="s">
        <v>767</v>
      </c>
      <c r="I276" t="s">
        <v>108</v>
      </c>
      <c r="J276" t="s">
        <v>768</v>
      </c>
      <c r="K276" t="s">
        <v>166</v>
      </c>
    </row>
    <row r="277" spans="1:11" x14ac:dyDescent="0.25">
      <c r="A277">
        <v>276</v>
      </c>
      <c r="B277" t="s">
        <v>528</v>
      </c>
      <c r="C277" t="s">
        <v>529</v>
      </c>
      <c r="D277" t="s">
        <v>530</v>
      </c>
      <c r="E277" t="s">
        <v>266</v>
      </c>
      <c r="F277" t="s">
        <v>90</v>
      </c>
      <c r="G277" t="s">
        <v>63</v>
      </c>
      <c r="H277" t="s">
        <v>723</v>
      </c>
      <c r="I277" t="s">
        <v>419</v>
      </c>
      <c r="J277" t="s">
        <v>768</v>
      </c>
      <c r="K277" t="s">
        <v>769</v>
      </c>
    </row>
    <row r="278" spans="1:11" x14ac:dyDescent="0.25">
      <c r="A278">
        <v>277</v>
      </c>
      <c r="B278" t="s">
        <v>770</v>
      </c>
      <c r="C278" t="s">
        <v>771</v>
      </c>
      <c r="D278" t="s">
        <v>13</v>
      </c>
      <c r="E278" t="s">
        <v>344</v>
      </c>
      <c r="F278" t="s">
        <v>15</v>
      </c>
      <c r="G278" t="s">
        <v>102</v>
      </c>
      <c r="H278" t="s">
        <v>380</v>
      </c>
      <c r="I278" t="s">
        <v>152</v>
      </c>
      <c r="J278" t="s">
        <v>768</v>
      </c>
      <c r="K278" t="s">
        <v>772</v>
      </c>
    </row>
    <row r="279" spans="1:11" x14ac:dyDescent="0.25">
      <c r="A279">
        <v>278</v>
      </c>
      <c r="B279" t="s">
        <v>717</v>
      </c>
      <c r="C279" t="s">
        <v>718</v>
      </c>
      <c r="D279" t="s">
        <v>88</v>
      </c>
      <c r="E279" t="s">
        <v>750</v>
      </c>
      <c r="F279" t="s">
        <v>15</v>
      </c>
      <c r="G279" t="s">
        <v>32</v>
      </c>
      <c r="H279" t="s">
        <v>773</v>
      </c>
      <c r="I279" t="s">
        <v>774</v>
      </c>
      <c r="J279" t="s">
        <v>775</v>
      </c>
      <c r="K279" t="s">
        <v>388</v>
      </c>
    </row>
    <row r="280" spans="1:11" x14ac:dyDescent="0.25">
      <c r="A280">
        <v>279</v>
      </c>
      <c r="B280" t="s">
        <v>753</v>
      </c>
      <c r="C280" t="s">
        <v>754</v>
      </c>
      <c r="D280" t="s">
        <v>88</v>
      </c>
      <c r="E280" t="s">
        <v>750</v>
      </c>
      <c r="F280" t="s">
        <v>15</v>
      </c>
      <c r="G280" t="s">
        <v>32</v>
      </c>
      <c r="H280" t="s">
        <v>773</v>
      </c>
      <c r="I280" t="s">
        <v>774</v>
      </c>
      <c r="J280" t="s">
        <v>775</v>
      </c>
      <c r="K280" t="s">
        <v>388</v>
      </c>
    </row>
    <row r="281" spans="1:11" x14ac:dyDescent="0.25">
      <c r="A281">
        <v>280</v>
      </c>
      <c r="B281" t="s">
        <v>757</v>
      </c>
      <c r="C281" t="s">
        <v>758</v>
      </c>
      <c r="D281" t="s">
        <v>88</v>
      </c>
      <c r="E281" t="s">
        <v>776</v>
      </c>
      <c r="F281" t="s">
        <v>15</v>
      </c>
      <c r="G281" t="s">
        <v>125</v>
      </c>
      <c r="H281" t="s">
        <v>97</v>
      </c>
      <c r="I281" t="s">
        <v>777</v>
      </c>
      <c r="J281" t="s">
        <v>775</v>
      </c>
      <c r="K281" t="s">
        <v>388</v>
      </c>
    </row>
    <row r="282" spans="1:11" x14ac:dyDescent="0.25">
      <c r="A282">
        <v>281</v>
      </c>
      <c r="B282" t="s">
        <v>11</v>
      </c>
      <c r="C282" t="s">
        <v>12</v>
      </c>
      <c r="D282" t="s">
        <v>13</v>
      </c>
      <c r="E282" t="s">
        <v>18</v>
      </c>
      <c r="F282" t="s">
        <v>32</v>
      </c>
      <c r="G282" t="s">
        <v>70</v>
      </c>
      <c r="H282" t="s">
        <v>778</v>
      </c>
      <c r="I282" t="s">
        <v>779</v>
      </c>
      <c r="J282" t="s">
        <v>775</v>
      </c>
      <c r="K282" t="s">
        <v>66</v>
      </c>
    </row>
    <row r="283" spans="1:11" x14ac:dyDescent="0.25">
      <c r="A283">
        <v>282</v>
      </c>
      <c r="B283" t="s">
        <v>11</v>
      </c>
      <c r="C283" t="s">
        <v>12</v>
      </c>
      <c r="D283" t="s">
        <v>13</v>
      </c>
      <c r="E283" t="s">
        <v>18</v>
      </c>
      <c r="F283" t="s">
        <v>15</v>
      </c>
      <c r="G283" t="s">
        <v>70</v>
      </c>
      <c r="H283" t="s">
        <v>780</v>
      </c>
      <c r="I283" t="s">
        <v>781</v>
      </c>
      <c r="J283" t="s">
        <v>775</v>
      </c>
      <c r="K283" t="s">
        <v>20</v>
      </c>
    </row>
    <row r="284" spans="1:11" x14ac:dyDescent="0.25">
      <c r="A284">
        <v>283</v>
      </c>
      <c r="B284" t="s">
        <v>675</v>
      </c>
      <c r="C284" t="s">
        <v>676</v>
      </c>
      <c r="D284" t="s">
        <v>88</v>
      </c>
      <c r="E284" t="s">
        <v>782</v>
      </c>
      <c r="F284" t="s">
        <v>90</v>
      </c>
      <c r="G284" t="s">
        <v>102</v>
      </c>
      <c r="H284" t="s">
        <v>427</v>
      </c>
      <c r="I284" t="s">
        <v>783</v>
      </c>
      <c r="J284" t="s">
        <v>775</v>
      </c>
      <c r="K284" t="s">
        <v>200</v>
      </c>
    </row>
    <row r="285" spans="1:11" x14ac:dyDescent="0.25">
      <c r="A285">
        <v>284</v>
      </c>
      <c r="B285" t="s">
        <v>234</v>
      </c>
      <c r="C285" t="s">
        <v>235</v>
      </c>
      <c r="D285" t="s">
        <v>88</v>
      </c>
      <c r="E285" t="s">
        <v>784</v>
      </c>
      <c r="F285" t="s">
        <v>90</v>
      </c>
      <c r="G285" t="s">
        <v>102</v>
      </c>
      <c r="H285" t="s">
        <v>103</v>
      </c>
      <c r="I285" t="s">
        <v>785</v>
      </c>
      <c r="J285" t="s">
        <v>775</v>
      </c>
      <c r="K285" t="s">
        <v>200</v>
      </c>
    </row>
    <row r="286" spans="1:11" x14ac:dyDescent="0.25">
      <c r="A286">
        <v>285</v>
      </c>
      <c r="B286" t="s">
        <v>99</v>
      </c>
      <c r="C286" t="s">
        <v>100</v>
      </c>
      <c r="D286" t="s">
        <v>88</v>
      </c>
      <c r="E286" t="s">
        <v>101</v>
      </c>
      <c r="F286" t="s">
        <v>90</v>
      </c>
      <c r="G286" t="s">
        <v>102</v>
      </c>
      <c r="H286" t="s">
        <v>427</v>
      </c>
      <c r="I286" t="s">
        <v>712</v>
      </c>
      <c r="J286" t="s">
        <v>775</v>
      </c>
      <c r="K286" t="s">
        <v>200</v>
      </c>
    </row>
    <row r="287" spans="1:11" x14ac:dyDescent="0.25">
      <c r="A287">
        <v>286</v>
      </c>
      <c r="B287" t="s">
        <v>416</v>
      </c>
      <c r="C287" t="s">
        <v>417</v>
      </c>
      <c r="D287" t="s">
        <v>45</v>
      </c>
      <c r="E287" t="s">
        <v>141</v>
      </c>
      <c r="F287" t="s">
        <v>15</v>
      </c>
      <c r="G287" t="s">
        <v>63</v>
      </c>
      <c r="H287" t="s">
        <v>418</v>
      </c>
      <c r="I287" t="s">
        <v>419</v>
      </c>
      <c r="J287" t="s">
        <v>775</v>
      </c>
      <c r="K287" t="s">
        <v>420</v>
      </c>
    </row>
    <row r="288" spans="1:11" x14ac:dyDescent="0.25">
      <c r="A288">
        <v>287</v>
      </c>
      <c r="B288" t="s">
        <v>640</v>
      </c>
      <c r="C288" t="s">
        <v>641</v>
      </c>
      <c r="D288" t="s">
        <v>194</v>
      </c>
      <c r="E288" t="s">
        <v>786</v>
      </c>
      <c r="F288" t="s">
        <v>15</v>
      </c>
      <c r="G288" t="s">
        <v>90</v>
      </c>
      <c r="H288" t="s">
        <v>275</v>
      </c>
      <c r="I288" t="s">
        <v>787</v>
      </c>
      <c r="J288" t="s">
        <v>775</v>
      </c>
      <c r="K288" t="s">
        <v>420</v>
      </c>
    </row>
    <row r="289" spans="1:11" x14ac:dyDescent="0.25">
      <c r="A289">
        <v>288</v>
      </c>
      <c r="B289" t="s">
        <v>645</v>
      </c>
      <c r="C289" t="s">
        <v>646</v>
      </c>
      <c r="D289" t="s">
        <v>194</v>
      </c>
      <c r="E289" t="s">
        <v>786</v>
      </c>
      <c r="F289" t="s">
        <v>125</v>
      </c>
      <c r="G289" t="s">
        <v>90</v>
      </c>
      <c r="H289" t="s">
        <v>345</v>
      </c>
      <c r="I289" t="s">
        <v>761</v>
      </c>
      <c r="J289" t="s">
        <v>775</v>
      </c>
      <c r="K289" t="s">
        <v>420</v>
      </c>
    </row>
    <row r="290" spans="1:11" x14ac:dyDescent="0.25">
      <c r="A290">
        <v>289</v>
      </c>
      <c r="B290" t="s">
        <v>788</v>
      </c>
      <c r="C290" t="s">
        <v>789</v>
      </c>
      <c r="D290" t="s">
        <v>23</v>
      </c>
      <c r="E290" t="s">
        <v>15</v>
      </c>
      <c r="F290" t="s">
        <v>58</v>
      </c>
      <c r="G290" t="s">
        <v>15</v>
      </c>
      <c r="H290" t="s">
        <v>790</v>
      </c>
      <c r="I290" t="s">
        <v>790</v>
      </c>
      <c r="J290" t="s">
        <v>775</v>
      </c>
      <c r="K290" t="s">
        <v>420</v>
      </c>
    </row>
    <row r="291" spans="1:11" x14ac:dyDescent="0.25">
      <c r="A291">
        <v>290</v>
      </c>
      <c r="B291" t="s">
        <v>28</v>
      </c>
      <c r="C291" t="s">
        <v>29</v>
      </c>
      <c r="D291" t="s">
        <v>30</v>
      </c>
      <c r="E291" t="s">
        <v>791</v>
      </c>
      <c r="F291" t="s">
        <v>15</v>
      </c>
      <c r="G291" t="s">
        <v>180</v>
      </c>
      <c r="H291" t="s">
        <v>74</v>
      </c>
      <c r="I291" t="s">
        <v>792</v>
      </c>
      <c r="J291" t="s">
        <v>775</v>
      </c>
      <c r="K291" t="s">
        <v>76</v>
      </c>
    </row>
    <row r="292" spans="1:11" x14ac:dyDescent="0.25">
      <c r="A292">
        <v>291</v>
      </c>
      <c r="B292" t="s">
        <v>793</v>
      </c>
      <c r="C292" t="s">
        <v>794</v>
      </c>
      <c r="D292" t="s">
        <v>13</v>
      </c>
      <c r="E292" t="s">
        <v>33</v>
      </c>
      <c r="F292" t="s">
        <v>90</v>
      </c>
      <c r="G292" t="s">
        <v>63</v>
      </c>
      <c r="H292" t="s">
        <v>795</v>
      </c>
      <c r="I292" t="s">
        <v>796</v>
      </c>
      <c r="J292" t="s">
        <v>775</v>
      </c>
      <c r="K292" t="s">
        <v>797</v>
      </c>
    </row>
    <row r="293" spans="1:11" x14ac:dyDescent="0.25">
      <c r="A293">
        <v>292</v>
      </c>
      <c r="B293" t="s">
        <v>213</v>
      </c>
      <c r="C293" t="s">
        <v>214</v>
      </c>
      <c r="D293" t="s">
        <v>45</v>
      </c>
      <c r="E293" t="s">
        <v>798</v>
      </c>
      <c r="F293" t="s">
        <v>90</v>
      </c>
      <c r="G293" t="s">
        <v>59</v>
      </c>
      <c r="H293" t="s">
        <v>799</v>
      </c>
      <c r="I293" t="s">
        <v>800</v>
      </c>
      <c r="J293" t="s">
        <v>775</v>
      </c>
      <c r="K293" t="s">
        <v>206</v>
      </c>
    </row>
    <row r="294" spans="1:11" x14ac:dyDescent="0.25">
      <c r="A294">
        <v>293</v>
      </c>
      <c r="B294" t="s">
        <v>138</v>
      </c>
      <c r="C294" t="s">
        <v>139</v>
      </c>
      <c r="D294" t="s">
        <v>30</v>
      </c>
      <c r="E294" t="s">
        <v>57</v>
      </c>
      <c r="F294" t="s">
        <v>15</v>
      </c>
      <c r="G294" t="s">
        <v>32</v>
      </c>
      <c r="H294" t="s">
        <v>140</v>
      </c>
      <c r="I294" t="s">
        <v>141</v>
      </c>
      <c r="J294" t="s">
        <v>775</v>
      </c>
      <c r="K294" t="s">
        <v>110</v>
      </c>
    </row>
    <row r="295" spans="1:11" x14ac:dyDescent="0.25">
      <c r="A295">
        <v>294</v>
      </c>
      <c r="B295" t="s">
        <v>572</v>
      </c>
      <c r="C295" t="s">
        <v>573</v>
      </c>
      <c r="D295" t="s">
        <v>45</v>
      </c>
      <c r="E295" t="s">
        <v>264</v>
      </c>
      <c r="F295" t="s">
        <v>15</v>
      </c>
      <c r="G295" t="s">
        <v>136</v>
      </c>
      <c r="H295" t="s">
        <v>574</v>
      </c>
      <c r="I295" t="s">
        <v>48</v>
      </c>
      <c r="J295" t="s">
        <v>775</v>
      </c>
      <c r="K295" t="s">
        <v>801</v>
      </c>
    </row>
    <row r="296" spans="1:11" x14ac:dyDescent="0.25">
      <c r="A296">
        <v>295</v>
      </c>
      <c r="B296" t="s">
        <v>484</v>
      </c>
      <c r="C296" t="s">
        <v>485</v>
      </c>
      <c r="D296" t="s">
        <v>13</v>
      </c>
      <c r="E296" t="s">
        <v>802</v>
      </c>
      <c r="F296" t="s">
        <v>290</v>
      </c>
      <c r="G296" t="s">
        <v>102</v>
      </c>
      <c r="H296" t="s">
        <v>427</v>
      </c>
      <c r="I296" t="s">
        <v>48</v>
      </c>
      <c r="J296" t="s">
        <v>775</v>
      </c>
      <c r="K296" t="s">
        <v>801</v>
      </c>
    </row>
    <row r="297" spans="1:11" x14ac:dyDescent="0.25">
      <c r="A297">
        <v>296</v>
      </c>
      <c r="B297" t="s">
        <v>803</v>
      </c>
      <c r="C297" t="s">
        <v>804</v>
      </c>
      <c r="D297" t="s">
        <v>45</v>
      </c>
      <c r="E297" t="s">
        <v>72</v>
      </c>
      <c r="F297" t="s">
        <v>15</v>
      </c>
      <c r="G297" t="s">
        <v>47</v>
      </c>
      <c r="H297" t="s">
        <v>487</v>
      </c>
      <c r="I297" t="s">
        <v>448</v>
      </c>
      <c r="J297" t="s">
        <v>775</v>
      </c>
      <c r="K297" t="s">
        <v>483</v>
      </c>
    </row>
    <row r="298" spans="1:11" x14ac:dyDescent="0.25">
      <c r="A298">
        <v>297</v>
      </c>
      <c r="B298" t="s">
        <v>94</v>
      </c>
      <c r="C298" t="s">
        <v>95</v>
      </c>
      <c r="D298" t="s">
        <v>45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775</v>
      </c>
      <c r="K298" t="s">
        <v>483</v>
      </c>
    </row>
    <row r="299" spans="1:11" x14ac:dyDescent="0.25">
      <c r="A299">
        <v>298</v>
      </c>
      <c r="B299" t="s">
        <v>764</v>
      </c>
      <c r="C299" t="s">
        <v>765</v>
      </c>
      <c r="D299" t="s">
        <v>13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775</v>
      </c>
      <c r="K299" t="s">
        <v>483</v>
      </c>
    </row>
    <row r="300" spans="1:11" x14ac:dyDescent="0.25">
      <c r="A300">
        <v>299</v>
      </c>
      <c r="B300" t="s">
        <v>269</v>
      </c>
      <c r="C300" t="s">
        <v>270</v>
      </c>
      <c r="D300" t="s">
        <v>13</v>
      </c>
      <c r="E300" t="s">
        <v>419</v>
      </c>
      <c r="F300" t="s">
        <v>15</v>
      </c>
      <c r="G300" t="s">
        <v>63</v>
      </c>
      <c r="H300" t="s">
        <v>349</v>
      </c>
      <c r="I300" t="s">
        <v>152</v>
      </c>
      <c r="J300" t="s">
        <v>775</v>
      </c>
      <c r="K300" t="s">
        <v>483</v>
      </c>
    </row>
    <row r="301" spans="1:11" x14ac:dyDescent="0.25">
      <c r="A301">
        <v>300</v>
      </c>
      <c r="B301" t="s">
        <v>805</v>
      </c>
      <c r="C301" t="s">
        <v>806</v>
      </c>
      <c r="D301" t="s">
        <v>45</v>
      </c>
      <c r="E301" t="s">
        <v>499</v>
      </c>
      <c r="F301" t="s">
        <v>15</v>
      </c>
      <c r="G301" t="s">
        <v>102</v>
      </c>
      <c r="H301" t="s">
        <v>380</v>
      </c>
      <c r="I301" t="s">
        <v>72</v>
      </c>
      <c r="J301" t="s">
        <v>775</v>
      </c>
      <c r="K301" t="s">
        <v>119</v>
      </c>
    </row>
    <row r="302" spans="1:11" x14ac:dyDescent="0.25">
      <c r="A302">
        <v>301</v>
      </c>
      <c r="B302" t="s">
        <v>717</v>
      </c>
      <c r="C302" t="s">
        <v>718</v>
      </c>
      <c r="D302" t="s">
        <v>88</v>
      </c>
      <c r="E302" t="s">
        <v>807</v>
      </c>
      <c r="F302" t="s">
        <v>290</v>
      </c>
      <c r="G302" t="s">
        <v>180</v>
      </c>
      <c r="H302" t="s">
        <v>808</v>
      </c>
      <c r="I302" t="s">
        <v>809</v>
      </c>
      <c r="J302" t="s">
        <v>775</v>
      </c>
      <c r="K302" t="s">
        <v>119</v>
      </c>
    </row>
    <row r="303" spans="1:11" x14ac:dyDescent="0.25">
      <c r="A303">
        <v>302</v>
      </c>
      <c r="B303" t="s">
        <v>753</v>
      </c>
      <c r="C303" t="s">
        <v>754</v>
      </c>
      <c r="D303" t="s">
        <v>88</v>
      </c>
      <c r="E303" t="s">
        <v>807</v>
      </c>
      <c r="F303" t="s">
        <v>15</v>
      </c>
      <c r="G303" t="s">
        <v>180</v>
      </c>
      <c r="H303" t="s">
        <v>447</v>
      </c>
      <c r="I303" t="s">
        <v>810</v>
      </c>
      <c r="J303" t="s">
        <v>775</v>
      </c>
      <c r="K303" t="s">
        <v>119</v>
      </c>
    </row>
    <row r="304" spans="1:11" x14ac:dyDescent="0.25">
      <c r="A304">
        <v>303</v>
      </c>
      <c r="B304" t="s">
        <v>757</v>
      </c>
      <c r="C304" t="s">
        <v>758</v>
      </c>
      <c r="D304" t="s">
        <v>88</v>
      </c>
      <c r="E304" t="s">
        <v>807</v>
      </c>
      <c r="F304" t="s">
        <v>15</v>
      </c>
      <c r="G304" t="s">
        <v>180</v>
      </c>
      <c r="H304" t="s">
        <v>808</v>
      </c>
      <c r="I304" t="s">
        <v>809</v>
      </c>
      <c r="J304" t="s">
        <v>775</v>
      </c>
      <c r="K304" t="s">
        <v>119</v>
      </c>
    </row>
    <row r="305" spans="1:11" x14ac:dyDescent="0.25">
      <c r="A305">
        <v>304</v>
      </c>
      <c r="B305" t="s">
        <v>811</v>
      </c>
      <c r="C305" t="s">
        <v>812</v>
      </c>
      <c r="D305" t="s">
        <v>468</v>
      </c>
      <c r="E305" t="s">
        <v>813</v>
      </c>
      <c r="F305" t="s">
        <v>90</v>
      </c>
      <c r="G305" t="s">
        <v>102</v>
      </c>
      <c r="H305" t="s">
        <v>427</v>
      </c>
      <c r="I305" t="s">
        <v>814</v>
      </c>
      <c r="J305" t="s">
        <v>775</v>
      </c>
      <c r="K305" t="s">
        <v>119</v>
      </c>
    </row>
    <row r="306" spans="1:11" x14ac:dyDescent="0.25">
      <c r="A306">
        <v>305</v>
      </c>
      <c r="B306" t="s">
        <v>116</v>
      </c>
      <c r="C306" t="s">
        <v>117</v>
      </c>
      <c r="D306" t="s">
        <v>13</v>
      </c>
      <c r="E306" t="s">
        <v>815</v>
      </c>
      <c r="F306" t="s">
        <v>290</v>
      </c>
      <c r="G306" t="s">
        <v>816</v>
      </c>
      <c r="H306" t="s">
        <v>710</v>
      </c>
      <c r="I306" t="s">
        <v>817</v>
      </c>
      <c r="J306" t="s">
        <v>775</v>
      </c>
      <c r="K306" t="s">
        <v>119</v>
      </c>
    </row>
    <row r="307" spans="1:11" x14ac:dyDescent="0.25">
      <c r="A307">
        <v>306</v>
      </c>
      <c r="B307" t="s">
        <v>269</v>
      </c>
      <c r="C307" t="s">
        <v>270</v>
      </c>
      <c r="D307" t="s">
        <v>13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775</v>
      </c>
      <c r="K307" t="s">
        <v>818</v>
      </c>
    </row>
    <row r="308" spans="1:11" x14ac:dyDescent="0.25">
      <c r="A308">
        <v>307</v>
      </c>
      <c r="B308" t="s">
        <v>67</v>
      </c>
      <c r="C308" t="s">
        <v>68</v>
      </c>
      <c r="D308" t="s">
        <v>13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775</v>
      </c>
      <c r="K308" t="s">
        <v>818</v>
      </c>
    </row>
    <row r="309" spans="1:11" x14ac:dyDescent="0.25">
      <c r="A309">
        <v>308</v>
      </c>
      <c r="B309" t="s">
        <v>259</v>
      </c>
      <c r="C309" t="s">
        <v>260</v>
      </c>
      <c r="D309" t="s">
        <v>88</v>
      </c>
      <c r="E309" t="s">
        <v>27</v>
      </c>
      <c r="F309" t="s">
        <v>290</v>
      </c>
      <c r="G309" t="s">
        <v>290</v>
      </c>
      <c r="H309" t="s">
        <v>819</v>
      </c>
      <c r="I309" t="s">
        <v>820</v>
      </c>
      <c r="J309" t="s">
        <v>775</v>
      </c>
      <c r="K309" t="s">
        <v>821</v>
      </c>
    </row>
    <row r="310" spans="1:11" x14ac:dyDescent="0.25">
      <c r="A310">
        <v>309</v>
      </c>
      <c r="B310" t="s">
        <v>273</v>
      </c>
      <c r="C310" t="s">
        <v>274</v>
      </c>
      <c r="D310" t="s">
        <v>13</v>
      </c>
      <c r="E310" t="s">
        <v>275</v>
      </c>
      <c r="F310" t="s">
        <v>15</v>
      </c>
      <c r="G310" t="s">
        <v>276</v>
      </c>
      <c r="H310" t="s">
        <v>822</v>
      </c>
      <c r="I310" t="s">
        <v>272</v>
      </c>
      <c r="J310" t="s">
        <v>775</v>
      </c>
      <c r="K310" t="s">
        <v>823</v>
      </c>
    </row>
    <row r="311" spans="1:11" x14ac:dyDescent="0.25">
      <c r="A311">
        <v>310</v>
      </c>
      <c r="B311" t="s">
        <v>738</v>
      </c>
      <c r="C311" t="s">
        <v>739</v>
      </c>
      <c r="D311" t="s">
        <v>13</v>
      </c>
      <c r="E311" t="s">
        <v>824</v>
      </c>
      <c r="F311" t="s">
        <v>58</v>
      </c>
      <c r="G311" t="s">
        <v>276</v>
      </c>
      <c r="H311" t="s">
        <v>825</v>
      </c>
      <c r="I311" t="s">
        <v>826</v>
      </c>
      <c r="J311" t="s">
        <v>827</v>
      </c>
      <c r="K311" t="s">
        <v>828</v>
      </c>
    </row>
    <row r="312" spans="1:11" x14ac:dyDescent="0.25">
      <c r="A312">
        <v>311</v>
      </c>
      <c r="B312" t="s">
        <v>829</v>
      </c>
      <c r="C312" t="s">
        <v>830</v>
      </c>
      <c r="D312" t="s">
        <v>88</v>
      </c>
      <c r="E312" t="s">
        <v>831</v>
      </c>
      <c r="F312" t="s">
        <v>15</v>
      </c>
      <c r="G312" t="s">
        <v>102</v>
      </c>
      <c r="H312" t="s">
        <v>832</v>
      </c>
      <c r="I312" t="s">
        <v>833</v>
      </c>
      <c r="J312" t="s">
        <v>827</v>
      </c>
      <c r="K312" t="s">
        <v>834</v>
      </c>
    </row>
    <row r="313" spans="1:11" x14ac:dyDescent="0.25">
      <c r="A313">
        <v>312</v>
      </c>
      <c r="B313" t="s">
        <v>835</v>
      </c>
      <c r="C313" t="s">
        <v>836</v>
      </c>
      <c r="D313" t="s">
        <v>88</v>
      </c>
      <c r="E313" t="s">
        <v>831</v>
      </c>
      <c r="F313" t="s">
        <v>290</v>
      </c>
      <c r="G313" t="s">
        <v>102</v>
      </c>
      <c r="H313" t="s">
        <v>674</v>
      </c>
      <c r="I313" t="s">
        <v>837</v>
      </c>
      <c r="J313" t="s">
        <v>827</v>
      </c>
      <c r="K313" t="s">
        <v>834</v>
      </c>
    </row>
    <row r="314" spans="1:11" x14ac:dyDescent="0.25">
      <c r="A314">
        <v>313</v>
      </c>
      <c r="B314" t="s">
        <v>717</v>
      </c>
      <c r="C314" t="s">
        <v>718</v>
      </c>
      <c r="D314" t="s">
        <v>88</v>
      </c>
      <c r="E314" t="s">
        <v>807</v>
      </c>
      <c r="F314" t="s">
        <v>290</v>
      </c>
      <c r="G314" t="s">
        <v>180</v>
      </c>
      <c r="H314" t="s">
        <v>447</v>
      </c>
      <c r="I314" t="s">
        <v>810</v>
      </c>
      <c r="J314" t="s">
        <v>827</v>
      </c>
      <c r="K314" t="s">
        <v>834</v>
      </c>
    </row>
    <row r="315" spans="1:11" x14ac:dyDescent="0.25">
      <c r="A315">
        <v>314</v>
      </c>
      <c r="B315" t="s">
        <v>753</v>
      </c>
      <c r="C315" t="s">
        <v>754</v>
      </c>
      <c r="D315" t="s">
        <v>88</v>
      </c>
      <c r="E315" t="s">
        <v>807</v>
      </c>
      <c r="F315" t="s">
        <v>15</v>
      </c>
      <c r="G315" t="s">
        <v>180</v>
      </c>
      <c r="H315" t="s">
        <v>808</v>
      </c>
      <c r="I315" t="s">
        <v>809</v>
      </c>
      <c r="J315" t="s">
        <v>827</v>
      </c>
      <c r="K315" t="s">
        <v>834</v>
      </c>
    </row>
    <row r="316" spans="1:11" x14ac:dyDescent="0.25">
      <c r="A316">
        <v>315</v>
      </c>
      <c r="B316" t="s">
        <v>757</v>
      </c>
      <c r="C316" t="s">
        <v>758</v>
      </c>
      <c r="D316" t="s">
        <v>88</v>
      </c>
      <c r="E316" t="s">
        <v>807</v>
      </c>
      <c r="F316" t="s">
        <v>15</v>
      </c>
      <c r="G316" t="s">
        <v>180</v>
      </c>
      <c r="H316" t="s">
        <v>808</v>
      </c>
      <c r="I316" t="s">
        <v>809</v>
      </c>
      <c r="J316" t="s">
        <v>827</v>
      </c>
      <c r="K316" t="s">
        <v>834</v>
      </c>
    </row>
    <row r="317" spans="1:11" x14ac:dyDescent="0.25">
      <c r="A317">
        <v>316</v>
      </c>
      <c r="B317" t="s">
        <v>838</v>
      </c>
      <c r="C317" t="s">
        <v>839</v>
      </c>
      <c r="D317" t="s">
        <v>13</v>
      </c>
      <c r="E317" t="s">
        <v>15</v>
      </c>
      <c r="F317" t="s">
        <v>63</v>
      </c>
      <c r="G317" t="s">
        <v>15</v>
      </c>
      <c r="H317" t="s">
        <v>840</v>
      </c>
      <c r="I317" t="s">
        <v>840</v>
      </c>
      <c r="J317" t="s">
        <v>827</v>
      </c>
      <c r="K317" t="s">
        <v>347</v>
      </c>
    </row>
    <row r="318" spans="1:11" x14ac:dyDescent="0.25">
      <c r="A318">
        <v>317</v>
      </c>
      <c r="B318" t="s">
        <v>841</v>
      </c>
      <c r="C318" t="s">
        <v>842</v>
      </c>
      <c r="D318" t="s">
        <v>13</v>
      </c>
      <c r="E318" t="s">
        <v>27</v>
      </c>
      <c r="F318" t="s">
        <v>15</v>
      </c>
      <c r="G318" t="s">
        <v>59</v>
      </c>
      <c r="H318" t="s">
        <v>520</v>
      </c>
      <c r="I318" t="s">
        <v>103</v>
      </c>
      <c r="J318" t="s">
        <v>827</v>
      </c>
      <c r="K318" t="s">
        <v>347</v>
      </c>
    </row>
    <row r="319" spans="1:11" x14ac:dyDescent="0.25">
      <c r="A319">
        <v>318</v>
      </c>
      <c r="B319" t="s">
        <v>147</v>
      </c>
      <c r="C319" t="s">
        <v>148</v>
      </c>
      <c r="D319" t="s">
        <v>149</v>
      </c>
      <c r="E319" t="s">
        <v>652</v>
      </c>
      <c r="F319" t="s">
        <v>15</v>
      </c>
      <c r="G319" t="s">
        <v>653</v>
      </c>
      <c r="H319" t="s">
        <v>365</v>
      </c>
      <c r="I319" t="s">
        <v>199</v>
      </c>
      <c r="J319" t="s">
        <v>827</v>
      </c>
      <c r="K319" t="s">
        <v>366</v>
      </c>
    </row>
    <row r="320" spans="1:11" x14ac:dyDescent="0.25">
      <c r="A320">
        <v>319</v>
      </c>
      <c r="B320" t="s">
        <v>155</v>
      </c>
      <c r="C320" t="s">
        <v>156</v>
      </c>
      <c r="D320" t="s">
        <v>149</v>
      </c>
      <c r="E320" t="s">
        <v>652</v>
      </c>
      <c r="F320" t="s">
        <v>15</v>
      </c>
      <c r="G320" t="s">
        <v>653</v>
      </c>
      <c r="H320" t="s">
        <v>365</v>
      </c>
      <c r="I320" t="s">
        <v>199</v>
      </c>
      <c r="J320" t="s">
        <v>827</v>
      </c>
      <c r="K320" t="s">
        <v>366</v>
      </c>
    </row>
    <row r="321" spans="1:11" x14ac:dyDescent="0.25">
      <c r="A321">
        <v>320</v>
      </c>
      <c r="B321" t="s">
        <v>613</v>
      </c>
      <c r="C321" t="s">
        <v>614</v>
      </c>
      <c r="D321" t="s">
        <v>88</v>
      </c>
      <c r="E321" t="s">
        <v>615</v>
      </c>
      <c r="F321" t="s">
        <v>15</v>
      </c>
      <c r="G321" t="s">
        <v>125</v>
      </c>
      <c r="H321" t="s">
        <v>72</v>
      </c>
      <c r="I321" t="s">
        <v>616</v>
      </c>
      <c r="J321" t="s">
        <v>827</v>
      </c>
      <c r="K321" t="s">
        <v>366</v>
      </c>
    </row>
    <row r="322" spans="1:11" x14ac:dyDescent="0.25">
      <c r="A322">
        <v>321</v>
      </c>
      <c r="B322" t="s">
        <v>618</v>
      </c>
      <c r="C322" t="s">
        <v>619</v>
      </c>
      <c r="D322" t="s">
        <v>88</v>
      </c>
      <c r="E322" t="s">
        <v>615</v>
      </c>
      <c r="F322" t="s">
        <v>15</v>
      </c>
      <c r="G322" t="s">
        <v>125</v>
      </c>
      <c r="H322" t="s">
        <v>72</v>
      </c>
      <c r="I322" t="s">
        <v>616</v>
      </c>
      <c r="J322" t="s">
        <v>827</v>
      </c>
      <c r="K322" t="s">
        <v>366</v>
      </c>
    </row>
    <row r="323" spans="1:11" x14ac:dyDescent="0.25">
      <c r="A323">
        <v>322</v>
      </c>
      <c r="B323" t="s">
        <v>613</v>
      </c>
      <c r="C323" t="s">
        <v>614</v>
      </c>
      <c r="D323" t="s">
        <v>88</v>
      </c>
      <c r="E323" t="s">
        <v>615</v>
      </c>
      <c r="F323" t="s">
        <v>15</v>
      </c>
      <c r="G323" t="s">
        <v>125</v>
      </c>
      <c r="H323" t="s">
        <v>72</v>
      </c>
      <c r="I323" t="s">
        <v>616</v>
      </c>
      <c r="J323" t="s">
        <v>827</v>
      </c>
      <c r="K323" t="s">
        <v>654</v>
      </c>
    </row>
    <row r="324" spans="1:11" x14ac:dyDescent="0.25">
      <c r="A324">
        <v>323</v>
      </c>
      <c r="B324" t="s">
        <v>618</v>
      </c>
      <c r="C324" t="s">
        <v>619</v>
      </c>
      <c r="D324" t="s">
        <v>88</v>
      </c>
      <c r="E324" t="s">
        <v>615</v>
      </c>
      <c r="F324" t="s">
        <v>15</v>
      </c>
      <c r="G324" t="s">
        <v>125</v>
      </c>
      <c r="H324" t="s">
        <v>72</v>
      </c>
      <c r="I324" t="s">
        <v>616</v>
      </c>
      <c r="J324" t="s">
        <v>827</v>
      </c>
      <c r="K324" t="s">
        <v>654</v>
      </c>
    </row>
    <row r="325" spans="1:11" x14ac:dyDescent="0.25">
      <c r="A325">
        <v>324</v>
      </c>
      <c r="B325" t="s">
        <v>378</v>
      </c>
      <c r="C325" t="s">
        <v>379</v>
      </c>
      <c r="D325" t="s">
        <v>23</v>
      </c>
      <c r="E325" t="s">
        <v>203</v>
      </c>
      <c r="F325" t="s">
        <v>90</v>
      </c>
      <c r="G325" t="s">
        <v>196</v>
      </c>
      <c r="H325" t="s">
        <v>380</v>
      </c>
      <c r="I325" t="s">
        <v>381</v>
      </c>
      <c r="J325" t="s">
        <v>827</v>
      </c>
      <c r="K325" t="s">
        <v>654</v>
      </c>
    </row>
    <row r="326" spans="1:11" x14ac:dyDescent="0.25">
      <c r="A326">
        <v>325</v>
      </c>
      <c r="B326" t="s">
        <v>744</v>
      </c>
      <c r="C326" t="s">
        <v>745</v>
      </c>
      <c r="D326" t="s">
        <v>13</v>
      </c>
      <c r="E326" t="s">
        <v>843</v>
      </c>
      <c r="F326" t="s">
        <v>15</v>
      </c>
      <c r="G326" t="s">
        <v>844</v>
      </c>
      <c r="H326" t="s">
        <v>845</v>
      </c>
      <c r="I326" t="s">
        <v>846</v>
      </c>
      <c r="J326" t="s">
        <v>827</v>
      </c>
      <c r="K326" t="s">
        <v>654</v>
      </c>
    </row>
    <row r="327" spans="1:11" x14ac:dyDescent="0.25">
      <c r="A327">
        <v>326</v>
      </c>
      <c r="B327" t="s">
        <v>748</v>
      </c>
      <c r="C327" t="s">
        <v>749</v>
      </c>
      <c r="D327" t="s">
        <v>13</v>
      </c>
      <c r="E327" t="s">
        <v>843</v>
      </c>
      <c r="F327" t="s">
        <v>15</v>
      </c>
      <c r="G327" t="s">
        <v>844</v>
      </c>
      <c r="H327" t="s">
        <v>845</v>
      </c>
      <c r="I327" t="s">
        <v>846</v>
      </c>
      <c r="J327" t="s">
        <v>827</v>
      </c>
      <c r="K327" t="s">
        <v>654</v>
      </c>
    </row>
    <row r="328" spans="1:11" x14ac:dyDescent="0.25">
      <c r="A328">
        <v>327</v>
      </c>
      <c r="B328" t="s">
        <v>632</v>
      </c>
      <c r="C328" t="s">
        <v>633</v>
      </c>
      <c r="D328" t="s">
        <v>13</v>
      </c>
      <c r="E328" t="s">
        <v>847</v>
      </c>
      <c r="F328" t="s">
        <v>15</v>
      </c>
      <c r="G328" t="s">
        <v>47</v>
      </c>
      <c r="H328" t="s">
        <v>205</v>
      </c>
      <c r="I328" t="s">
        <v>848</v>
      </c>
      <c r="J328" t="s">
        <v>827</v>
      </c>
      <c r="K328" t="s">
        <v>654</v>
      </c>
    </row>
    <row r="329" spans="1:11" x14ac:dyDescent="0.25">
      <c r="A329">
        <v>328</v>
      </c>
      <c r="B329" t="s">
        <v>849</v>
      </c>
      <c r="C329" t="s">
        <v>850</v>
      </c>
      <c r="D329" t="s">
        <v>194</v>
      </c>
      <c r="E329" t="s">
        <v>851</v>
      </c>
      <c r="F329" t="s">
        <v>15</v>
      </c>
      <c r="G329" t="s">
        <v>90</v>
      </c>
      <c r="H329" t="s">
        <v>852</v>
      </c>
      <c r="I329" t="s">
        <v>644</v>
      </c>
      <c r="J329" t="s">
        <v>827</v>
      </c>
      <c r="K329" t="s">
        <v>654</v>
      </c>
    </row>
    <row r="330" spans="1:11" x14ac:dyDescent="0.25">
      <c r="A330">
        <v>329</v>
      </c>
      <c r="B330" t="s">
        <v>853</v>
      </c>
      <c r="C330" t="s">
        <v>854</v>
      </c>
      <c r="D330" t="s">
        <v>194</v>
      </c>
      <c r="E330" t="s">
        <v>851</v>
      </c>
      <c r="F330" t="s">
        <v>15</v>
      </c>
      <c r="G330" t="s">
        <v>90</v>
      </c>
      <c r="H330" t="s">
        <v>852</v>
      </c>
      <c r="I330" t="s">
        <v>644</v>
      </c>
      <c r="J330" t="s">
        <v>827</v>
      </c>
      <c r="K330" t="s">
        <v>654</v>
      </c>
    </row>
    <row r="331" spans="1:11" x14ac:dyDescent="0.25">
      <c r="A331">
        <v>330</v>
      </c>
      <c r="B331" t="s">
        <v>855</v>
      </c>
      <c r="C331" t="s">
        <v>856</v>
      </c>
      <c r="D331" t="s">
        <v>194</v>
      </c>
      <c r="E331" t="s">
        <v>294</v>
      </c>
      <c r="F331" t="s">
        <v>15</v>
      </c>
      <c r="G331" t="s">
        <v>125</v>
      </c>
      <c r="H331" t="s">
        <v>377</v>
      </c>
      <c r="I331" t="s">
        <v>857</v>
      </c>
      <c r="J331" t="s">
        <v>827</v>
      </c>
      <c r="K331" t="s">
        <v>654</v>
      </c>
    </row>
    <row r="332" spans="1:11" x14ac:dyDescent="0.25">
      <c r="A332">
        <v>331</v>
      </c>
      <c r="B332" t="s">
        <v>858</v>
      </c>
      <c r="C332" t="s">
        <v>859</v>
      </c>
      <c r="D332" t="s">
        <v>194</v>
      </c>
      <c r="E332" t="s">
        <v>294</v>
      </c>
      <c r="F332" t="s">
        <v>15</v>
      </c>
      <c r="G332" t="s">
        <v>125</v>
      </c>
      <c r="H332" t="s">
        <v>377</v>
      </c>
      <c r="I332" t="s">
        <v>857</v>
      </c>
      <c r="J332" t="s">
        <v>827</v>
      </c>
      <c r="K332" t="s">
        <v>654</v>
      </c>
    </row>
    <row r="333" spans="1:11" x14ac:dyDescent="0.25">
      <c r="A333">
        <v>332</v>
      </c>
      <c r="B333" t="s">
        <v>860</v>
      </c>
      <c r="C333" t="s">
        <v>861</v>
      </c>
      <c r="D333" t="s">
        <v>30</v>
      </c>
      <c r="E333" t="s">
        <v>15</v>
      </c>
      <c r="F333" t="s">
        <v>125</v>
      </c>
      <c r="G333" t="s">
        <v>15</v>
      </c>
      <c r="H333" t="s">
        <v>15</v>
      </c>
      <c r="I333" t="s">
        <v>15</v>
      </c>
      <c r="J333" t="s">
        <v>827</v>
      </c>
      <c r="K333" t="s">
        <v>654</v>
      </c>
    </row>
    <row r="334" spans="1:11" x14ac:dyDescent="0.25">
      <c r="A334">
        <v>333</v>
      </c>
      <c r="B334" t="s">
        <v>605</v>
      </c>
      <c r="C334" t="s">
        <v>606</v>
      </c>
      <c r="D334" t="s">
        <v>23</v>
      </c>
      <c r="E334" t="s">
        <v>862</v>
      </c>
      <c r="F334" t="s">
        <v>15</v>
      </c>
      <c r="G334" t="s">
        <v>196</v>
      </c>
      <c r="H334" t="s">
        <v>186</v>
      </c>
      <c r="I334" t="s">
        <v>863</v>
      </c>
      <c r="J334" t="s">
        <v>827</v>
      </c>
      <c r="K334" t="s">
        <v>654</v>
      </c>
    </row>
    <row r="335" spans="1:11" x14ac:dyDescent="0.25">
      <c r="A335">
        <v>334</v>
      </c>
      <c r="B335" t="s">
        <v>864</v>
      </c>
      <c r="C335" t="s">
        <v>865</v>
      </c>
      <c r="D335" t="s">
        <v>23</v>
      </c>
      <c r="E335" t="s">
        <v>866</v>
      </c>
      <c r="F335" t="s">
        <v>15</v>
      </c>
      <c r="G335" t="s">
        <v>867</v>
      </c>
      <c r="H335" t="s">
        <v>868</v>
      </c>
      <c r="I335" t="s">
        <v>869</v>
      </c>
      <c r="J335" t="s">
        <v>827</v>
      </c>
      <c r="K335" t="s">
        <v>654</v>
      </c>
    </row>
    <row r="336" spans="1:11" x14ac:dyDescent="0.25">
      <c r="A336">
        <v>335</v>
      </c>
      <c r="B336" t="s">
        <v>248</v>
      </c>
      <c r="C336" t="s">
        <v>249</v>
      </c>
      <c r="D336" t="s">
        <v>250</v>
      </c>
      <c r="E336" t="s">
        <v>712</v>
      </c>
      <c r="F336" t="s">
        <v>15</v>
      </c>
      <c r="G336" t="s">
        <v>125</v>
      </c>
      <c r="H336" t="s">
        <v>377</v>
      </c>
      <c r="I336" t="s">
        <v>490</v>
      </c>
      <c r="J336" t="s">
        <v>827</v>
      </c>
      <c r="K336" t="s">
        <v>659</v>
      </c>
    </row>
    <row r="337" spans="1:11" x14ac:dyDescent="0.25">
      <c r="A337">
        <v>336</v>
      </c>
      <c r="B337" t="s">
        <v>11</v>
      </c>
      <c r="C337" t="s">
        <v>12</v>
      </c>
      <c r="D337" t="s">
        <v>13</v>
      </c>
      <c r="E337" t="s">
        <v>18</v>
      </c>
      <c r="F337" t="s">
        <v>32</v>
      </c>
      <c r="G337" t="s">
        <v>70</v>
      </c>
      <c r="H337" t="s">
        <v>778</v>
      </c>
      <c r="I337" t="s">
        <v>779</v>
      </c>
      <c r="J337" t="s">
        <v>870</v>
      </c>
      <c r="K337" t="s">
        <v>191</v>
      </c>
    </row>
    <row r="338" spans="1:11" x14ac:dyDescent="0.25">
      <c r="A338">
        <v>337</v>
      </c>
      <c r="B338" t="s">
        <v>163</v>
      </c>
      <c r="C338" t="s">
        <v>164</v>
      </c>
      <c r="D338" t="s">
        <v>45</v>
      </c>
      <c r="E338" t="s">
        <v>15</v>
      </c>
      <c r="F338" t="s">
        <v>125</v>
      </c>
      <c r="G338" t="s">
        <v>15</v>
      </c>
      <c r="H338" t="s">
        <v>533</v>
      </c>
      <c r="I338" t="s">
        <v>533</v>
      </c>
      <c r="J338" t="s">
        <v>870</v>
      </c>
      <c r="K338" t="s">
        <v>428</v>
      </c>
    </row>
    <row r="339" spans="1:11" x14ac:dyDescent="0.25">
      <c r="A339">
        <v>338</v>
      </c>
      <c r="B339" t="s">
        <v>314</v>
      </c>
      <c r="C339" t="s">
        <v>315</v>
      </c>
      <c r="D339" t="s">
        <v>13</v>
      </c>
      <c r="E339" t="s">
        <v>427</v>
      </c>
      <c r="F339" t="s">
        <v>15</v>
      </c>
      <c r="G339" t="s">
        <v>70</v>
      </c>
      <c r="H339" t="s">
        <v>424</v>
      </c>
      <c r="I339" t="s">
        <v>109</v>
      </c>
      <c r="J339" t="s">
        <v>870</v>
      </c>
      <c r="K339" t="s">
        <v>428</v>
      </c>
    </row>
    <row r="340" spans="1:11" x14ac:dyDescent="0.25">
      <c r="A340">
        <v>339</v>
      </c>
      <c r="B340" t="s">
        <v>871</v>
      </c>
      <c r="C340" t="s">
        <v>872</v>
      </c>
      <c r="D340" t="s">
        <v>45</v>
      </c>
      <c r="E340" t="s">
        <v>873</v>
      </c>
      <c r="F340" t="s">
        <v>15</v>
      </c>
      <c r="G340" t="s">
        <v>47</v>
      </c>
      <c r="H340" t="s">
        <v>802</v>
      </c>
      <c r="I340" t="s">
        <v>874</v>
      </c>
      <c r="J340" t="s">
        <v>870</v>
      </c>
      <c r="K340" t="s">
        <v>450</v>
      </c>
    </row>
    <row r="341" spans="1:11" x14ac:dyDescent="0.25">
      <c r="A341">
        <v>340</v>
      </c>
      <c r="B341" t="s">
        <v>421</v>
      </c>
      <c r="C341" t="s">
        <v>422</v>
      </c>
      <c r="D341" t="s">
        <v>45</v>
      </c>
      <c r="E341" t="s">
        <v>15</v>
      </c>
      <c r="F341" t="s">
        <v>125</v>
      </c>
      <c r="G341" t="s">
        <v>15</v>
      </c>
      <c r="H341" t="s">
        <v>533</v>
      </c>
      <c r="I341" t="s">
        <v>533</v>
      </c>
      <c r="J341" t="s">
        <v>870</v>
      </c>
      <c r="K341" t="s">
        <v>450</v>
      </c>
    </row>
    <row r="342" spans="1:11" x14ac:dyDescent="0.25">
      <c r="A342">
        <v>341</v>
      </c>
      <c r="B342" t="s">
        <v>28</v>
      </c>
      <c r="C342" t="s">
        <v>29</v>
      </c>
      <c r="D342" t="s">
        <v>30</v>
      </c>
      <c r="E342" t="s">
        <v>875</v>
      </c>
      <c r="F342" t="s">
        <v>15</v>
      </c>
      <c r="G342" t="s">
        <v>867</v>
      </c>
      <c r="H342" t="s">
        <v>876</v>
      </c>
      <c r="I342" t="s">
        <v>877</v>
      </c>
      <c r="J342" t="s">
        <v>870</v>
      </c>
      <c r="K342" t="s">
        <v>35</v>
      </c>
    </row>
    <row r="343" spans="1:11" x14ac:dyDescent="0.25">
      <c r="A343">
        <v>342</v>
      </c>
      <c r="B343" t="s">
        <v>476</v>
      </c>
      <c r="C343" t="s">
        <v>477</v>
      </c>
      <c r="D343" t="s">
        <v>30</v>
      </c>
      <c r="E343" t="s">
        <v>31</v>
      </c>
      <c r="F343" t="s">
        <v>15</v>
      </c>
      <c r="G343" t="s">
        <v>32</v>
      </c>
      <c r="H343" t="s">
        <v>723</v>
      </c>
      <c r="I343" t="s">
        <v>253</v>
      </c>
      <c r="J343" t="s">
        <v>870</v>
      </c>
      <c r="K343" t="s">
        <v>35</v>
      </c>
    </row>
    <row r="344" spans="1:11" x14ac:dyDescent="0.25">
      <c r="A344">
        <v>343</v>
      </c>
      <c r="B344" t="s">
        <v>476</v>
      </c>
      <c r="C344" t="s">
        <v>477</v>
      </c>
      <c r="D344" t="s">
        <v>30</v>
      </c>
      <c r="E344" t="s">
        <v>31</v>
      </c>
      <c r="F344" t="s">
        <v>90</v>
      </c>
      <c r="G344" t="s">
        <v>32</v>
      </c>
      <c r="H344" t="s">
        <v>140</v>
      </c>
      <c r="I344" t="s">
        <v>878</v>
      </c>
      <c r="J344" t="s">
        <v>870</v>
      </c>
      <c r="K344" t="s">
        <v>473</v>
      </c>
    </row>
    <row r="345" spans="1:11" x14ac:dyDescent="0.25">
      <c r="A345">
        <v>344</v>
      </c>
      <c r="B345" t="s">
        <v>849</v>
      </c>
      <c r="C345" t="s">
        <v>850</v>
      </c>
      <c r="D345" t="s">
        <v>194</v>
      </c>
      <c r="E345" t="s">
        <v>215</v>
      </c>
      <c r="F345" t="s">
        <v>125</v>
      </c>
      <c r="G345" t="s">
        <v>58</v>
      </c>
      <c r="H345" t="s">
        <v>879</v>
      </c>
      <c r="I345" t="s">
        <v>880</v>
      </c>
      <c r="J345" t="s">
        <v>870</v>
      </c>
      <c r="K345" t="s">
        <v>473</v>
      </c>
    </row>
    <row r="346" spans="1:11" x14ac:dyDescent="0.25">
      <c r="A346">
        <v>345</v>
      </c>
      <c r="B346" t="s">
        <v>416</v>
      </c>
      <c r="C346" t="s">
        <v>417</v>
      </c>
      <c r="D346" t="s">
        <v>45</v>
      </c>
      <c r="E346" t="s">
        <v>141</v>
      </c>
      <c r="F346" t="s">
        <v>15</v>
      </c>
      <c r="G346" t="s">
        <v>63</v>
      </c>
      <c r="H346" t="s">
        <v>755</v>
      </c>
      <c r="I346" t="s">
        <v>333</v>
      </c>
      <c r="J346" t="s">
        <v>870</v>
      </c>
      <c r="K346" t="s">
        <v>881</v>
      </c>
    </row>
    <row r="347" spans="1:11" x14ac:dyDescent="0.25">
      <c r="A347">
        <v>346</v>
      </c>
      <c r="B347" t="s">
        <v>105</v>
      </c>
      <c r="C347" t="s">
        <v>106</v>
      </c>
      <c r="D347" t="s">
        <v>107</v>
      </c>
      <c r="E347" t="s">
        <v>882</v>
      </c>
      <c r="F347" t="s">
        <v>125</v>
      </c>
      <c r="G347" t="s">
        <v>180</v>
      </c>
      <c r="H347" t="s">
        <v>883</v>
      </c>
      <c r="I347" t="s">
        <v>884</v>
      </c>
      <c r="J347" t="s">
        <v>870</v>
      </c>
      <c r="K347" t="s">
        <v>885</v>
      </c>
    </row>
    <row r="348" spans="1:11" x14ac:dyDescent="0.25">
      <c r="A348">
        <v>347</v>
      </c>
      <c r="B348" t="s">
        <v>163</v>
      </c>
      <c r="C348" t="s">
        <v>164</v>
      </c>
      <c r="D348" t="s">
        <v>45</v>
      </c>
      <c r="E348" t="s">
        <v>569</v>
      </c>
      <c r="F348" t="s">
        <v>15</v>
      </c>
      <c r="G348" t="s">
        <v>102</v>
      </c>
      <c r="H348" t="s">
        <v>548</v>
      </c>
      <c r="I348" t="s">
        <v>886</v>
      </c>
      <c r="J348" t="s">
        <v>870</v>
      </c>
      <c r="K348" t="s">
        <v>885</v>
      </c>
    </row>
    <row r="349" spans="1:11" x14ac:dyDescent="0.25">
      <c r="A349">
        <v>348</v>
      </c>
      <c r="B349" t="s">
        <v>421</v>
      </c>
      <c r="C349" t="s">
        <v>422</v>
      </c>
      <c r="D349" t="s">
        <v>45</v>
      </c>
      <c r="E349" t="s">
        <v>15</v>
      </c>
      <c r="F349" t="s">
        <v>90</v>
      </c>
      <c r="G349" t="s">
        <v>15</v>
      </c>
      <c r="H349" t="s">
        <v>887</v>
      </c>
      <c r="I349" t="s">
        <v>887</v>
      </c>
      <c r="J349" t="s">
        <v>870</v>
      </c>
      <c r="K349" t="s">
        <v>885</v>
      </c>
    </row>
    <row r="350" spans="1:11" x14ac:dyDescent="0.25">
      <c r="A350">
        <v>349</v>
      </c>
      <c r="B350" t="s">
        <v>888</v>
      </c>
      <c r="C350" t="s">
        <v>889</v>
      </c>
      <c r="D350" t="s">
        <v>13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870</v>
      </c>
      <c r="K350" t="s">
        <v>885</v>
      </c>
    </row>
    <row r="351" spans="1:11" x14ac:dyDescent="0.25">
      <c r="A351">
        <v>350</v>
      </c>
      <c r="B351" t="s">
        <v>890</v>
      </c>
      <c r="C351" t="s">
        <v>891</v>
      </c>
      <c r="D351" t="s">
        <v>13</v>
      </c>
      <c r="E351" t="s">
        <v>792</v>
      </c>
      <c r="F351" t="s">
        <v>58</v>
      </c>
      <c r="G351" t="s">
        <v>59</v>
      </c>
      <c r="H351" t="s">
        <v>892</v>
      </c>
      <c r="I351" t="s">
        <v>787</v>
      </c>
      <c r="J351" t="s">
        <v>870</v>
      </c>
      <c r="K351" t="s">
        <v>885</v>
      </c>
    </row>
    <row r="352" spans="1:11" x14ac:dyDescent="0.25">
      <c r="A352">
        <v>351</v>
      </c>
      <c r="B352" t="s">
        <v>893</v>
      </c>
      <c r="C352" t="s">
        <v>894</v>
      </c>
      <c r="D352" t="s">
        <v>23</v>
      </c>
      <c r="E352" t="s">
        <v>895</v>
      </c>
      <c r="F352" t="s">
        <v>125</v>
      </c>
      <c r="G352" t="s">
        <v>196</v>
      </c>
      <c r="H352" t="s">
        <v>896</v>
      </c>
      <c r="I352" t="s">
        <v>897</v>
      </c>
      <c r="J352" t="s">
        <v>870</v>
      </c>
      <c r="K352" t="s">
        <v>885</v>
      </c>
    </row>
    <row r="353" spans="1:11" x14ac:dyDescent="0.25">
      <c r="A353">
        <v>352</v>
      </c>
      <c r="B353" t="s">
        <v>829</v>
      </c>
      <c r="C353" t="s">
        <v>830</v>
      </c>
      <c r="D353" t="s">
        <v>88</v>
      </c>
      <c r="E353" t="s">
        <v>898</v>
      </c>
      <c r="F353" t="s">
        <v>90</v>
      </c>
      <c r="G353" t="s">
        <v>196</v>
      </c>
      <c r="H353" t="s">
        <v>899</v>
      </c>
      <c r="I353" t="s">
        <v>644</v>
      </c>
      <c r="J353" t="s">
        <v>870</v>
      </c>
      <c r="K353" t="s">
        <v>900</v>
      </c>
    </row>
    <row r="354" spans="1:11" x14ac:dyDescent="0.25">
      <c r="A354">
        <v>353</v>
      </c>
      <c r="B354" t="s">
        <v>835</v>
      </c>
      <c r="C354" t="s">
        <v>836</v>
      </c>
      <c r="D354" t="s">
        <v>88</v>
      </c>
      <c r="E354" t="s">
        <v>898</v>
      </c>
      <c r="F354" t="s">
        <v>90</v>
      </c>
      <c r="G354" t="s">
        <v>196</v>
      </c>
      <c r="H354" t="s">
        <v>899</v>
      </c>
      <c r="I354" t="s">
        <v>644</v>
      </c>
      <c r="J354" t="s">
        <v>870</v>
      </c>
      <c r="K354" t="s">
        <v>900</v>
      </c>
    </row>
    <row r="355" spans="1:11" x14ac:dyDescent="0.25">
      <c r="A355">
        <v>354</v>
      </c>
      <c r="B355" t="s">
        <v>717</v>
      </c>
      <c r="C355" t="s">
        <v>718</v>
      </c>
      <c r="D355" t="s">
        <v>88</v>
      </c>
      <c r="E355" t="s">
        <v>901</v>
      </c>
      <c r="F355" t="s">
        <v>180</v>
      </c>
      <c r="G355" t="s">
        <v>70</v>
      </c>
      <c r="H355" t="s">
        <v>902</v>
      </c>
      <c r="I355" t="s">
        <v>903</v>
      </c>
      <c r="J355" t="s">
        <v>870</v>
      </c>
      <c r="K355" t="s">
        <v>900</v>
      </c>
    </row>
    <row r="356" spans="1:11" x14ac:dyDescent="0.25">
      <c r="A356">
        <v>355</v>
      </c>
      <c r="B356" t="s">
        <v>753</v>
      </c>
      <c r="C356" t="s">
        <v>754</v>
      </c>
      <c r="D356" t="s">
        <v>88</v>
      </c>
      <c r="E356" t="s">
        <v>901</v>
      </c>
      <c r="F356" t="s">
        <v>180</v>
      </c>
      <c r="G356" t="s">
        <v>70</v>
      </c>
      <c r="H356" t="s">
        <v>902</v>
      </c>
      <c r="I356" t="s">
        <v>903</v>
      </c>
      <c r="J356" t="s">
        <v>870</v>
      </c>
      <c r="K356" t="s">
        <v>900</v>
      </c>
    </row>
    <row r="357" spans="1:11" x14ac:dyDescent="0.25">
      <c r="A357">
        <v>356</v>
      </c>
      <c r="B357" t="s">
        <v>757</v>
      </c>
      <c r="C357" t="s">
        <v>758</v>
      </c>
      <c r="D357" t="s">
        <v>88</v>
      </c>
      <c r="E357" t="s">
        <v>901</v>
      </c>
      <c r="F357" t="s">
        <v>180</v>
      </c>
      <c r="G357" t="s">
        <v>70</v>
      </c>
      <c r="H357" t="s">
        <v>902</v>
      </c>
      <c r="I357" t="s">
        <v>903</v>
      </c>
      <c r="J357" t="s">
        <v>870</v>
      </c>
      <c r="K357" t="s">
        <v>900</v>
      </c>
    </row>
    <row r="358" spans="1:11" x14ac:dyDescent="0.25">
      <c r="A358">
        <v>357</v>
      </c>
      <c r="B358" t="s">
        <v>516</v>
      </c>
      <c r="C358" t="s">
        <v>517</v>
      </c>
      <c r="D358" t="s">
        <v>518</v>
      </c>
      <c r="E358" t="s">
        <v>15</v>
      </c>
      <c r="F358" t="s">
        <v>15</v>
      </c>
      <c r="G358" t="s">
        <v>15</v>
      </c>
      <c r="H358" t="s">
        <v>904</v>
      </c>
      <c r="I358" t="s">
        <v>904</v>
      </c>
      <c r="J358" t="s">
        <v>870</v>
      </c>
      <c r="K358" t="s">
        <v>900</v>
      </c>
    </row>
    <row r="359" spans="1:11" x14ac:dyDescent="0.25">
      <c r="A359">
        <v>358</v>
      </c>
      <c r="B359" t="s">
        <v>905</v>
      </c>
      <c r="C359" t="s">
        <v>906</v>
      </c>
      <c r="D359" t="s">
        <v>88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870</v>
      </c>
      <c r="K359" t="s">
        <v>119</v>
      </c>
    </row>
    <row r="360" spans="1:11" x14ac:dyDescent="0.25">
      <c r="A360">
        <v>359</v>
      </c>
      <c r="B360" t="s">
        <v>907</v>
      </c>
      <c r="C360" t="s">
        <v>908</v>
      </c>
      <c r="D360" t="s">
        <v>88</v>
      </c>
      <c r="E360" t="s">
        <v>103</v>
      </c>
      <c r="F360" t="s">
        <v>15</v>
      </c>
      <c r="G360" t="s">
        <v>125</v>
      </c>
      <c r="H360" t="s">
        <v>103</v>
      </c>
      <c r="I360" t="s">
        <v>15</v>
      </c>
      <c r="J360" t="s">
        <v>870</v>
      </c>
      <c r="K360" t="s">
        <v>119</v>
      </c>
    </row>
    <row r="361" spans="1:11" x14ac:dyDescent="0.25">
      <c r="A361">
        <v>360</v>
      </c>
      <c r="B361" t="s">
        <v>183</v>
      </c>
      <c r="C361" t="s">
        <v>184</v>
      </c>
      <c r="D361" t="s">
        <v>23</v>
      </c>
      <c r="E361" t="s">
        <v>185</v>
      </c>
      <c r="F361" t="s">
        <v>15</v>
      </c>
      <c r="G361" t="s">
        <v>102</v>
      </c>
      <c r="H361" t="s">
        <v>591</v>
      </c>
      <c r="I361" t="s">
        <v>592</v>
      </c>
      <c r="J361" t="s">
        <v>870</v>
      </c>
      <c r="K361" t="s">
        <v>909</v>
      </c>
    </row>
    <row r="362" spans="1:11" x14ac:dyDescent="0.25">
      <c r="A362">
        <v>361</v>
      </c>
      <c r="B362" t="s">
        <v>910</v>
      </c>
      <c r="C362" t="s">
        <v>911</v>
      </c>
      <c r="D362" t="s">
        <v>45</v>
      </c>
      <c r="E362" t="s">
        <v>332</v>
      </c>
      <c r="F362" t="s">
        <v>15</v>
      </c>
      <c r="G362" t="s">
        <v>63</v>
      </c>
      <c r="H362" t="s">
        <v>912</v>
      </c>
      <c r="I362" t="s">
        <v>222</v>
      </c>
      <c r="J362" t="s">
        <v>870</v>
      </c>
      <c r="K362" t="s">
        <v>913</v>
      </c>
    </row>
    <row r="363" spans="1:11" x14ac:dyDescent="0.25">
      <c r="A363">
        <v>362</v>
      </c>
      <c r="B363" t="s">
        <v>163</v>
      </c>
      <c r="C363" t="s">
        <v>164</v>
      </c>
      <c r="D363" t="s">
        <v>45</v>
      </c>
      <c r="E363" t="s">
        <v>569</v>
      </c>
      <c r="F363" t="s">
        <v>15</v>
      </c>
      <c r="G363" t="s">
        <v>102</v>
      </c>
      <c r="H363" t="s">
        <v>237</v>
      </c>
      <c r="I363" t="s">
        <v>914</v>
      </c>
      <c r="J363" t="s">
        <v>870</v>
      </c>
      <c r="K363" t="s">
        <v>913</v>
      </c>
    </row>
    <row r="364" spans="1:11" x14ac:dyDescent="0.25">
      <c r="A364">
        <v>363</v>
      </c>
      <c r="B364" t="s">
        <v>67</v>
      </c>
      <c r="C364" t="s">
        <v>68</v>
      </c>
      <c r="D364" t="s">
        <v>13</v>
      </c>
      <c r="E364" t="s">
        <v>69</v>
      </c>
      <c r="F364" t="s">
        <v>15</v>
      </c>
      <c r="G364" t="s">
        <v>70</v>
      </c>
      <c r="H364" t="s">
        <v>33</v>
      </c>
      <c r="I364" t="s">
        <v>915</v>
      </c>
      <c r="J364" t="s">
        <v>870</v>
      </c>
      <c r="K364" t="s">
        <v>913</v>
      </c>
    </row>
    <row r="365" spans="1:11" x14ac:dyDescent="0.25">
      <c r="A365">
        <v>364</v>
      </c>
      <c r="B365" t="s">
        <v>916</v>
      </c>
      <c r="C365" t="s">
        <v>917</v>
      </c>
      <c r="D365" t="s">
        <v>45</v>
      </c>
      <c r="E365" t="s">
        <v>283</v>
      </c>
      <c r="F365" t="s">
        <v>32</v>
      </c>
      <c r="G365" t="s">
        <v>63</v>
      </c>
      <c r="H365" t="s">
        <v>918</v>
      </c>
      <c r="I365" t="s">
        <v>919</v>
      </c>
      <c r="J365" t="s">
        <v>870</v>
      </c>
      <c r="K365" t="s">
        <v>728</v>
      </c>
    </row>
    <row r="366" spans="1:11" x14ac:dyDescent="0.25">
      <c r="A366">
        <v>365</v>
      </c>
      <c r="B366" t="s">
        <v>441</v>
      </c>
      <c r="C366" t="s">
        <v>442</v>
      </c>
      <c r="D366" t="s">
        <v>23</v>
      </c>
      <c r="E366" t="s">
        <v>520</v>
      </c>
      <c r="F366" t="s">
        <v>15</v>
      </c>
      <c r="G366" t="s">
        <v>136</v>
      </c>
      <c r="H366" t="s">
        <v>521</v>
      </c>
      <c r="I366" t="s">
        <v>203</v>
      </c>
      <c r="J366" t="s">
        <v>870</v>
      </c>
      <c r="K366" t="s">
        <v>525</v>
      </c>
    </row>
    <row r="367" spans="1:11" x14ac:dyDescent="0.25">
      <c r="A367">
        <v>366</v>
      </c>
      <c r="B367" t="s">
        <v>261</v>
      </c>
      <c r="C367" t="s">
        <v>262</v>
      </c>
      <c r="D367" t="s">
        <v>88</v>
      </c>
      <c r="E367" t="s">
        <v>464</v>
      </c>
      <c r="F367" t="s">
        <v>47</v>
      </c>
      <c r="G367" t="s">
        <v>47</v>
      </c>
      <c r="H367" t="s">
        <v>431</v>
      </c>
      <c r="I367" t="s">
        <v>277</v>
      </c>
      <c r="J367" t="s">
        <v>870</v>
      </c>
      <c r="K367" t="s">
        <v>433</v>
      </c>
    </row>
    <row r="368" spans="1:11" x14ac:dyDescent="0.25">
      <c r="A368">
        <v>367</v>
      </c>
      <c r="B368" t="s">
        <v>259</v>
      </c>
      <c r="C368" t="s">
        <v>260</v>
      </c>
      <c r="D368" t="s">
        <v>88</v>
      </c>
      <c r="E368" t="s">
        <v>808</v>
      </c>
      <c r="F368" t="s">
        <v>15</v>
      </c>
      <c r="G368" t="s">
        <v>32</v>
      </c>
      <c r="H368" t="s">
        <v>520</v>
      </c>
      <c r="I368" t="s">
        <v>60</v>
      </c>
      <c r="J368" t="s">
        <v>920</v>
      </c>
      <c r="K368" t="s">
        <v>110</v>
      </c>
    </row>
    <row r="369" spans="1:11" x14ac:dyDescent="0.25">
      <c r="A369">
        <v>368</v>
      </c>
      <c r="B369" t="s">
        <v>36</v>
      </c>
      <c r="C369" t="s">
        <v>37</v>
      </c>
      <c r="D369" t="s">
        <v>13</v>
      </c>
      <c r="E369" t="s">
        <v>38</v>
      </c>
      <c r="F369" t="s">
        <v>15</v>
      </c>
      <c r="G369" t="s">
        <v>39</v>
      </c>
      <c r="H369" t="s">
        <v>40</v>
      </c>
      <c r="I369" t="s">
        <v>41</v>
      </c>
      <c r="J369" t="s">
        <v>921</v>
      </c>
      <c r="K369" t="s">
        <v>42</v>
      </c>
    </row>
    <row r="370" spans="1:11" x14ac:dyDescent="0.25">
      <c r="A370">
        <v>369</v>
      </c>
      <c r="B370" t="s">
        <v>922</v>
      </c>
      <c r="C370" t="s">
        <v>923</v>
      </c>
      <c r="D370" t="s">
        <v>85</v>
      </c>
      <c r="E370" t="s">
        <v>271</v>
      </c>
      <c r="F370" t="s">
        <v>15</v>
      </c>
      <c r="G370" t="s">
        <v>58</v>
      </c>
      <c r="H370" t="s">
        <v>499</v>
      </c>
      <c r="I370" t="s">
        <v>924</v>
      </c>
      <c r="J370" t="s">
        <v>921</v>
      </c>
      <c r="K370" t="s">
        <v>925</v>
      </c>
    </row>
    <row r="371" spans="1:11" x14ac:dyDescent="0.25">
      <c r="A371">
        <v>370</v>
      </c>
      <c r="B371" t="s">
        <v>926</v>
      </c>
      <c r="C371" t="s">
        <v>927</v>
      </c>
      <c r="D371" t="s">
        <v>85</v>
      </c>
      <c r="E371" t="s">
        <v>928</v>
      </c>
      <c r="F371" t="s">
        <v>15</v>
      </c>
      <c r="G371" t="s">
        <v>58</v>
      </c>
      <c r="H371" t="s">
        <v>499</v>
      </c>
      <c r="I371" t="s">
        <v>350</v>
      </c>
      <c r="J371" t="s">
        <v>921</v>
      </c>
      <c r="K371" t="s">
        <v>925</v>
      </c>
    </row>
    <row r="372" spans="1:11" x14ac:dyDescent="0.25">
      <c r="A372">
        <v>371</v>
      </c>
      <c r="B372" t="s">
        <v>479</v>
      </c>
      <c r="C372" t="s">
        <v>480</v>
      </c>
      <c r="D372" t="s">
        <v>45</v>
      </c>
      <c r="E372" t="s">
        <v>852</v>
      </c>
      <c r="F372" t="s">
        <v>15</v>
      </c>
      <c r="G372" t="s">
        <v>47</v>
      </c>
      <c r="H372" t="s">
        <v>802</v>
      </c>
      <c r="I372" t="s">
        <v>109</v>
      </c>
      <c r="J372" t="s">
        <v>921</v>
      </c>
      <c r="K372" t="s">
        <v>925</v>
      </c>
    </row>
    <row r="373" spans="1:11" x14ac:dyDescent="0.25">
      <c r="A373">
        <v>372</v>
      </c>
      <c r="B373" t="s">
        <v>163</v>
      </c>
      <c r="C373" t="s">
        <v>164</v>
      </c>
      <c r="D373" t="s">
        <v>45</v>
      </c>
      <c r="E373" t="s">
        <v>873</v>
      </c>
      <c r="F373" t="s">
        <v>125</v>
      </c>
      <c r="G373" t="s">
        <v>47</v>
      </c>
      <c r="H373" t="s">
        <v>929</v>
      </c>
      <c r="I373" t="s">
        <v>930</v>
      </c>
      <c r="J373" t="s">
        <v>921</v>
      </c>
      <c r="K373" t="s">
        <v>925</v>
      </c>
    </row>
    <row r="374" spans="1:11" x14ac:dyDescent="0.25">
      <c r="A374">
        <v>373</v>
      </c>
      <c r="B374" t="s">
        <v>111</v>
      </c>
      <c r="C374" t="s">
        <v>112</v>
      </c>
      <c r="D374" t="s">
        <v>13</v>
      </c>
      <c r="E374" t="s">
        <v>101</v>
      </c>
      <c r="F374" t="s">
        <v>15</v>
      </c>
      <c r="G374" t="s">
        <v>136</v>
      </c>
      <c r="H374" t="s">
        <v>27</v>
      </c>
      <c r="I374" t="s">
        <v>327</v>
      </c>
      <c r="J374" t="s">
        <v>921</v>
      </c>
      <c r="K374" t="s">
        <v>925</v>
      </c>
    </row>
    <row r="375" spans="1:11" x14ac:dyDescent="0.25">
      <c r="A375">
        <v>374</v>
      </c>
      <c r="B375" t="s">
        <v>269</v>
      </c>
      <c r="C375" t="s">
        <v>270</v>
      </c>
      <c r="D375" t="s">
        <v>13</v>
      </c>
      <c r="E375" t="s">
        <v>499</v>
      </c>
      <c r="F375" t="s">
        <v>15</v>
      </c>
      <c r="G375" t="s">
        <v>136</v>
      </c>
      <c r="H375" t="s">
        <v>141</v>
      </c>
      <c r="I375" t="s">
        <v>222</v>
      </c>
      <c r="J375" t="s">
        <v>931</v>
      </c>
      <c r="K375" t="s">
        <v>932</v>
      </c>
    </row>
    <row r="376" spans="1:11" x14ac:dyDescent="0.25">
      <c r="A376">
        <v>375</v>
      </c>
      <c r="B376" t="s">
        <v>11</v>
      </c>
      <c r="C376" t="s">
        <v>12</v>
      </c>
      <c r="D376" t="s">
        <v>13</v>
      </c>
      <c r="E376" t="s">
        <v>781</v>
      </c>
      <c r="F376" t="s">
        <v>15</v>
      </c>
      <c r="G376" t="s">
        <v>196</v>
      </c>
      <c r="H376" t="s">
        <v>427</v>
      </c>
      <c r="I376" t="s">
        <v>933</v>
      </c>
      <c r="J376" t="s">
        <v>931</v>
      </c>
      <c r="K376" t="s">
        <v>932</v>
      </c>
    </row>
    <row r="377" spans="1:11" x14ac:dyDescent="0.25">
      <c r="A377">
        <v>376</v>
      </c>
      <c r="B377" t="s">
        <v>67</v>
      </c>
      <c r="C377" t="s">
        <v>68</v>
      </c>
      <c r="D377" t="s">
        <v>13</v>
      </c>
      <c r="E377" t="s">
        <v>15</v>
      </c>
      <c r="F377" t="s">
        <v>290</v>
      </c>
      <c r="G377" t="s">
        <v>15</v>
      </c>
      <c r="H377" t="s">
        <v>934</v>
      </c>
      <c r="I377" t="s">
        <v>934</v>
      </c>
      <c r="J377" t="s">
        <v>931</v>
      </c>
      <c r="K377" t="s">
        <v>932</v>
      </c>
    </row>
    <row r="378" spans="1:11" x14ac:dyDescent="0.25">
      <c r="A378">
        <v>377</v>
      </c>
      <c r="B378" t="s">
        <v>935</v>
      </c>
      <c r="C378" t="s">
        <v>936</v>
      </c>
      <c r="D378" t="s">
        <v>446</v>
      </c>
      <c r="E378" t="s">
        <v>574</v>
      </c>
      <c r="F378" t="s">
        <v>15</v>
      </c>
      <c r="G378" t="s">
        <v>63</v>
      </c>
      <c r="H378" t="s">
        <v>822</v>
      </c>
      <c r="I378" t="s">
        <v>332</v>
      </c>
      <c r="J378" t="s">
        <v>931</v>
      </c>
      <c r="K378" t="s">
        <v>682</v>
      </c>
    </row>
    <row r="379" spans="1:11" x14ac:dyDescent="0.25">
      <c r="A379">
        <v>378</v>
      </c>
      <c r="B379" t="s">
        <v>680</v>
      </c>
      <c r="C379" t="s">
        <v>681</v>
      </c>
      <c r="D379" t="s">
        <v>30</v>
      </c>
      <c r="E379" t="s">
        <v>15</v>
      </c>
      <c r="F379" t="s">
        <v>15</v>
      </c>
      <c r="G379" t="s">
        <v>15</v>
      </c>
      <c r="H379" t="s">
        <v>937</v>
      </c>
      <c r="I379" t="s">
        <v>937</v>
      </c>
      <c r="J379" t="s">
        <v>931</v>
      </c>
      <c r="K379" t="s">
        <v>682</v>
      </c>
    </row>
    <row r="380" spans="1:11" x14ac:dyDescent="0.25">
      <c r="A380">
        <v>379</v>
      </c>
      <c r="B380" t="s">
        <v>938</v>
      </c>
      <c r="C380" t="s">
        <v>939</v>
      </c>
      <c r="D380" t="s">
        <v>13</v>
      </c>
      <c r="E380" t="s">
        <v>940</v>
      </c>
      <c r="F380" t="s">
        <v>15</v>
      </c>
      <c r="G380" t="s">
        <v>58</v>
      </c>
      <c r="H380" t="s">
        <v>217</v>
      </c>
      <c r="I380" t="s">
        <v>353</v>
      </c>
      <c r="J380" t="s">
        <v>931</v>
      </c>
      <c r="K380" t="s">
        <v>687</v>
      </c>
    </row>
    <row r="381" spans="1:11" x14ac:dyDescent="0.25">
      <c r="A381">
        <v>380</v>
      </c>
      <c r="B381" t="s">
        <v>941</v>
      </c>
      <c r="C381" t="s">
        <v>942</v>
      </c>
      <c r="D381" t="s">
        <v>13</v>
      </c>
      <c r="E381" t="s">
        <v>943</v>
      </c>
      <c r="F381" t="s">
        <v>15</v>
      </c>
      <c r="G381" t="s">
        <v>47</v>
      </c>
      <c r="H381" t="s">
        <v>381</v>
      </c>
      <c r="I381" t="s">
        <v>944</v>
      </c>
      <c r="J381" t="s">
        <v>931</v>
      </c>
      <c r="K381" t="s">
        <v>687</v>
      </c>
    </row>
    <row r="382" spans="1:11" x14ac:dyDescent="0.25">
      <c r="A382">
        <v>381</v>
      </c>
      <c r="B382" t="s">
        <v>945</v>
      </c>
      <c r="C382" t="s">
        <v>946</v>
      </c>
      <c r="D382" t="s">
        <v>13</v>
      </c>
      <c r="E382" t="s">
        <v>940</v>
      </c>
      <c r="F382" t="s">
        <v>15</v>
      </c>
      <c r="G382" t="s">
        <v>58</v>
      </c>
      <c r="H382" t="s">
        <v>217</v>
      </c>
      <c r="I382" t="s">
        <v>353</v>
      </c>
      <c r="J382" t="s">
        <v>931</v>
      </c>
      <c r="K382" t="s">
        <v>687</v>
      </c>
    </row>
    <row r="383" spans="1:11" x14ac:dyDescent="0.25">
      <c r="A383">
        <v>382</v>
      </c>
      <c r="B383" t="s">
        <v>947</v>
      </c>
      <c r="C383" t="s">
        <v>948</v>
      </c>
      <c r="D383" t="s">
        <v>13</v>
      </c>
      <c r="E383" t="s">
        <v>940</v>
      </c>
      <c r="F383" t="s">
        <v>15</v>
      </c>
      <c r="G383" t="s">
        <v>58</v>
      </c>
      <c r="H383" t="s">
        <v>217</v>
      </c>
      <c r="I383" t="s">
        <v>353</v>
      </c>
      <c r="J383" t="s">
        <v>931</v>
      </c>
      <c r="K383" t="s">
        <v>687</v>
      </c>
    </row>
    <row r="384" spans="1:11" x14ac:dyDescent="0.25">
      <c r="A384">
        <v>383</v>
      </c>
      <c r="B384" t="s">
        <v>86</v>
      </c>
      <c r="C384" t="s">
        <v>87</v>
      </c>
      <c r="D384" t="s">
        <v>88</v>
      </c>
      <c r="E384" t="s">
        <v>299</v>
      </c>
      <c r="F384" t="s">
        <v>15</v>
      </c>
      <c r="G384" t="s">
        <v>47</v>
      </c>
      <c r="H384" t="s">
        <v>591</v>
      </c>
      <c r="I384" t="s">
        <v>949</v>
      </c>
      <c r="J384" t="s">
        <v>931</v>
      </c>
      <c r="K384" t="s">
        <v>410</v>
      </c>
    </row>
    <row r="385" spans="1:11" x14ac:dyDescent="0.25">
      <c r="A385">
        <v>384</v>
      </c>
      <c r="B385" t="s">
        <v>11</v>
      </c>
      <c r="C385" t="s">
        <v>12</v>
      </c>
      <c r="D385" t="s">
        <v>13</v>
      </c>
      <c r="E385" t="s">
        <v>18</v>
      </c>
      <c r="F385" t="s">
        <v>15</v>
      </c>
      <c r="G385" t="s">
        <v>70</v>
      </c>
      <c r="H385" t="s">
        <v>780</v>
      </c>
      <c r="I385" t="s">
        <v>781</v>
      </c>
      <c r="J385" t="s">
        <v>931</v>
      </c>
      <c r="K385" t="s">
        <v>20</v>
      </c>
    </row>
    <row r="386" spans="1:11" x14ac:dyDescent="0.25">
      <c r="A386">
        <v>385</v>
      </c>
      <c r="B386" t="s">
        <v>67</v>
      </c>
      <c r="C386" t="s">
        <v>68</v>
      </c>
      <c r="D386" t="s">
        <v>13</v>
      </c>
      <c r="E386" t="s">
        <v>73</v>
      </c>
      <c r="F386" t="s">
        <v>15</v>
      </c>
      <c r="G386" t="s">
        <v>16</v>
      </c>
      <c r="H386" t="s">
        <v>74</v>
      </c>
      <c r="I386" t="s">
        <v>75</v>
      </c>
      <c r="J386" t="s">
        <v>931</v>
      </c>
      <c r="K386" t="s">
        <v>20</v>
      </c>
    </row>
    <row r="387" spans="1:11" x14ac:dyDescent="0.25">
      <c r="A387">
        <v>386</v>
      </c>
      <c r="B387" t="s">
        <v>21</v>
      </c>
      <c r="C387" t="s">
        <v>22</v>
      </c>
      <c r="D387" t="s">
        <v>23</v>
      </c>
      <c r="E387" t="s">
        <v>950</v>
      </c>
      <c r="F387" t="s">
        <v>15</v>
      </c>
      <c r="G387" t="s">
        <v>196</v>
      </c>
      <c r="H387" t="s">
        <v>951</v>
      </c>
      <c r="I387" t="s">
        <v>499</v>
      </c>
      <c r="J387" t="s">
        <v>931</v>
      </c>
      <c r="K387" t="s">
        <v>20</v>
      </c>
    </row>
    <row r="388" spans="1:11" x14ac:dyDescent="0.25">
      <c r="A388">
        <v>387</v>
      </c>
      <c r="B388" t="s">
        <v>269</v>
      </c>
      <c r="C388" t="s">
        <v>270</v>
      </c>
      <c r="D388" t="s">
        <v>13</v>
      </c>
      <c r="E388" t="s">
        <v>755</v>
      </c>
      <c r="F388" t="s">
        <v>15</v>
      </c>
      <c r="G388" t="s">
        <v>952</v>
      </c>
      <c r="H388" t="s">
        <v>27</v>
      </c>
      <c r="I388" t="s">
        <v>114</v>
      </c>
      <c r="J388" t="s">
        <v>931</v>
      </c>
      <c r="K388" t="s">
        <v>575</v>
      </c>
    </row>
    <row r="389" spans="1:11" x14ac:dyDescent="0.25">
      <c r="A389">
        <v>388</v>
      </c>
      <c r="B389" t="s">
        <v>429</v>
      </c>
      <c r="C389" t="s">
        <v>430</v>
      </c>
      <c r="D389" t="s">
        <v>88</v>
      </c>
      <c r="E389" t="s">
        <v>15</v>
      </c>
      <c r="F389" t="s">
        <v>290</v>
      </c>
      <c r="G389" t="s">
        <v>15</v>
      </c>
      <c r="H389" t="s">
        <v>953</v>
      </c>
      <c r="I389" t="s">
        <v>953</v>
      </c>
      <c r="J389" t="s">
        <v>931</v>
      </c>
      <c r="K389" t="s">
        <v>212</v>
      </c>
    </row>
    <row r="390" spans="1:11" x14ac:dyDescent="0.25">
      <c r="A390">
        <v>389</v>
      </c>
      <c r="B390" t="s">
        <v>259</v>
      </c>
      <c r="C390" t="s">
        <v>260</v>
      </c>
      <c r="D390" t="s">
        <v>88</v>
      </c>
      <c r="E390" t="s">
        <v>27</v>
      </c>
      <c r="F390" t="s">
        <v>15</v>
      </c>
      <c r="G390" t="s">
        <v>290</v>
      </c>
      <c r="H390" t="s">
        <v>431</v>
      </c>
      <c r="I390" t="s">
        <v>432</v>
      </c>
      <c r="J390" t="s">
        <v>931</v>
      </c>
      <c r="K390" t="s">
        <v>212</v>
      </c>
    </row>
    <row r="391" spans="1:11" x14ac:dyDescent="0.25">
      <c r="A391">
        <v>390</v>
      </c>
      <c r="B391" t="s">
        <v>400</v>
      </c>
      <c r="C391" t="s">
        <v>401</v>
      </c>
      <c r="D391" t="s">
        <v>13</v>
      </c>
      <c r="E391" t="s">
        <v>594</v>
      </c>
      <c r="F391" t="s">
        <v>180</v>
      </c>
      <c r="G391" t="s">
        <v>136</v>
      </c>
      <c r="H391" t="s">
        <v>954</v>
      </c>
      <c r="I391" t="s">
        <v>409</v>
      </c>
      <c r="J391" t="s">
        <v>931</v>
      </c>
      <c r="K391" t="s">
        <v>212</v>
      </c>
    </row>
    <row r="392" spans="1:11" x14ac:dyDescent="0.25">
      <c r="A392">
        <v>391</v>
      </c>
      <c r="B392" t="s">
        <v>28</v>
      </c>
      <c r="C392" t="s">
        <v>29</v>
      </c>
      <c r="D392" t="s">
        <v>30</v>
      </c>
      <c r="E392" t="s">
        <v>15</v>
      </c>
      <c r="F392" t="s">
        <v>125</v>
      </c>
      <c r="G392" t="s">
        <v>15</v>
      </c>
      <c r="H392" t="s">
        <v>955</v>
      </c>
      <c r="I392" t="s">
        <v>955</v>
      </c>
      <c r="J392" t="s">
        <v>931</v>
      </c>
      <c r="K392" t="s">
        <v>212</v>
      </c>
    </row>
    <row r="393" spans="1:11" x14ac:dyDescent="0.25">
      <c r="A393">
        <v>392</v>
      </c>
      <c r="B393" t="s">
        <v>476</v>
      </c>
      <c r="C393" t="s">
        <v>477</v>
      </c>
      <c r="D393" t="s">
        <v>30</v>
      </c>
      <c r="E393" t="s">
        <v>474</v>
      </c>
      <c r="F393" t="s">
        <v>15</v>
      </c>
      <c r="G393" t="s">
        <v>90</v>
      </c>
      <c r="H393" t="s">
        <v>405</v>
      </c>
      <c r="I393" t="s">
        <v>956</v>
      </c>
      <c r="J393" t="s">
        <v>931</v>
      </c>
      <c r="K393" t="s">
        <v>212</v>
      </c>
    </row>
    <row r="394" spans="1:11" x14ac:dyDescent="0.25">
      <c r="A394">
        <v>393</v>
      </c>
      <c r="B394" t="s">
        <v>957</v>
      </c>
      <c r="C394" t="s">
        <v>958</v>
      </c>
      <c r="D394" t="s">
        <v>88</v>
      </c>
      <c r="E394" t="s">
        <v>959</v>
      </c>
      <c r="F394" t="s">
        <v>125</v>
      </c>
      <c r="G394" t="s">
        <v>47</v>
      </c>
      <c r="H394" t="s">
        <v>960</v>
      </c>
      <c r="I394" t="s">
        <v>961</v>
      </c>
      <c r="J394" t="s">
        <v>931</v>
      </c>
      <c r="K394" t="s">
        <v>483</v>
      </c>
    </row>
    <row r="395" spans="1:11" x14ac:dyDescent="0.25">
      <c r="A395">
        <v>394</v>
      </c>
      <c r="B395" t="s">
        <v>962</v>
      </c>
      <c r="C395" t="s">
        <v>963</v>
      </c>
      <c r="D395" t="s">
        <v>88</v>
      </c>
      <c r="E395" t="s">
        <v>959</v>
      </c>
      <c r="F395" t="s">
        <v>125</v>
      </c>
      <c r="G395" t="s">
        <v>47</v>
      </c>
      <c r="H395" t="s">
        <v>960</v>
      </c>
      <c r="I395" t="s">
        <v>961</v>
      </c>
      <c r="J395" t="s">
        <v>931</v>
      </c>
      <c r="K395" t="s">
        <v>483</v>
      </c>
    </row>
    <row r="396" spans="1:11" x14ac:dyDescent="0.25">
      <c r="A396">
        <v>395</v>
      </c>
      <c r="B396" t="s">
        <v>36</v>
      </c>
      <c r="C396" t="s">
        <v>37</v>
      </c>
      <c r="D396" t="s">
        <v>13</v>
      </c>
      <c r="E396" t="s">
        <v>243</v>
      </c>
      <c r="F396" t="s">
        <v>290</v>
      </c>
      <c r="G396" t="s">
        <v>136</v>
      </c>
      <c r="H396" t="s">
        <v>27</v>
      </c>
      <c r="I396" t="s">
        <v>211</v>
      </c>
      <c r="J396" t="s">
        <v>931</v>
      </c>
      <c r="K396" t="s">
        <v>483</v>
      </c>
    </row>
    <row r="397" spans="1:11" x14ac:dyDescent="0.25">
      <c r="A397">
        <v>396</v>
      </c>
      <c r="B397" t="s">
        <v>964</v>
      </c>
      <c r="C397" t="s">
        <v>965</v>
      </c>
      <c r="D397" t="s">
        <v>13</v>
      </c>
      <c r="E397" t="s">
        <v>966</v>
      </c>
      <c r="F397" t="s">
        <v>15</v>
      </c>
      <c r="G397" t="s">
        <v>58</v>
      </c>
      <c r="H397" t="s">
        <v>152</v>
      </c>
      <c r="I397" t="s">
        <v>967</v>
      </c>
      <c r="J397" t="s">
        <v>931</v>
      </c>
      <c r="K397" t="s">
        <v>483</v>
      </c>
    </row>
    <row r="398" spans="1:11" x14ac:dyDescent="0.25">
      <c r="A398">
        <v>397</v>
      </c>
      <c r="B398" t="s">
        <v>968</v>
      </c>
      <c r="C398" t="s">
        <v>969</v>
      </c>
      <c r="D398" t="s">
        <v>13</v>
      </c>
      <c r="E398" t="s">
        <v>34</v>
      </c>
      <c r="F398" t="s">
        <v>15</v>
      </c>
      <c r="G398" t="s">
        <v>58</v>
      </c>
      <c r="H398" t="s">
        <v>150</v>
      </c>
      <c r="I398" t="s">
        <v>272</v>
      </c>
      <c r="J398" t="s">
        <v>931</v>
      </c>
      <c r="K398" t="s">
        <v>483</v>
      </c>
    </row>
    <row r="399" spans="1:11" x14ac:dyDescent="0.25">
      <c r="A399">
        <v>398</v>
      </c>
      <c r="B399" t="s">
        <v>922</v>
      </c>
      <c r="C399" t="s">
        <v>923</v>
      </c>
      <c r="D399" t="s">
        <v>85</v>
      </c>
      <c r="E399" t="s">
        <v>475</v>
      </c>
      <c r="F399" t="s">
        <v>15</v>
      </c>
      <c r="G399" t="s">
        <v>63</v>
      </c>
      <c r="H399" t="s">
        <v>159</v>
      </c>
      <c r="I399" t="s">
        <v>924</v>
      </c>
      <c r="J399" t="s">
        <v>931</v>
      </c>
      <c r="K399" t="s">
        <v>593</v>
      </c>
    </row>
    <row r="400" spans="1:11" x14ac:dyDescent="0.25">
      <c r="A400">
        <v>399</v>
      </c>
      <c r="B400" t="s">
        <v>259</v>
      </c>
      <c r="C400" t="s">
        <v>260</v>
      </c>
      <c r="D400" t="s">
        <v>88</v>
      </c>
      <c r="E400" t="s">
        <v>755</v>
      </c>
      <c r="F400" t="s">
        <v>15</v>
      </c>
      <c r="G400" t="s">
        <v>90</v>
      </c>
      <c r="H400" t="s">
        <v>475</v>
      </c>
      <c r="I400" t="s">
        <v>222</v>
      </c>
      <c r="J400" t="s">
        <v>931</v>
      </c>
      <c r="K400" t="s">
        <v>593</v>
      </c>
    </row>
    <row r="401" spans="1:11" x14ac:dyDescent="0.25">
      <c r="A401">
        <v>400</v>
      </c>
      <c r="B401" t="s">
        <v>400</v>
      </c>
      <c r="C401" t="s">
        <v>401</v>
      </c>
      <c r="D401" t="s">
        <v>13</v>
      </c>
      <c r="E401" t="s">
        <v>594</v>
      </c>
      <c r="F401" t="s">
        <v>15</v>
      </c>
      <c r="G401" t="s">
        <v>136</v>
      </c>
      <c r="H401" t="s">
        <v>595</v>
      </c>
      <c r="I401" t="s">
        <v>596</v>
      </c>
      <c r="J401" t="s">
        <v>931</v>
      </c>
      <c r="K401" t="s">
        <v>593</v>
      </c>
    </row>
    <row r="402" spans="1:11" x14ac:dyDescent="0.25">
      <c r="A402">
        <v>401</v>
      </c>
      <c r="B402" t="s">
        <v>36</v>
      </c>
      <c r="C402" t="s">
        <v>37</v>
      </c>
      <c r="D402" t="s">
        <v>13</v>
      </c>
      <c r="E402" t="s">
        <v>15</v>
      </c>
      <c r="F402" t="s">
        <v>180</v>
      </c>
      <c r="G402" t="s">
        <v>15</v>
      </c>
      <c r="H402" t="s">
        <v>970</v>
      </c>
      <c r="I402" t="s">
        <v>970</v>
      </c>
      <c r="J402" t="s">
        <v>931</v>
      </c>
      <c r="K402" t="s">
        <v>593</v>
      </c>
    </row>
    <row r="403" spans="1:11" x14ac:dyDescent="0.25">
      <c r="A403">
        <v>402</v>
      </c>
      <c r="B403" t="s">
        <v>183</v>
      </c>
      <c r="C403" t="s">
        <v>184</v>
      </c>
      <c r="D403" t="s">
        <v>23</v>
      </c>
      <c r="E403" t="s">
        <v>185</v>
      </c>
      <c r="F403" t="s">
        <v>15</v>
      </c>
      <c r="G403" t="s">
        <v>102</v>
      </c>
      <c r="H403" t="s">
        <v>591</v>
      </c>
      <c r="I403" t="s">
        <v>592</v>
      </c>
      <c r="J403" t="s">
        <v>931</v>
      </c>
      <c r="K403" t="s">
        <v>593</v>
      </c>
    </row>
    <row r="404" spans="1:11" x14ac:dyDescent="0.25">
      <c r="A404">
        <v>403</v>
      </c>
      <c r="B404" t="s">
        <v>717</v>
      </c>
      <c r="C404" t="s">
        <v>718</v>
      </c>
      <c r="D404" t="s">
        <v>88</v>
      </c>
      <c r="E404" t="s">
        <v>971</v>
      </c>
      <c r="F404" t="s">
        <v>32</v>
      </c>
      <c r="G404" t="s">
        <v>290</v>
      </c>
      <c r="H404" t="s">
        <v>972</v>
      </c>
      <c r="I404" t="s">
        <v>973</v>
      </c>
      <c r="J404" t="s">
        <v>931</v>
      </c>
      <c r="K404" t="s">
        <v>728</v>
      </c>
    </row>
    <row r="405" spans="1:11" x14ac:dyDescent="0.25">
      <c r="A405">
        <v>404</v>
      </c>
      <c r="B405" t="s">
        <v>753</v>
      </c>
      <c r="C405" t="s">
        <v>754</v>
      </c>
      <c r="D405" t="s">
        <v>88</v>
      </c>
      <c r="E405" t="s">
        <v>974</v>
      </c>
      <c r="F405" t="s">
        <v>15</v>
      </c>
      <c r="G405" t="s">
        <v>844</v>
      </c>
      <c r="H405" t="s">
        <v>975</v>
      </c>
      <c r="I405" t="s">
        <v>976</v>
      </c>
      <c r="J405" t="s">
        <v>931</v>
      </c>
      <c r="K405" t="s">
        <v>728</v>
      </c>
    </row>
    <row r="406" spans="1:11" x14ac:dyDescent="0.25">
      <c r="A406">
        <v>405</v>
      </c>
      <c r="B406" t="s">
        <v>757</v>
      </c>
      <c r="C406" t="s">
        <v>758</v>
      </c>
      <c r="D406" t="s">
        <v>88</v>
      </c>
      <c r="E406" t="s">
        <v>977</v>
      </c>
      <c r="F406" t="s">
        <v>15</v>
      </c>
      <c r="G406" t="s">
        <v>978</v>
      </c>
      <c r="H406" t="s">
        <v>979</v>
      </c>
      <c r="I406" t="s">
        <v>980</v>
      </c>
      <c r="J406" t="s">
        <v>931</v>
      </c>
      <c r="K406" t="s">
        <v>728</v>
      </c>
    </row>
    <row r="407" spans="1:11" x14ac:dyDescent="0.25">
      <c r="A407">
        <v>406</v>
      </c>
      <c r="B407" t="s">
        <v>981</v>
      </c>
      <c r="C407" t="s">
        <v>982</v>
      </c>
      <c r="D407" t="s">
        <v>13</v>
      </c>
      <c r="E407" t="s">
        <v>983</v>
      </c>
      <c r="F407" t="s">
        <v>15</v>
      </c>
      <c r="G407" t="s">
        <v>32</v>
      </c>
      <c r="H407" t="s">
        <v>463</v>
      </c>
      <c r="I407" t="s">
        <v>984</v>
      </c>
      <c r="J407" t="s">
        <v>931</v>
      </c>
      <c r="K407" t="s">
        <v>525</v>
      </c>
    </row>
    <row r="408" spans="1:11" x14ac:dyDescent="0.25">
      <c r="A408">
        <v>407</v>
      </c>
      <c r="B408" t="s">
        <v>764</v>
      </c>
      <c r="C408" t="s">
        <v>765</v>
      </c>
      <c r="D408" t="s">
        <v>13</v>
      </c>
      <c r="E408" t="s">
        <v>272</v>
      </c>
      <c r="F408" t="s">
        <v>15</v>
      </c>
      <c r="G408" t="s">
        <v>59</v>
      </c>
      <c r="H408" t="s">
        <v>232</v>
      </c>
      <c r="I408" t="s">
        <v>152</v>
      </c>
      <c r="J408" t="s">
        <v>931</v>
      </c>
      <c r="K408" t="s">
        <v>525</v>
      </c>
    </row>
    <row r="409" spans="1:11" x14ac:dyDescent="0.25">
      <c r="A409">
        <v>408</v>
      </c>
      <c r="B409" t="s">
        <v>261</v>
      </c>
      <c r="C409" t="s">
        <v>262</v>
      </c>
      <c r="D409" t="s">
        <v>88</v>
      </c>
      <c r="E409" t="s">
        <v>464</v>
      </c>
      <c r="F409" t="s">
        <v>47</v>
      </c>
      <c r="G409" t="s">
        <v>47</v>
      </c>
      <c r="H409" t="s">
        <v>431</v>
      </c>
      <c r="I409" t="s">
        <v>277</v>
      </c>
      <c r="J409" t="s">
        <v>931</v>
      </c>
      <c r="K409" t="s">
        <v>433</v>
      </c>
    </row>
    <row r="410" spans="1:11" x14ac:dyDescent="0.25">
      <c r="A410">
        <v>409</v>
      </c>
      <c r="B410" t="s">
        <v>314</v>
      </c>
      <c r="C410" t="s">
        <v>315</v>
      </c>
      <c r="D410" t="s">
        <v>13</v>
      </c>
      <c r="E410" t="s">
        <v>427</v>
      </c>
      <c r="F410" t="s">
        <v>15</v>
      </c>
      <c r="G410" t="s">
        <v>70</v>
      </c>
      <c r="H410" t="s">
        <v>424</v>
      </c>
      <c r="I410" t="s">
        <v>109</v>
      </c>
      <c r="J410" t="s">
        <v>931</v>
      </c>
      <c r="K410" t="s">
        <v>127</v>
      </c>
    </row>
    <row r="411" spans="1:11" x14ac:dyDescent="0.25">
      <c r="A411">
        <v>410</v>
      </c>
      <c r="B411" t="s">
        <v>133</v>
      </c>
      <c r="C411" t="s">
        <v>134</v>
      </c>
      <c r="D411" t="s">
        <v>13</v>
      </c>
      <c r="E411" t="s">
        <v>135</v>
      </c>
      <c r="F411" t="s">
        <v>15</v>
      </c>
      <c r="G411" t="s">
        <v>136</v>
      </c>
      <c r="H411" t="s">
        <v>594</v>
      </c>
      <c r="I411" t="s">
        <v>985</v>
      </c>
      <c r="J411" t="s">
        <v>931</v>
      </c>
      <c r="K411" t="s">
        <v>127</v>
      </c>
    </row>
    <row r="412" spans="1:11" x14ac:dyDescent="0.25">
      <c r="A412">
        <v>411</v>
      </c>
      <c r="B412" t="s">
        <v>251</v>
      </c>
      <c r="C412" t="s">
        <v>252</v>
      </c>
      <c r="D412" t="s">
        <v>88</v>
      </c>
      <c r="E412" t="s">
        <v>15</v>
      </c>
      <c r="F412" t="s">
        <v>290</v>
      </c>
      <c r="G412" t="s">
        <v>15</v>
      </c>
      <c r="H412" t="s">
        <v>953</v>
      </c>
      <c r="I412" t="s">
        <v>953</v>
      </c>
      <c r="J412" t="s">
        <v>931</v>
      </c>
      <c r="K412" t="s">
        <v>821</v>
      </c>
    </row>
    <row r="413" spans="1:11" x14ac:dyDescent="0.25">
      <c r="A413">
        <v>412</v>
      </c>
      <c r="B413" t="s">
        <v>259</v>
      </c>
      <c r="C413" t="s">
        <v>260</v>
      </c>
      <c r="D413" t="s">
        <v>88</v>
      </c>
      <c r="E413" t="s">
        <v>27</v>
      </c>
      <c r="F413" t="s">
        <v>15</v>
      </c>
      <c r="G413" t="s">
        <v>290</v>
      </c>
      <c r="H413" t="s">
        <v>431</v>
      </c>
      <c r="I413" t="s">
        <v>432</v>
      </c>
      <c r="J413" t="s">
        <v>931</v>
      </c>
      <c r="K413" t="s">
        <v>821</v>
      </c>
    </row>
    <row r="414" spans="1:11" x14ac:dyDescent="0.25">
      <c r="A414">
        <v>413</v>
      </c>
      <c r="B414" t="s">
        <v>94</v>
      </c>
      <c r="C414" t="s">
        <v>95</v>
      </c>
      <c r="D414" t="s">
        <v>45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986</v>
      </c>
      <c r="K414" t="s">
        <v>66</v>
      </c>
    </row>
    <row r="415" spans="1:11" x14ac:dyDescent="0.25">
      <c r="A415">
        <v>414</v>
      </c>
      <c r="B415" t="s">
        <v>987</v>
      </c>
      <c r="C415" t="s">
        <v>988</v>
      </c>
      <c r="D415" t="s">
        <v>149</v>
      </c>
      <c r="E415" t="s">
        <v>989</v>
      </c>
      <c r="F415" t="s">
        <v>58</v>
      </c>
      <c r="G415" t="s">
        <v>990</v>
      </c>
      <c r="H415" t="s">
        <v>118</v>
      </c>
      <c r="I415" t="s">
        <v>991</v>
      </c>
      <c r="J415" t="s">
        <v>992</v>
      </c>
      <c r="K415" t="s">
        <v>535</v>
      </c>
    </row>
    <row r="416" spans="1:11" x14ac:dyDescent="0.25">
      <c r="A416">
        <v>415</v>
      </c>
      <c r="B416" t="s">
        <v>905</v>
      </c>
      <c r="C416" t="s">
        <v>906</v>
      </c>
      <c r="D416" t="s">
        <v>88</v>
      </c>
      <c r="E416" t="s">
        <v>103</v>
      </c>
      <c r="F416" t="s">
        <v>15</v>
      </c>
      <c r="G416" t="s">
        <v>125</v>
      </c>
      <c r="H416" t="s">
        <v>159</v>
      </c>
      <c r="I416" t="s">
        <v>160</v>
      </c>
      <c r="J416" t="s">
        <v>992</v>
      </c>
      <c r="K416" t="s">
        <v>154</v>
      </c>
    </row>
    <row r="417" spans="1:11" x14ac:dyDescent="0.25">
      <c r="A417">
        <v>416</v>
      </c>
      <c r="B417" t="s">
        <v>183</v>
      </c>
      <c r="C417" t="s">
        <v>184</v>
      </c>
      <c r="D417" t="s">
        <v>23</v>
      </c>
      <c r="E417" t="s">
        <v>993</v>
      </c>
      <c r="F417" t="s">
        <v>102</v>
      </c>
      <c r="G417" t="s">
        <v>25</v>
      </c>
      <c r="H417" t="s">
        <v>994</v>
      </c>
      <c r="I417" t="s">
        <v>995</v>
      </c>
      <c r="J417" t="s">
        <v>992</v>
      </c>
      <c r="K417" t="s">
        <v>154</v>
      </c>
    </row>
    <row r="418" spans="1:11" x14ac:dyDescent="0.25">
      <c r="A418">
        <v>417</v>
      </c>
      <c r="B418" t="s">
        <v>147</v>
      </c>
      <c r="C418" t="s">
        <v>148</v>
      </c>
      <c r="D418" t="s">
        <v>149</v>
      </c>
      <c r="E418" t="s">
        <v>638</v>
      </c>
      <c r="F418" t="s">
        <v>15</v>
      </c>
      <c r="G418" t="s">
        <v>63</v>
      </c>
      <c r="H418" t="s">
        <v>222</v>
      </c>
      <c r="I418" t="s">
        <v>647</v>
      </c>
      <c r="J418" t="s">
        <v>992</v>
      </c>
      <c r="K418" t="s">
        <v>996</v>
      </c>
    </row>
    <row r="419" spans="1:11" x14ac:dyDescent="0.25">
      <c r="A419">
        <v>418</v>
      </c>
      <c r="B419" t="s">
        <v>155</v>
      </c>
      <c r="C419" t="s">
        <v>156</v>
      </c>
      <c r="D419" t="s">
        <v>149</v>
      </c>
      <c r="E419" t="s">
        <v>332</v>
      </c>
      <c r="F419" t="s">
        <v>15</v>
      </c>
      <c r="G419" t="s">
        <v>59</v>
      </c>
      <c r="H419" t="s">
        <v>499</v>
      </c>
      <c r="I419" t="s">
        <v>160</v>
      </c>
      <c r="J419" t="s">
        <v>992</v>
      </c>
      <c r="K419" t="s">
        <v>996</v>
      </c>
    </row>
    <row r="420" spans="1:11" x14ac:dyDescent="0.25">
      <c r="A420">
        <v>419</v>
      </c>
      <c r="B420" t="s">
        <v>632</v>
      </c>
      <c r="C420" t="s">
        <v>633</v>
      </c>
      <c r="D420" t="s">
        <v>13</v>
      </c>
      <c r="E420" t="s">
        <v>221</v>
      </c>
      <c r="F420" t="s">
        <v>15</v>
      </c>
      <c r="G420" t="s">
        <v>63</v>
      </c>
      <c r="H420" t="s">
        <v>349</v>
      </c>
      <c r="I420" t="s">
        <v>997</v>
      </c>
      <c r="J420" t="s">
        <v>992</v>
      </c>
      <c r="K420" t="s">
        <v>996</v>
      </c>
    </row>
    <row r="421" spans="1:11" x14ac:dyDescent="0.25">
      <c r="A421">
        <v>420</v>
      </c>
      <c r="B421" t="s">
        <v>147</v>
      </c>
      <c r="C421" t="s">
        <v>148</v>
      </c>
      <c r="D421" t="s">
        <v>149</v>
      </c>
      <c r="E421" t="s">
        <v>150</v>
      </c>
      <c r="F421" t="s">
        <v>15</v>
      </c>
      <c r="G421" t="s">
        <v>136</v>
      </c>
      <c r="H421" t="s">
        <v>141</v>
      </c>
      <c r="I421" t="s">
        <v>199</v>
      </c>
      <c r="J421" t="s">
        <v>992</v>
      </c>
      <c r="K421" t="s">
        <v>316</v>
      </c>
    </row>
    <row r="422" spans="1:11" x14ac:dyDescent="0.25">
      <c r="A422">
        <v>421</v>
      </c>
      <c r="B422" t="s">
        <v>155</v>
      </c>
      <c r="C422" t="s">
        <v>156</v>
      </c>
      <c r="D422" t="s">
        <v>149</v>
      </c>
      <c r="E422" t="s">
        <v>150</v>
      </c>
      <c r="F422" t="s">
        <v>15</v>
      </c>
      <c r="G422" t="s">
        <v>136</v>
      </c>
      <c r="H422" t="s">
        <v>141</v>
      </c>
      <c r="I422" t="s">
        <v>199</v>
      </c>
      <c r="J422" t="s">
        <v>992</v>
      </c>
      <c r="K422" t="s">
        <v>316</v>
      </c>
    </row>
    <row r="423" spans="1:11" x14ac:dyDescent="0.25">
      <c r="A423">
        <v>422</v>
      </c>
      <c r="B423" t="s">
        <v>111</v>
      </c>
      <c r="C423" t="s">
        <v>112</v>
      </c>
      <c r="D423" t="s">
        <v>13</v>
      </c>
      <c r="E423" t="s">
        <v>101</v>
      </c>
      <c r="F423" t="s">
        <v>15</v>
      </c>
      <c r="G423" t="s">
        <v>136</v>
      </c>
      <c r="H423" t="s">
        <v>27</v>
      </c>
      <c r="I423" t="s">
        <v>327</v>
      </c>
      <c r="J423" t="s">
        <v>992</v>
      </c>
      <c r="K423" t="s">
        <v>316</v>
      </c>
    </row>
    <row r="424" spans="1:11" x14ac:dyDescent="0.25">
      <c r="A424">
        <v>423</v>
      </c>
      <c r="B424" t="s">
        <v>67</v>
      </c>
      <c r="C424" t="s">
        <v>68</v>
      </c>
      <c r="D424" t="s">
        <v>13</v>
      </c>
      <c r="E424" t="s">
        <v>332</v>
      </c>
      <c r="F424" t="s">
        <v>15</v>
      </c>
      <c r="G424" t="s">
        <v>63</v>
      </c>
      <c r="H424" t="s">
        <v>332</v>
      </c>
      <c r="I424" t="s">
        <v>15</v>
      </c>
      <c r="J424" t="s">
        <v>992</v>
      </c>
      <c r="K424" t="s">
        <v>316</v>
      </c>
    </row>
    <row r="425" spans="1:11" x14ac:dyDescent="0.25">
      <c r="A425">
        <v>424</v>
      </c>
      <c r="B425" t="s">
        <v>183</v>
      </c>
      <c r="C425" t="s">
        <v>184</v>
      </c>
      <c r="D425" t="s">
        <v>23</v>
      </c>
      <c r="E425" t="s">
        <v>185</v>
      </c>
      <c r="F425" t="s">
        <v>15</v>
      </c>
      <c r="G425" t="s">
        <v>102</v>
      </c>
      <c r="H425" t="s">
        <v>275</v>
      </c>
      <c r="I425" t="s">
        <v>998</v>
      </c>
      <c r="J425" t="s">
        <v>992</v>
      </c>
      <c r="K425" t="s">
        <v>316</v>
      </c>
    </row>
    <row r="426" spans="1:11" x14ac:dyDescent="0.25">
      <c r="A426">
        <v>425</v>
      </c>
      <c r="B426" t="s">
        <v>701</v>
      </c>
      <c r="C426" t="s">
        <v>702</v>
      </c>
      <c r="D426" t="s">
        <v>45</v>
      </c>
      <c r="E426" t="s">
        <v>15</v>
      </c>
      <c r="F426" t="s">
        <v>125</v>
      </c>
      <c r="G426" t="s">
        <v>15</v>
      </c>
      <c r="H426" t="s">
        <v>703</v>
      </c>
      <c r="I426" t="s">
        <v>703</v>
      </c>
      <c r="J426" t="s">
        <v>992</v>
      </c>
      <c r="K426" t="s">
        <v>347</v>
      </c>
    </row>
    <row r="427" spans="1:11" x14ac:dyDescent="0.25">
      <c r="A427">
        <v>426</v>
      </c>
      <c r="B427" t="s">
        <v>287</v>
      </c>
      <c r="C427" t="s">
        <v>288</v>
      </c>
      <c r="D427" t="s">
        <v>88</v>
      </c>
      <c r="E427" t="s">
        <v>999</v>
      </c>
      <c r="F427" t="s">
        <v>15</v>
      </c>
      <c r="G427" t="s">
        <v>63</v>
      </c>
      <c r="H427" t="s">
        <v>60</v>
      </c>
      <c r="I427" t="s">
        <v>1000</v>
      </c>
      <c r="J427" t="s">
        <v>992</v>
      </c>
      <c r="K427" t="s">
        <v>347</v>
      </c>
    </row>
    <row r="428" spans="1:11" x14ac:dyDescent="0.25">
      <c r="A428">
        <v>427</v>
      </c>
      <c r="B428" t="s">
        <v>292</v>
      </c>
      <c r="C428" t="s">
        <v>293</v>
      </c>
      <c r="D428" t="s">
        <v>88</v>
      </c>
      <c r="E428" t="s">
        <v>999</v>
      </c>
      <c r="F428" t="s">
        <v>15</v>
      </c>
      <c r="G428" t="s">
        <v>63</v>
      </c>
      <c r="H428" t="s">
        <v>60</v>
      </c>
      <c r="I428" t="s">
        <v>1000</v>
      </c>
      <c r="J428" t="s">
        <v>992</v>
      </c>
      <c r="K428" t="s">
        <v>347</v>
      </c>
    </row>
    <row r="429" spans="1:11" x14ac:dyDescent="0.25">
      <c r="A429">
        <v>428</v>
      </c>
      <c r="B429" t="s">
        <v>1001</v>
      </c>
      <c r="C429" t="s">
        <v>1002</v>
      </c>
      <c r="D429" t="s">
        <v>88</v>
      </c>
      <c r="E429" t="s">
        <v>833</v>
      </c>
      <c r="F429" t="s">
        <v>15</v>
      </c>
      <c r="G429" t="s">
        <v>290</v>
      </c>
      <c r="H429" t="s">
        <v>203</v>
      </c>
      <c r="I429" t="s">
        <v>1003</v>
      </c>
      <c r="J429" t="s">
        <v>992</v>
      </c>
      <c r="K429" t="s">
        <v>347</v>
      </c>
    </row>
    <row r="430" spans="1:11" x14ac:dyDescent="0.25">
      <c r="A430">
        <v>429</v>
      </c>
      <c r="B430" t="s">
        <v>1004</v>
      </c>
      <c r="C430" t="s">
        <v>1005</v>
      </c>
      <c r="D430" t="s">
        <v>88</v>
      </c>
      <c r="E430" t="s">
        <v>833</v>
      </c>
      <c r="F430" t="s">
        <v>15</v>
      </c>
      <c r="G430" t="s">
        <v>290</v>
      </c>
      <c r="H430" t="s">
        <v>203</v>
      </c>
      <c r="I430" t="s">
        <v>1003</v>
      </c>
      <c r="J430" t="s">
        <v>992</v>
      </c>
      <c r="K430" t="s">
        <v>347</v>
      </c>
    </row>
    <row r="431" spans="1:11" x14ac:dyDescent="0.25">
      <c r="A431">
        <v>430</v>
      </c>
      <c r="B431" t="s">
        <v>1006</v>
      </c>
      <c r="C431" t="s">
        <v>1007</v>
      </c>
      <c r="D431" t="s">
        <v>13</v>
      </c>
      <c r="E431" t="s">
        <v>520</v>
      </c>
      <c r="F431" t="s">
        <v>15</v>
      </c>
      <c r="G431" t="s">
        <v>25</v>
      </c>
      <c r="H431" t="s">
        <v>131</v>
      </c>
      <c r="I431" t="s">
        <v>520</v>
      </c>
      <c r="J431" t="s">
        <v>992</v>
      </c>
      <c r="K431" t="s">
        <v>347</v>
      </c>
    </row>
    <row r="432" spans="1:11" x14ac:dyDescent="0.25">
      <c r="A432">
        <v>431</v>
      </c>
      <c r="B432" t="s">
        <v>111</v>
      </c>
      <c r="C432" t="s">
        <v>112</v>
      </c>
      <c r="D432" t="s">
        <v>13</v>
      </c>
      <c r="E432" t="s">
        <v>101</v>
      </c>
      <c r="F432" t="s">
        <v>15</v>
      </c>
      <c r="G432" t="s">
        <v>136</v>
      </c>
      <c r="H432" t="s">
        <v>27</v>
      </c>
      <c r="I432" t="s">
        <v>327</v>
      </c>
      <c r="J432" t="s">
        <v>992</v>
      </c>
      <c r="K432" t="s">
        <v>1008</v>
      </c>
    </row>
    <row r="433" spans="1:11" x14ac:dyDescent="0.25">
      <c r="A433">
        <v>432</v>
      </c>
      <c r="B433" t="s">
        <v>1009</v>
      </c>
      <c r="C433" t="s">
        <v>1010</v>
      </c>
      <c r="D433" t="s">
        <v>88</v>
      </c>
      <c r="E433" t="s">
        <v>203</v>
      </c>
      <c r="F433" t="s">
        <v>125</v>
      </c>
      <c r="G433" t="s">
        <v>102</v>
      </c>
      <c r="H433" t="s">
        <v>1011</v>
      </c>
      <c r="I433" t="s">
        <v>1012</v>
      </c>
      <c r="J433" t="s">
        <v>992</v>
      </c>
      <c r="K433" t="s">
        <v>654</v>
      </c>
    </row>
    <row r="434" spans="1:11" x14ac:dyDescent="0.25">
      <c r="A434">
        <v>433</v>
      </c>
      <c r="B434" t="s">
        <v>922</v>
      </c>
      <c r="C434" t="s">
        <v>923</v>
      </c>
      <c r="D434" t="s">
        <v>85</v>
      </c>
      <c r="E434" t="s">
        <v>475</v>
      </c>
      <c r="F434" t="s">
        <v>15</v>
      </c>
      <c r="G434" t="s">
        <v>63</v>
      </c>
      <c r="H434" t="s">
        <v>103</v>
      </c>
      <c r="I434" t="s">
        <v>1013</v>
      </c>
      <c r="J434" t="s">
        <v>1014</v>
      </c>
      <c r="K434" t="s">
        <v>191</v>
      </c>
    </row>
    <row r="435" spans="1:11" x14ac:dyDescent="0.25">
      <c r="A435">
        <v>434</v>
      </c>
      <c r="B435" t="s">
        <v>421</v>
      </c>
      <c r="C435" t="s">
        <v>422</v>
      </c>
      <c r="D435" t="s">
        <v>45</v>
      </c>
      <c r="E435" t="s">
        <v>423</v>
      </c>
      <c r="F435" t="s">
        <v>15</v>
      </c>
      <c r="G435" t="s">
        <v>102</v>
      </c>
      <c r="H435" t="s">
        <v>424</v>
      </c>
      <c r="I435" t="s">
        <v>425</v>
      </c>
      <c r="J435" t="s">
        <v>1014</v>
      </c>
      <c r="K435" t="s">
        <v>1015</v>
      </c>
    </row>
    <row r="436" spans="1:11" x14ac:dyDescent="0.25">
      <c r="A436">
        <v>435</v>
      </c>
      <c r="B436" t="s">
        <v>138</v>
      </c>
      <c r="C436" t="s">
        <v>139</v>
      </c>
      <c r="D436" t="s">
        <v>30</v>
      </c>
      <c r="E436" t="s">
        <v>912</v>
      </c>
      <c r="F436" t="s">
        <v>15</v>
      </c>
      <c r="G436" t="s">
        <v>90</v>
      </c>
      <c r="H436" t="s">
        <v>103</v>
      </c>
      <c r="I436" t="s">
        <v>349</v>
      </c>
      <c r="J436" t="s">
        <v>1014</v>
      </c>
      <c r="K436" t="s">
        <v>1016</v>
      </c>
    </row>
    <row r="437" spans="1:11" x14ac:dyDescent="0.25">
      <c r="A437">
        <v>436</v>
      </c>
      <c r="B437" t="s">
        <v>1017</v>
      </c>
      <c r="C437" t="s">
        <v>1018</v>
      </c>
      <c r="D437" t="s">
        <v>30</v>
      </c>
      <c r="E437" t="s">
        <v>912</v>
      </c>
      <c r="F437" t="s">
        <v>15</v>
      </c>
      <c r="G437" t="s">
        <v>90</v>
      </c>
      <c r="H437" t="s">
        <v>103</v>
      </c>
      <c r="I437" t="s">
        <v>349</v>
      </c>
      <c r="J437" t="s">
        <v>1014</v>
      </c>
      <c r="K437" t="s">
        <v>1016</v>
      </c>
    </row>
    <row r="438" spans="1:11" x14ac:dyDescent="0.25">
      <c r="A438">
        <v>437</v>
      </c>
      <c r="B438" t="s">
        <v>11</v>
      </c>
      <c r="C438" t="s">
        <v>12</v>
      </c>
      <c r="D438" t="s">
        <v>13</v>
      </c>
      <c r="E438" t="s">
        <v>781</v>
      </c>
      <c r="F438" t="s">
        <v>90</v>
      </c>
      <c r="G438" t="s">
        <v>196</v>
      </c>
      <c r="H438" t="s">
        <v>1019</v>
      </c>
      <c r="I438" t="s">
        <v>1020</v>
      </c>
      <c r="J438" t="s">
        <v>1014</v>
      </c>
      <c r="K438" t="s">
        <v>1021</v>
      </c>
    </row>
    <row r="439" spans="1:11" x14ac:dyDescent="0.25">
      <c r="A439">
        <v>438</v>
      </c>
      <c r="B439" t="s">
        <v>94</v>
      </c>
      <c r="C439" t="s">
        <v>95</v>
      </c>
      <c r="D439" t="s">
        <v>45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1014</v>
      </c>
      <c r="K439" t="s">
        <v>1022</v>
      </c>
    </row>
    <row r="440" spans="1:11" x14ac:dyDescent="0.25">
      <c r="A440">
        <v>439</v>
      </c>
      <c r="B440" t="s">
        <v>1023</v>
      </c>
      <c r="C440" t="s">
        <v>1024</v>
      </c>
      <c r="D440" t="s">
        <v>13</v>
      </c>
      <c r="E440" t="s">
        <v>882</v>
      </c>
      <c r="F440" t="s">
        <v>90</v>
      </c>
      <c r="G440" t="s">
        <v>63</v>
      </c>
      <c r="H440" t="s">
        <v>773</v>
      </c>
      <c r="I440" t="s">
        <v>752</v>
      </c>
      <c r="J440" t="s">
        <v>1014</v>
      </c>
      <c r="K440" t="s">
        <v>1025</v>
      </c>
    </row>
    <row r="441" spans="1:11" x14ac:dyDescent="0.25">
      <c r="A441">
        <v>440</v>
      </c>
      <c r="B441" t="s">
        <v>259</v>
      </c>
      <c r="C441" t="s">
        <v>260</v>
      </c>
      <c r="D441" t="s">
        <v>88</v>
      </c>
      <c r="E441" t="s">
        <v>27</v>
      </c>
      <c r="F441" t="s">
        <v>290</v>
      </c>
      <c r="G441" t="s">
        <v>290</v>
      </c>
      <c r="H441" t="s">
        <v>819</v>
      </c>
      <c r="I441" t="s">
        <v>820</v>
      </c>
      <c r="J441" t="s">
        <v>1026</v>
      </c>
      <c r="K441" t="s">
        <v>1027</v>
      </c>
    </row>
    <row r="442" spans="1:11" x14ac:dyDescent="0.25">
      <c r="A442">
        <v>441</v>
      </c>
      <c r="B442" t="s">
        <v>67</v>
      </c>
      <c r="C442" t="s">
        <v>68</v>
      </c>
      <c r="D442" t="s">
        <v>13</v>
      </c>
      <c r="E442" t="s">
        <v>69</v>
      </c>
      <c r="F442" t="s">
        <v>47</v>
      </c>
      <c r="G442" t="s">
        <v>70</v>
      </c>
      <c r="H442" t="s">
        <v>1028</v>
      </c>
      <c r="I442" t="s">
        <v>1029</v>
      </c>
      <c r="J442" t="s">
        <v>1026</v>
      </c>
      <c r="K442" t="s">
        <v>66</v>
      </c>
    </row>
    <row r="443" spans="1:11" x14ac:dyDescent="0.25">
      <c r="A443">
        <v>442</v>
      </c>
      <c r="B443" t="s">
        <v>400</v>
      </c>
      <c r="C443" t="s">
        <v>401</v>
      </c>
      <c r="D443" t="s">
        <v>13</v>
      </c>
      <c r="E443" t="s">
        <v>594</v>
      </c>
      <c r="F443" t="s">
        <v>290</v>
      </c>
      <c r="G443" t="s">
        <v>136</v>
      </c>
      <c r="H443" t="s">
        <v>27</v>
      </c>
      <c r="I443" t="s">
        <v>377</v>
      </c>
      <c r="J443" t="s">
        <v>1026</v>
      </c>
      <c r="K443" t="s">
        <v>188</v>
      </c>
    </row>
    <row r="444" spans="1:11" x14ac:dyDescent="0.25">
      <c r="A444">
        <v>443</v>
      </c>
      <c r="B444" t="s">
        <v>86</v>
      </c>
      <c r="C444" t="s">
        <v>87</v>
      </c>
      <c r="D444" t="s">
        <v>88</v>
      </c>
      <c r="E444" t="s">
        <v>89</v>
      </c>
      <c r="F444" t="s">
        <v>15</v>
      </c>
      <c r="G444" t="s">
        <v>90</v>
      </c>
      <c r="H444" t="s">
        <v>643</v>
      </c>
      <c r="I444" t="s">
        <v>1030</v>
      </c>
      <c r="J444" t="s">
        <v>1026</v>
      </c>
      <c r="K444" t="s">
        <v>1031</v>
      </c>
    </row>
    <row r="445" spans="1:11" x14ac:dyDescent="0.25">
      <c r="A445">
        <v>444</v>
      </c>
      <c r="B445" t="s">
        <v>111</v>
      </c>
      <c r="C445" t="s">
        <v>112</v>
      </c>
      <c r="D445" t="s">
        <v>13</v>
      </c>
      <c r="E445" t="s">
        <v>101</v>
      </c>
      <c r="F445" t="s">
        <v>15</v>
      </c>
      <c r="G445" t="s">
        <v>136</v>
      </c>
      <c r="H445" t="s">
        <v>27</v>
      </c>
      <c r="I445" t="s">
        <v>327</v>
      </c>
      <c r="J445" t="s">
        <v>1026</v>
      </c>
      <c r="K445" t="s">
        <v>428</v>
      </c>
    </row>
    <row r="446" spans="1:11" x14ac:dyDescent="0.25">
      <c r="A446">
        <v>445</v>
      </c>
      <c r="B446" t="s">
        <v>43</v>
      </c>
      <c r="C446" t="s">
        <v>44</v>
      </c>
      <c r="D446" t="s">
        <v>45</v>
      </c>
      <c r="E446" t="s">
        <v>46</v>
      </c>
      <c r="F446" t="s">
        <v>15</v>
      </c>
      <c r="G446" t="s">
        <v>47</v>
      </c>
      <c r="H446" t="s">
        <v>48</v>
      </c>
      <c r="I446" t="s">
        <v>49</v>
      </c>
      <c r="J446" t="s">
        <v>1026</v>
      </c>
      <c r="K446" t="s">
        <v>575</v>
      </c>
    </row>
    <row r="447" spans="1:11" x14ac:dyDescent="0.25">
      <c r="A447">
        <v>446</v>
      </c>
      <c r="B447" t="s">
        <v>51</v>
      </c>
      <c r="C447" t="s">
        <v>52</v>
      </c>
      <c r="D447" t="s">
        <v>45</v>
      </c>
      <c r="E447" t="s">
        <v>46</v>
      </c>
      <c r="F447" t="s">
        <v>15</v>
      </c>
      <c r="G447" t="s">
        <v>47</v>
      </c>
      <c r="H447" t="s">
        <v>48</v>
      </c>
      <c r="I447" t="s">
        <v>49</v>
      </c>
      <c r="J447" t="s">
        <v>1026</v>
      </c>
      <c r="K447" t="s">
        <v>575</v>
      </c>
    </row>
    <row r="448" spans="1:11" x14ac:dyDescent="0.25">
      <c r="A448">
        <v>447</v>
      </c>
      <c r="B448" t="s">
        <v>53</v>
      </c>
      <c r="C448" t="s">
        <v>54</v>
      </c>
      <c r="D448" t="s">
        <v>45</v>
      </c>
      <c r="E448" t="s">
        <v>46</v>
      </c>
      <c r="F448" t="s">
        <v>15</v>
      </c>
      <c r="G448" t="s">
        <v>47</v>
      </c>
      <c r="H448" t="s">
        <v>48</v>
      </c>
      <c r="I448" t="s">
        <v>49</v>
      </c>
      <c r="J448" t="s">
        <v>1026</v>
      </c>
      <c r="K448" t="s">
        <v>575</v>
      </c>
    </row>
    <row r="449" spans="1:11" x14ac:dyDescent="0.25">
      <c r="A449">
        <v>448</v>
      </c>
      <c r="B449" t="s">
        <v>86</v>
      </c>
      <c r="C449" t="s">
        <v>87</v>
      </c>
      <c r="D449" t="s">
        <v>88</v>
      </c>
      <c r="E449" t="s">
        <v>89</v>
      </c>
      <c r="F449" t="s">
        <v>15</v>
      </c>
      <c r="G449" t="s">
        <v>90</v>
      </c>
      <c r="H449" t="s">
        <v>1032</v>
      </c>
      <c r="I449" t="s">
        <v>1033</v>
      </c>
      <c r="J449" t="s">
        <v>1026</v>
      </c>
      <c r="K449" t="s">
        <v>1034</v>
      </c>
    </row>
    <row r="450" spans="1:11" x14ac:dyDescent="0.25">
      <c r="A450">
        <v>449</v>
      </c>
      <c r="B450" t="s">
        <v>1035</v>
      </c>
      <c r="C450" t="s">
        <v>1036</v>
      </c>
      <c r="D450" t="s">
        <v>45</v>
      </c>
      <c r="E450" t="s">
        <v>1037</v>
      </c>
      <c r="F450" t="s">
        <v>15</v>
      </c>
      <c r="G450" t="s">
        <v>58</v>
      </c>
      <c r="H450" t="s">
        <v>852</v>
      </c>
      <c r="I450" t="s">
        <v>1038</v>
      </c>
      <c r="J450" t="s">
        <v>1026</v>
      </c>
      <c r="K450" t="s">
        <v>1034</v>
      </c>
    </row>
    <row r="451" spans="1:11" x14ac:dyDescent="0.25">
      <c r="A451">
        <v>450</v>
      </c>
      <c r="B451" t="s">
        <v>1039</v>
      </c>
      <c r="C451" t="s">
        <v>1040</v>
      </c>
      <c r="D451" t="s">
        <v>45</v>
      </c>
      <c r="E451" t="s">
        <v>1041</v>
      </c>
      <c r="F451" t="s">
        <v>15</v>
      </c>
      <c r="G451" t="s">
        <v>58</v>
      </c>
      <c r="H451" t="s">
        <v>852</v>
      </c>
      <c r="I451" t="s">
        <v>1042</v>
      </c>
      <c r="J451" t="s">
        <v>1026</v>
      </c>
      <c r="K451" t="s">
        <v>1034</v>
      </c>
    </row>
    <row r="452" spans="1:11" x14ac:dyDescent="0.25">
      <c r="A452">
        <v>451</v>
      </c>
      <c r="B452" t="s">
        <v>1043</v>
      </c>
      <c r="C452" t="s">
        <v>1044</v>
      </c>
      <c r="D452" t="s">
        <v>45</v>
      </c>
      <c r="E452" t="s">
        <v>1045</v>
      </c>
      <c r="F452" t="s">
        <v>15</v>
      </c>
      <c r="G452" t="s">
        <v>952</v>
      </c>
      <c r="H452" t="s">
        <v>808</v>
      </c>
      <c r="I452" t="s">
        <v>227</v>
      </c>
      <c r="J452" t="s">
        <v>1026</v>
      </c>
      <c r="K452" t="s">
        <v>1034</v>
      </c>
    </row>
    <row r="453" spans="1:11" x14ac:dyDescent="0.25">
      <c r="A453">
        <v>452</v>
      </c>
      <c r="B453" t="s">
        <v>697</v>
      </c>
      <c r="C453" t="s">
        <v>698</v>
      </c>
      <c r="D453" t="s">
        <v>45</v>
      </c>
      <c r="E453" t="s">
        <v>103</v>
      </c>
      <c r="F453" t="s">
        <v>15</v>
      </c>
      <c r="G453" t="s">
        <v>58</v>
      </c>
      <c r="H453" t="s">
        <v>852</v>
      </c>
      <c r="I453" t="s">
        <v>64</v>
      </c>
      <c r="J453" t="s">
        <v>1026</v>
      </c>
      <c r="K453" t="s">
        <v>1034</v>
      </c>
    </row>
    <row r="454" spans="1:11" x14ac:dyDescent="0.25">
      <c r="A454">
        <v>453</v>
      </c>
      <c r="B454" t="s">
        <v>1046</v>
      </c>
      <c r="C454" t="s">
        <v>1047</v>
      </c>
      <c r="D454" t="s">
        <v>45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  <c r="J454" t="s">
        <v>1026</v>
      </c>
      <c r="K454" t="s">
        <v>1034</v>
      </c>
    </row>
    <row r="455" spans="1:11" x14ac:dyDescent="0.25">
      <c r="A455">
        <v>454</v>
      </c>
      <c r="B455" t="s">
        <v>240</v>
      </c>
      <c r="C455" t="s">
        <v>241</v>
      </c>
      <c r="D455" t="s">
        <v>88</v>
      </c>
      <c r="E455" t="s">
        <v>242</v>
      </c>
      <c r="F455" t="s">
        <v>15</v>
      </c>
      <c r="G455" t="s">
        <v>102</v>
      </c>
      <c r="H455" t="s">
        <v>172</v>
      </c>
      <c r="I455" t="s">
        <v>1048</v>
      </c>
      <c r="J455" t="s">
        <v>1026</v>
      </c>
      <c r="K455" t="s">
        <v>1034</v>
      </c>
    </row>
    <row r="456" spans="1:11" x14ac:dyDescent="0.25">
      <c r="A456">
        <v>455</v>
      </c>
      <c r="B456" t="s">
        <v>86</v>
      </c>
      <c r="C456" t="s">
        <v>87</v>
      </c>
      <c r="D456" t="s">
        <v>88</v>
      </c>
      <c r="E456" t="s">
        <v>1049</v>
      </c>
      <c r="F456" t="s">
        <v>15</v>
      </c>
      <c r="G456" t="s">
        <v>125</v>
      </c>
      <c r="H456" t="s">
        <v>277</v>
      </c>
      <c r="I456" t="s">
        <v>1050</v>
      </c>
      <c r="J456" t="s">
        <v>1026</v>
      </c>
      <c r="K456" t="s">
        <v>1051</v>
      </c>
    </row>
    <row r="457" spans="1:11" x14ac:dyDescent="0.25">
      <c r="A457">
        <v>456</v>
      </c>
      <c r="B457" t="s">
        <v>86</v>
      </c>
      <c r="C457" t="s">
        <v>87</v>
      </c>
      <c r="D457" t="s">
        <v>88</v>
      </c>
      <c r="E457" t="s">
        <v>1052</v>
      </c>
      <c r="F457" t="s">
        <v>15</v>
      </c>
      <c r="G457" t="s">
        <v>290</v>
      </c>
      <c r="H457" t="s">
        <v>1053</v>
      </c>
      <c r="I457" t="s">
        <v>1054</v>
      </c>
      <c r="J457" t="s">
        <v>1026</v>
      </c>
      <c r="K457" t="s">
        <v>1055</v>
      </c>
    </row>
    <row r="458" spans="1:11" x14ac:dyDescent="0.25">
      <c r="A458">
        <v>457</v>
      </c>
      <c r="B458" t="s">
        <v>479</v>
      </c>
      <c r="C458" t="s">
        <v>480</v>
      </c>
      <c r="D458" t="s">
        <v>45</v>
      </c>
      <c r="E458" t="s">
        <v>27</v>
      </c>
      <c r="F458" t="s">
        <v>15</v>
      </c>
      <c r="G458" t="s">
        <v>102</v>
      </c>
      <c r="H458" t="s">
        <v>548</v>
      </c>
      <c r="I458" t="s">
        <v>264</v>
      </c>
      <c r="J458" t="s">
        <v>1026</v>
      </c>
      <c r="K458" t="s">
        <v>1056</v>
      </c>
    </row>
    <row r="459" spans="1:11" x14ac:dyDescent="0.25">
      <c r="A459">
        <v>458</v>
      </c>
      <c r="B459" t="s">
        <v>421</v>
      </c>
      <c r="C459" t="s">
        <v>422</v>
      </c>
      <c r="D459" t="s">
        <v>45</v>
      </c>
      <c r="E459" t="s">
        <v>15</v>
      </c>
      <c r="F459" t="s">
        <v>90</v>
      </c>
      <c r="G459" t="s">
        <v>15</v>
      </c>
      <c r="H459" t="s">
        <v>887</v>
      </c>
      <c r="I459" t="s">
        <v>887</v>
      </c>
      <c r="J459" t="s">
        <v>1026</v>
      </c>
      <c r="K459" t="s">
        <v>1056</v>
      </c>
    </row>
    <row r="460" spans="1:11" x14ac:dyDescent="0.25">
      <c r="A460">
        <v>459</v>
      </c>
      <c r="B460" t="s">
        <v>922</v>
      </c>
      <c r="C460" t="s">
        <v>923</v>
      </c>
      <c r="D460" t="s">
        <v>85</v>
      </c>
      <c r="E460" t="s">
        <v>271</v>
      </c>
      <c r="F460" t="s">
        <v>15</v>
      </c>
      <c r="G460" t="s">
        <v>58</v>
      </c>
      <c r="H460" t="s">
        <v>499</v>
      </c>
      <c r="I460" t="s">
        <v>924</v>
      </c>
      <c r="J460" t="s">
        <v>1026</v>
      </c>
      <c r="K460" t="s">
        <v>1057</v>
      </c>
    </row>
    <row r="461" spans="1:11" x14ac:dyDescent="0.25">
      <c r="A461">
        <v>460</v>
      </c>
      <c r="B461" t="s">
        <v>479</v>
      </c>
      <c r="C461" t="s">
        <v>480</v>
      </c>
      <c r="D461" t="s">
        <v>45</v>
      </c>
      <c r="E461" t="s">
        <v>27</v>
      </c>
      <c r="F461" t="s">
        <v>15</v>
      </c>
      <c r="G461" t="s">
        <v>102</v>
      </c>
      <c r="H461" t="s">
        <v>548</v>
      </c>
      <c r="I461" t="s">
        <v>264</v>
      </c>
      <c r="J461" t="s">
        <v>1026</v>
      </c>
      <c r="K461" t="s">
        <v>1058</v>
      </c>
    </row>
    <row r="462" spans="1:11" x14ac:dyDescent="0.25">
      <c r="A462">
        <v>461</v>
      </c>
      <c r="B462" t="s">
        <v>421</v>
      </c>
      <c r="C462" t="s">
        <v>422</v>
      </c>
      <c r="D462" t="s">
        <v>45</v>
      </c>
      <c r="E462" t="s">
        <v>15</v>
      </c>
      <c r="F462" t="s">
        <v>90</v>
      </c>
      <c r="G462" t="s">
        <v>15</v>
      </c>
      <c r="H462" t="s">
        <v>887</v>
      </c>
      <c r="I462" t="s">
        <v>887</v>
      </c>
      <c r="J462" t="s">
        <v>1026</v>
      </c>
      <c r="K462" t="s">
        <v>1058</v>
      </c>
    </row>
    <row r="463" spans="1:11" x14ac:dyDescent="0.25">
      <c r="A463">
        <v>462</v>
      </c>
      <c r="B463" t="s">
        <v>111</v>
      </c>
      <c r="C463" t="s">
        <v>112</v>
      </c>
      <c r="D463" t="s">
        <v>13</v>
      </c>
      <c r="E463" t="s">
        <v>101</v>
      </c>
      <c r="F463" t="s">
        <v>15</v>
      </c>
      <c r="G463" t="s">
        <v>136</v>
      </c>
      <c r="H463" t="s">
        <v>27</v>
      </c>
      <c r="I463" t="s">
        <v>327</v>
      </c>
      <c r="J463" t="s">
        <v>1026</v>
      </c>
      <c r="K463" t="s">
        <v>1058</v>
      </c>
    </row>
    <row r="464" spans="1:11" x14ac:dyDescent="0.25">
      <c r="A464">
        <v>463</v>
      </c>
      <c r="B464" t="s">
        <v>429</v>
      </c>
      <c r="C464" t="s">
        <v>430</v>
      </c>
      <c r="D464" t="s">
        <v>88</v>
      </c>
      <c r="E464" t="s">
        <v>15</v>
      </c>
      <c r="F464" t="s">
        <v>290</v>
      </c>
      <c r="G464" t="s">
        <v>15</v>
      </c>
      <c r="H464" t="s">
        <v>953</v>
      </c>
      <c r="I464" t="s">
        <v>953</v>
      </c>
      <c r="J464" t="s">
        <v>1026</v>
      </c>
      <c r="K464" t="s">
        <v>268</v>
      </c>
    </row>
    <row r="465" spans="1:11" x14ac:dyDescent="0.25">
      <c r="A465">
        <v>464</v>
      </c>
      <c r="B465" t="s">
        <v>259</v>
      </c>
      <c r="C465" t="s">
        <v>260</v>
      </c>
      <c r="D465" t="s">
        <v>88</v>
      </c>
      <c r="E465" t="s">
        <v>464</v>
      </c>
      <c r="F465" t="s">
        <v>15</v>
      </c>
      <c r="G465" t="s">
        <v>47</v>
      </c>
      <c r="H465" t="s">
        <v>462</v>
      </c>
      <c r="I465" t="s">
        <v>465</v>
      </c>
      <c r="J465" t="s">
        <v>1026</v>
      </c>
      <c r="K465" t="s">
        <v>268</v>
      </c>
    </row>
    <row r="466" spans="1:11" x14ac:dyDescent="0.25">
      <c r="A466">
        <v>465</v>
      </c>
      <c r="B466" t="s">
        <v>261</v>
      </c>
      <c r="C466" t="s">
        <v>262</v>
      </c>
      <c r="D466" t="s">
        <v>88</v>
      </c>
      <c r="E466" t="s">
        <v>15</v>
      </c>
      <c r="F466" t="s">
        <v>290</v>
      </c>
      <c r="G466" t="s">
        <v>15</v>
      </c>
      <c r="H466" t="s">
        <v>953</v>
      </c>
      <c r="I466" t="s">
        <v>953</v>
      </c>
      <c r="J466" t="s">
        <v>1026</v>
      </c>
      <c r="K466" t="s">
        <v>268</v>
      </c>
    </row>
    <row r="467" spans="1:11" x14ac:dyDescent="0.25">
      <c r="A467">
        <v>466</v>
      </c>
      <c r="B467" t="s">
        <v>1059</v>
      </c>
      <c r="C467" t="s">
        <v>1060</v>
      </c>
      <c r="D467" t="s">
        <v>30</v>
      </c>
      <c r="E467" t="s">
        <v>912</v>
      </c>
      <c r="F467" t="s">
        <v>15</v>
      </c>
      <c r="G467" t="s">
        <v>90</v>
      </c>
      <c r="H467" t="s">
        <v>159</v>
      </c>
      <c r="I467" t="s">
        <v>232</v>
      </c>
      <c r="J467" t="s">
        <v>1026</v>
      </c>
      <c r="K467" t="s">
        <v>1061</v>
      </c>
    </row>
    <row r="468" spans="1:11" x14ac:dyDescent="0.25">
      <c r="A468">
        <v>467</v>
      </c>
      <c r="B468" t="s">
        <v>1062</v>
      </c>
      <c r="C468" t="s">
        <v>1063</v>
      </c>
      <c r="D468" t="s">
        <v>30</v>
      </c>
      <c r="E468" t="s">
        <v>880</v>
      </c>
      <c r="F468" t="s">
        <v>15</v>
      </c>
      <c r="G468" t="s">
        <v>125</v>
      </c>
      <c r="H468" t="s">
        <v>227</v>
      </c>
      <c r="I468" t="s">
        <v>419</v>
      </c>
      <c r="J468" t="s">
        <v>1026</v>
      </c>
      <c r="K468" t="s">
        <v>1061</v>
      </c>
    </row>
    <row r="469" spans="1:11" x14ac:dyDescent="0.25">
      <c r="A469">
        <v>468</v>
      </c>
      <c r="B469" t="s">
        <v>111</v>
      </c>
      <c r="C469" t="s">
        <v>112</v>
      </c>
      <c r="D469" t="s">
        <v>13</v>
      </c>
      <c r="E469" t="s">
        <v>101</v>
      </c>
      <c r="F469" t="s">
        <v>15</v>
      </c>
      <c r="G469" t="s">
        <v>136</v>
      </c>
      <c r="H469" t="s">
        <v>27</v>
      </c>
      <c r="I469" t="s">
        <v>327</v>
      </c>
      <c r="J469" t="s">
        <v>1026</v>
      </c>
      <c r="K469" t="s">
        <v>1061</v>
      </c>
    </row>
    <row r="470" spans="1:11" x14ac:dyDescent="0.25">
      <c r="A470">
        <v>469</v>
      </c>
      <c r="B470" t="s">
        <v>636</v>
      </c>
      <c r="C470" t="s">
        <v>637</v>
      </c>
      <c r="D470" t="s">
        <v>13</v>
      </c>
      <c r="E470" t="s">
        <v>638</v>
      </c>
      <c r="F470" t="s">
        <v>15</v>
      </c>
      <c r="G470" t="s">
        <v>63</v>
      </c>
      <c r="H470" t="s">
        <v>222</v>
      </c>
      <c r="I470" t="s">
        <v>647</v>
      </c>
      <c r="J470" t="s">
        <v>1026</v>
      </c>
      <c r="K470" t="s">
        <v>1061</v>
      </c>
    </row>
    <row r="471" spans="1:11" x14ac:dyDescent="0.25">
      <c r="A471">
        <v>470</v>
      </c>
      <c r="B471" t="s">
        <v>111</v>
      </c>
      <c r="C471" t="s">
        <v>112</v>
      </c>
      <c r="D471" t="s">
        <v>13</v>
      </c>
      <c r="E471" t="s">
        <v>101</v>
      </c>
      <c r="F471" t="s">
        <v>15</v>
      </c>
      <c r="G471" t="s">
        <v>136</v>
      </c>
      <c r="H471" t="s">
        <v>27</v>
      </c>
      <c r="I471" t="s">
        <v>327</v>
      </c>
      <c r="J471" t="s">
        <v>1026</v>
      </c>
      <c r="K471" t="s">
        <v>1064</v>
      </c>
    </row>
    <row r="472" spans="1:11" x14ac:dyDescent="0.25">
      <c r="A472">
        <v>471</v>
      </c>
      <c r="B472" t="s">
        <v>636</v>
      </c>
      <c r="C472" t="s">
        <v>637</v>
      </c>
      <c r="D472" t="s">
        <v>13</v>
      </c>
      <c r="E472" t="s">
        <v>638</v>
      </c>
      <c r="F472" t="s">
        <v>15</v>
      </c>
      <c r="G472" t="s">
        <v>63</v>
      </c>
      <c r="H472" t="s">
        <v>222</v>
      </c>
      <c r="I472" t="s">
        <v>647</v>
      </c>
      <c r="J472" t="s">
        <v>1026</v>
      </c>
      <c r="K472" t="s">
        <v>1064</v>
      </c>
    </row>
    <row r="473" spans="1:11" x14ac:dyDescent="0.25">
      <c r="A473">
        <v>472</v>
      </c>
      <c r="B473" t="s">
        <v>421</v>
      </c>
      <c r="C473" t="s">
        <v>422</v>
      </c>
      <c r="D473" t="s">
        <v>45</v>
      </c>
      <c r="E473" t="s">
        <v>423</v>
      </c>
      <c r="F473" t="s">
        <v>90</v>
      </c>
      <c r="G473" t="s">
        <v>102</v>
      </c>
      <c r="H473" t="s">
        <v>1065</v>
      </c>
      <c r="I473" t="s">
        <v>1066</v>
      </c>
      <c r="J473" t="s">
        <v>1026</v>
      </c>
      <c r="K473" t="s">
        <v>433</v>
      </c>
    </row>
    <row r="474" spans="1:11" x14ac:dyDescent="0.25">
      <c r="A474">
        <v>473</v>
      </c>
      <c r="B474" t="s">
        <v>251</v>
      </c>
      <c r="C474" t="s">
        <v>252</v>
      </c>
      <c r="D474" t="s">
        <v>88</v>
      </c>
      <c r="E474" t="s">
        <v>15</v>
      </c>
      <c r="F474" t="s">
        <v>47</v>
      </c>
      <c r="G474" t="s">
        <v>15</v>
      </c>
      <c r="H474" t="s">
        <v>1067</v>
      </c>
      <c r="I474" t="s">
        <v>1067</v>
      </c>
      <c r="J474" t="s">
        <v>1026</v>
      </c>
      <c r="K474" t="s">
        <v>1068</v>
      </c>
    </row>
    <row r="475" spans="1:11" x14ac:dyDescent="0.25">
      <c r="A475">
        <v>474</v>
      </c>
      <c r="B475" t="s">
        <v>1069</v>
      </c>
      <c r="C475" t="s">
        <v>1070</v>
      </c>
      <c r="D475" t="s">
        <v>88</v>
      </c>
      <c r="E475" t="s">
        <v>15</v>
      </c>
      <c r="F475" t="s">
        <v>47</v>
      </c>
      <c r="G475" t="s">
        <v>15</v>
      </c>
      <c r="H475" t="s">
        <v>1067</v>
      </c>
      <c r="I475" t="s">
        <v>1067</v>
      </c>
      <c r="J475" t="s">
        <v>1026</v>
      </c>
      <c r="K475" t="s">
        <v>1068</v>
      </c>
    </row>
    <row r="476" spans="1:11" x14ac:dyDescent="0.25">
      <c r="A476">
        <v>475</v>
      </c>
      <c r="B476" t="s">
        <v>429</v>
      </c>
      <c r="C476" t="s">
        <v>430</v>
      </c>
      <c r="D476" t="s">
        <v>88</v>
      </c>
      <c r="E476" t="s">
        <v>464</v>
      </c>
      <c r="F476" t="s">
        <v>47</v>
      </c>
      <c r="G476" t="s">
        <v>47</v>
      </c>
      <c r="H476" t="s">
        <v>431</v>
      </c>
      <c r="I476" t="s">
        <v>277</v>
      </c>
      <c r="J476" t="s">
        <v>1026</v>
      </c>
      <c r="K476" t="s">
        <v>1068</v>
      </c>
    </row>
    <row r="477" spans="1:11" x14ac:dyDescent="0.25">
      <c r="A477">
        <v>476</v>
      </c>
      <c r="B477" t="s">
        <v>259</v>
      </c>
      <c r="C477" t="s">
        <v>260</v>
      </c>
      <c r="D477" t="s">
        <v>88</v>
      </c>
      <c r="E477" t="s">
        <v>464</v>
      </c>
      <c r="F477" t="s">
        <v>47</v>
      </c>
      <c r="G477" t="s">
        <v>47</v>
      </c>
      <c r="H477" t="s">
        <v>431</v>
      </c>
      <c r="I477" t="s">
        <v>277</v>
      </c>
      <c r="J477" t="s">
        <v>1026</v>
      </c>
      <c r="K477" t="s">
        <v>1068</v>
      </c>
    </row>
    <row r="478" spans="1:11" x14ac:dyDescent="0.25">
      <c r="A478">
        <v>477</v>
      </c>
      <c r="B478" t="s">
        <v>261</v>
      </c>
      <c r="C478" t="s">
        <v>262</v>
      </c>
      <c r="D478" t="s">
        <v>88</v>
      </c>
      <c r="E478" t="s">
        <v>464</v>
      </c>
      <c r="F478" t="s">
        <v>47</v>
      </c>
      <c r="G478" t="s">
        <v>47</v>
      </c>
      <c r="H478" t="s">
        <v>431</v>
      </c>
      <c r="I478" t="s">
        <v>277</v>
      </c>
      <c r="J478" t="s">
        <v>1026</v>
      </c>
      <c r="K478" t="s">
        <v>1068</v>
      </c>
    </row>
    <row r="479" spans="1:11" x14ac:dyDescent="0.25">
      <c r="A479">
        <v>478</v>
      </c>
      <c r="B479" t="s">
        <v>668</v>
      </c>
      <c r="C479" t="s">
        <v>669</v>
      </c>
      <c r="D479" t="s">
        <v>88</v>
      </c>
      <c r="E479" t="s">
        <v>1071</v>
      </c>
      <c r="F479" t="s">
        <v>15</v>
      </c>
      <c r="G479" t="s">
        <v>47</v>
      </c>
      <c r="H479" t="s">
        <v>1072</v>
      </c>
      <c r="I479" t="s">
        <v>461</v>
      </c>
      <c r="J479" t="s">
        <v>1026</v>
      </c>
      <c r="K479" t="s">
        <v>1068</v>
      </c>
    </row>
    <row r="480" spans="1:11" x14ac:dyDescent="0.25">
      <c r="A480">
        <v>479</v>
      </c>
      <c r="B480" t="s">
        <v>672</v>
      </c>
      <c r="C480" t="s">
        <v>673</v>
      </c>
      <c r="D480" t="s">
        <v>88</v>
      </c>
      <c r="E480" t="s">
        <v>1071</v>
      </c>
      <c r="F480" t="s">
        <v>15</v>
      </c>
      <c r="G480" t="s">
        <v>47</v>
      </c>
      <c r="H480" t="s">
        <v>1072</v>
      </c>
      <c r="I480" t="s">
        <v>461</v>
      </c>
      <c r="J480" t="s">
        <v>1026</v>
      </c>
      <c r="K480" t="s">
        <v>1068</v>
      </c>
    </row>
    <row r="481" spans="1:11" x14ac:dyDescent="0.25">
      <c r="A481">
        <v>480</v>
      </c>
      <c r="B481" t="s">
        <v>421</v>
      </c>
      <c r="C481" t="s">
        <v>422</v>
      </c>
      <c r="D481" t="s">
        <v>45</v>
      </c>
      <c r="E481" t="s">
        <v>423</v>
      </c>
      <c r="F481" t="s">
        <v>90</v>
      </c>
      <c r="G481" t="s">
        <v>102</v>
      </c>
      <c r="H481" t="s">
        <v>1065</v>
      </c>
      <c r="I481" t="s">
        <v>1066</v>
      </c>
      <c r="J481" t="s">
        <v>1026</v>
      </c>
      <c r="K481" t="s">
        <v>285</v>
      </c>
    </row>
    <row r="482" spans="1:11" x14ac:dyDescent="0.25">
      <c r="A482">
        <v>481</v>
      </c>
      <c r="B482" t="s">
        <v>717</v>
      </c>
      <c r="C482" t="s">
        <v>718</v>
      </c>
      <c r="D482" t="s">
        <v>88</v>
      </c>
      <c r="E482" t="s">
        <v>750</v>
      </c>
      <c r="F482" t="s">
        <v>125</v>
      </c>
      <c r="G482" t="s">
        <v>32</v>
      </c>
      <c r="H482" t="s">
        <v>1073</v>
      </c>
      <c r="I482" t="s">
        <v>1074</v>
      </c>
      <c r="J482" t="s">
        <v>1026</v>
      </c>
      <c r="K482" t="s">
        <v>285</v>
      </c>
    </row>
    <row r="483" spans="1:11" x14ac:dyDescent="0.25">
      <c r="A483">
        <v>482</v>
      </c>
      <c r="B483" t="s">
        <v>753</v>
      </c>
      <c r="C483" t="s">
        <v>754</v>
      </c>
      <c r="D483" t="s">
        <v>88</v>
      </c>
      <c r="E483" t="s">
        <v>750</v>
      </c>
      <c r="F483" t="s">
        <v>15</v>
      </c>
      <c r="G483" t="s">
        <v>32</v>
      </c>
      <c r="H483" t="s">
        <v>755</v>
      </c>
      <c r="I483" t="s">
        <v>756</v>
      </c>
      <c r="J483" t="s">
        <v>1026</v>
      </c>
      <c r="K483" t="s">
        <v>285</v>
      </c>
    </row>
    <row r="484" spans="1:11" x14ac:dyDescent="0.25">
      <c r="A484">
        <v>483</v>
      </c>
      <c r="B484" t="s">
        <v>757</v>
      </c>
      <c r="C484" t="s">
        <v>758</v>
      </c>
      <c r="D484" t="s">
        <v>88</v>
      </c>
      <c r="E484" t="s">
        <v>750</v>
      </c>
      <c r="F484" t="s">
        <v>15</v>
      </c>
      <c r="G484" t="s">
        <v>32</v>
      </c>
      <c r="H484" t="s">
        <v>755</v>
      </c>
      <c r="I484" t="s">
        <v>756</v>
      </c>
      <c r="J484" t="s">
        <v>1026</v>
      </c>
      <c r="K484" t="s">
        <v>285</v>
      </c>
    </row>
    <row r="485" spans="1:11" x14ac:dyDescent="0.25">
      <c r="A485">
        <v>484</v>
      </c>
      <c r="B485" t="s">
        <v>957</v>
      </c>
      <c r="C485" t="s">
        <v>958</v>
      </c>
      <c r="D485" t="s">
        <v>88</v>
      </c>
      <c r="E485" t="s">
        <v>1075</v>
      </c>
      <c r="F485" t="s">
        <v>15</v>
      </c>
      <c r="G485" t="s">
        <v>63</v>
      </c>
      <c r="H485" t="s">
        <v>284</v>
      </c>
      <c r="I485" t="s">
        <v>1076</v>
      </c>
      <c r="J485" t="s">
        <v>1026</v>
      </c>
      <c r="K485" t="s">
        <v>285</v>
      </c>
    </row>
    <row r="486" spans="1:11" x14ac:dyDescent="0.25">
      <c r="A486">
        <v>485</v>
      </c>
      <c r="B486" t="s">
        <v>962</v>
      </c>
      <c r="C486" t="s">
        <v>963</v>
      </c>
      <c r="D486" t="s">
        <v>88</v>
      </c>
      <c r="E486" t="s">
        <v>1077</v>
      </c>
      <c r="F486" t="s">
        <v>290</v>
      </c>
      <c r="G486" t="s">
        <v>180</v>
      </c>
      <c r="H486" t="s">
        <v>1078</v>
      </c>
      <c r="I486" t="s">
        <v>1079</v>
      </c>
      <c r="J486" t="s">
        <v>1026</v>
      </c>
      <c r="K486" t="s">
        <v>285</v>
      </c>
    </row>
    <row r="487" spans="1:11" x14ac:dyDescent="0.25">
      <c r="A487">
        <v>486</v>
      </c>
      <c r="B487" t="s">
        <v>382</v>
      </c>
      <c r="C487" t="s">
        <v>383</v>
      </c>
      <c r="D487" t="s">
        <v>339</v>
      </c>
      <c r="E487" t="s">
        <v>384</v>
      </c>
      <c r="F487" t="s">
        <v>15</v>
      </c>
      <c r="G487" t="s">
        <v>90</v>
      </c>
      <c r="H487" t="s">
        <v>385</v>
      </c>
      <c r="I487" t="s">
        <v>386</v>
      </c>
      <c r="J487" t="s">
        <v>1026</v>
      </c>
      <c r="K487" t="s">
        <v>286</v>
      </c>
    </row>
    <row r="488" spans="1:11" x14ac:dyDescent="0.25">
      <c r="A488">
        <v>487</v>
      </c>
      <c r="B488" t="s">
        <v>389</v>
      </c>
      <c r="C488" t="s">
        <v>390</v>
      </c>
      <c r="D488" t="s">
        <v>339</v>
      </c>
      <c r="E488" t="s">
        <v>384</v>
      </c>
      <c r="F488" t="s">
        <v>15</v>
      </c>
      <c r="G488" t="s">
        <v>90</v>
      </c>
      <c r="H488" t="s">
        <v>385</v>
      </c>
      <c r="I488" t="s">
        <v>386</v>
      </c>
      <c r="J488" t="s">
        <v>1026</v>
      </c>
      <c r="K488" t="s">
        <v>286</v>
      </c>
    </row>
    <row r="489" spans="1:11" x14ac:dyDescent="0.25">
      <c r="A489">
        <v>488</v>
      </c>
      <c r="B489" t="s">
        <v>391</v>
      </c>
      <c r="C489" t="s">
        <v>392</v>
      </c>
      <c r="D489" t="s">
        <v>339</v>
      </c>
      <c r="E489" t="s">
        <v>1080</v>
      </c>
      <c r="F489" t="s">
        <v>15</v>
      </c>
      <c r="G489" t="s">
        <v>125</v>
      </c>
      <c r="H489" t="s">
        <v>1081</v>
      </c>
      <c r="I489" t="s">
        <v>1082</v>
      </c>
      <c r="J489" t="s">
        <v>1026</v>
      </c>
      <c r="K489" t="s">
        <v>286</v>
      </c>
    </row>
    <row r="490" spans="1:11" x14ac:dyDescent="0.25">
      <c r="A490">
        <v>489</v>
      </c>
      <c r="B490" t="s">
        <v>393</v>
      </c>
      <c r="C490" t="s">
        <v>394</v>
      </c>
      <c r="D490" t="s">
        <v>339</v>
      </c>
      <c r="E490" t="s">
        <v>1080</v>
      </c>
      <c r="F490" t="s">
        <v>15</v>
      </c>
      <c r="G490" t="s">
        <v>125</v>
      </c>
      <c r="H490" t="s">
        <v>1081</v>
      </c>
      <c r="I490" t="s">
        <v>1082</v>
      </c>
      <c r="J490" t="s">
        <v>1026</v>
      </c>
      <c r="K490" t="s">
        <v>286</v>
      </c>
    </row>
    <row r="491" spans="1:11" x14ac:dyDescent="0.25">
      <c r="A491">
        <v>490</v>
      </c>
      <c r="B491" t="s">
        <v>281</v>
      </c>
      <c r="C491" t="s">
        <v>282</v>
      </c>
      <c r="D491" t="s">
        <v>85</v>
      </c>
      <c r="E491" t="s">
        <v>377</v>
      </c>
      <c r="F491" t="s">
        <v>15</v>
      </c>
      <c r="G491" t="s">
        <v>90</v>
      </c>
      <c r="H491" t="s">
        <v>762</v>
      </c>
      <c r="I491" t="s">
        <v>504</v>
      </c>
      <c r="J491" t="s">
        <v>1026</v>
      </c>
      <c r="K491" t="s">
        <v>286</v>
      </c>
    </row>
    <row r="492" spans="1:11" x14ac:dyDescent="0.25">
      <c r="A492">
        <v>491</v>
      </c>
      <c r="B492" t="s">
        <v>287</v>
      </c>
      <c r="C492" t="s">
        <v>288</v>
      </c>
      <c r="D492" t="s">
        <v>88</v>
      </c>
      <c r="E492" t="s">
        <v>294</v>
      </c>
      <c r="F492" t="s">
        <v>15</v>
      </c>
      <c r="G492" t="s">
        <v>32</v>
      </c>
      <c r="H492" t="s">
        <v>295</v>
      </c>
      <c r="I492" t="s">
        <v>296</v>
      </c>
      <c r="J492" t="s">
        <v>1026</v>
      </c>
      <c r="K492" t="s">
        <v>286</v>
      </c>
    </row>
    <row r="493" spans="1:11" x14ac:dyDescent="0.25">
      <c r="A493">
        <v>492</v>
      </c>
      <c r="B493" t="s">
        <v>297</v>
      </c>
      <c r="C493" t="s">
        <v>298</v>
      </c>
      <c r="D493" t="s">
        <v>88</v>
      </c>
      <c r="E493" t="s">
        <v>1078</v>
      </c>
      <c r="F493" t="s">
        <v>15</v>
      </c>
      <c r="G493" t="s">
        <v>47</v>
      </c>
      <c r="H493" t="s">
        <v>211</v>
      </c>
      <c r="I493" t="s">
        <v>1083</v>
      </c>
      <c r="J493" t="s">
        <v>1026</v>
      </c>
      <c r="K493" t="s">
        <v>286</v>
      </c>
    </row>
    <row r="494" spans="1:11" x14ac:dyDescent="0.25">
      <c r="A494">
        <v>493</v>
      </c>
      <c r="B494" t="s">
        <v>416</v>
      </c>
      <c r="C494" t="s">
        <v>417</v>
      </c>
      <c r="D494" t="s">
        <v>45</v>
      </c>
      <c r="E494" t="s">
        <v>141</v>
      </c>
      <c r="F494" t="s">
        <v>15</v>
      </c>
      <c r="G494" t="s">
        <v>63</v>
      </c>
      <c r="H494" t="s">
        <v>792</v>
      </c>
      <c r="I494" t="s">
        <v>272</v>
      </c>
      <c r="J494" t="s">
        <v>1026</v>
      </c>
      <c r="K494" t="s">
        <v>1084</v>
      </c>
    </row>
    <row r="495" spans="1:11" x14ac:dyDescent="0.25">
      <c r="A495">
        <v>494</v>
      </c>
      <c r="B495" t="s">
        <v>429</v>
      </c>
      <c r="C495" t="s">
        <v>430</v>
      </c>
      <c r="D495" t="s">
        <v>88</v>
      </c>
      <c r="E495" t="s">
        <v>464</v>
      </c>
      <c r="F495" t="s">
        <v>15</v>
      </c>
      <c r="G495" t="s">
        <v>47</v>
      </c>
      <c r="H495" t="s">
        <v>462</v>
      </c>
      <c r="I495" t="s">
        <v>465</v>
      </c>
      <c r="J495" t="s">
        <v>1026</v>
      </c>
      <c r="K495" t="s">
        <v>1084</v>
      </c>
    </row>
    <row r="496" spans="1:11" x14ac:dyDescent="0.25">
      <c r="A496">
        <v>495</v>
      </c>
      <c r="B496" t="s">
        <v>259</v>
      </c>
      <c r="C496" t="s">
        <v>260</v>
      </c>
      <c r="D496" t="s">
        <v>88</v>
      </c>
      <c r="E496" t="s">
        <v>27</v>
      </c>
      <c r="F496" t="s">
        <v>290</v>
      </c>
      <c r="G496" t="s">
        <v>290</v>
      </c>
      <c r="H496" t="s">
        <v>819</v>
      </c>
      <c r="I496" t="s">
        <v>820</v>
      </c>
      <c r="J496" t="s">
        <v>1026</v>
      </c>
      <c r="K496" t="s">
        <v>1084</v>
      </c>
    </row>
    <row r="497" spans="1:11" x14ac:dyDescent="0.25">
      <c r="A497">
        <v>496</v>
      </c>
      <c r="B497" t="s">
        <v>261</v>
      </c>
      <c r="C497" t="s">
        <v>262</v>
      </c>
      <c r="D497" t="s">
        <v>88</v>
      </c>
      <c r="E497" t="s">
        <v>15</v>
      </c>
      <c r="F497" t="s">
        <v>47</v>
      </c>
      <c r="G497" t="s">
        <v>15</v>
      </c>
      <c r="H497" t="s">
        <v>1067</v>
      </c>
      <c r="I497" t="s">
        <v>1067</v>
      </c>
      <c r="J497" t="s">
        <v>1026</v>
      </c>
      <c r="K497" t="s">
        <v>1084</v>
      </c>
    </row>
    <row r="498" spans="1:11" x14ac:dyDescent="0.25">
      <c r="A498">
        <v>497</v>
      </c>
      <c r="B498" t="s">
        <v>479</v>
      </c>
      <c r="C498" t="s">
        <v>480</v>
      </c>
      <c r="D498" t="s">
        <v>45</v>
      </c>
      <c r="E498" t="s">
        <v>27</v>
      </c>
      <c r="F498" t="s">
        <v>15</v>
      </c>
      <c r="G498" t="s">
        <v>102</v>
      </c>
      <c r="H498" t="s">
        <v>548</v>
      </c>
      <c r="I498" t="s">
        <v>264</v>
      </c>
      <c r="J498" t="s">
        <v>1026</v>
      </c>
      <c r="K498" t="s">
        <v>1085</v>
      </c>
    </row>
    <row r="499" spans="1:11" x14ac:dyDescent="0.25">
      <c r="A499">
        <v>498</v>
      </c>
      <c r="B499" t="s">
        <v>421</v>
      </c>
      <c r="C499" t="s">
        <v>422</v>
      </c>
      <c r="D499" t="s">
        <v>45</v>
      </c>
      <c r="E499" t="s">
        <v>15</v>
      </c>
      <c r="F499" t="s">
        <v>90</v>
      </c>
      <c r="G499" t="s">
        <v>15</v>
      </c>
      <c r="H499" t="s">
        <v>887</v>
      </c>
      <c r="I499" t="s">
        <v>887</v>
      </c>
      <c r="J499" t="s">
        <v>1026</v>
      </c>
      <c r="K499" t="s">
        <v>1085</v>
      </c>
    </row>
    <row r="500" spans="1:11" x14ac:dyDescent="0.25">
      <c r="A500">
        <v>499</v>
      </c>
      <c r="B500" t="s">
        <v>421</v>
      </c>
      <c r="C500" t="s">
        <v>422</v>
      </c>
      <c r="D500" t="s">
        <v>45</v>
      </c>
      <c r="E500" t="s">
        <v>1086</v>
      </c>
      <c r="F500" t="s">
        <v>15</v>
      </c>
      <c r="G500" t="s">
        <v>290</v>
      </c>
      <c r="H500" t="s">
        <v>203</v>
      </c>
      <c r="I500" t="s">
        <v>1087</v>
      </c>
      <c r="J500" t="s">
        <v>1026</v>
      </c>
      <c r="K500" t="s">
        <v>1088</v>
      </c>
    </row>
    <row r="501" spans="1:11" x14ac:dyDescent="0.25">
      <c r="A501">
        <v>500</v>
      </c>
      <c r="B501" t="s">
        <v>111</v>
      </c>
      <c r="C501" t="s">
        <v>112</v>
      </c>
      <c r="D501" t="s">
        <v>13</v>
      </c>
      <c r="E501" t="s">
        <v>1089</v>
      </c>
      <c r="F501" t="s">
        <v>15</v>
      </c>
      <c r="G501" t="s">
        <v>58</v>
      </c>
      <c r="H501" t="s">
        <v>272</v>
      </c>
      <c r="I501" t="s">
        <v>693</v>
      </c>
      <c r="J501" t="s">
        <v>1026</v>
      </c>
      <c r="K501" t="s">
        <v>1088</v>
      </c>
    </row>
    <row r="502" spans="1:11" x14ac:dyDescent="0.25">
      <c r="A502">
        <v>501</v>
      </c>
      <c r="B502" t="s">
        <v>636</v>
      </c>
      <c r="C502" t="s">
        <v>637</v>
      </c>
      <c r="D502" t="s">
        <v>13</v>
      </c>
      <c r="E502" t="s">
        <v>638</v>
      </c>
      <c r="F502" t="s">
        <v>15</v>
      </c>
      <c r="G502" t="s">
        <v>63</v>
      </c>
      <c r="H502" t="s">
        <v>222</v>
      </c>
      <c r="I502" t="s">
        <v>647</v>
      </c>
      <c r="J502" t="s">
        <v>1026</v>
      </c>
      <c r="K502" t="s">
        <v>1088</v>
      </c>
    </row>
    <row r="503" spans="1:11" x14ac:dyDescent="0.25">
      <c r="A503">
        <v>502</v>
      </c>
      <c r="B503" t="s">
        <v>273</v>
      </c>
      <c r="C503" t="s">
        <v>274</v>
      </c>
      <c r="D503" t="s">
        <v>13</v>
      </c>
      <c r="E503" t="s">
        <v>649</v>
      </c>
      <c r="F503" t="s">
        <v>15</v>
      </c>
      <c r="G503" t="s">
        <v>63</v>
      </c>
      <c r="H503" t="s">
        <v>377</v>
      </c>
      <c r="I503" t="s">
        <v>223</v>
      </c>
      <c r="J503" t="s">
        <v>1026</v>
      </c>
      <c r="K503" t="s">
        <v>1088</v>
      </c>
    </row>
    <row r="504" spans="1:11" x14ac:dyDescent="0.25">
      <c r="A504">
        <v>503</v>
      </c>
      <c r="B504" t="s">
        <v>540</v>
      </c>
      <c r="C504" t="s">
        <v>541</v>
      </c>
      <c r="D504" t="s">
        <v>339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1090</v>
      </c>
      <c r="K504" t="s">
        <v>166</v>
      </c>
    </row>
    <row r="505" spans="1:11" x14ac:dyDescent="0.25">
      <c r="A505">
        <v>504</v>
      </c>
      <c r="B505" t="s">
        <v>1091</v>
      </c>
      <c r="C505" t="s">
        <v>1092</v>
      </c>
      <c r="D505" t="s">
        <v>45</v>
      </c>
      <c r="E505" t="s">
        <v>232</v>
      </c>
      <c r="F505" t="s">
        <v>32</v>
      </c>
      <c r="G505" t="s">
        <v>59</v>
      </c>
      <c r="H505" t="s">
        <v>1093</v>
      </c>
      <c r="I505" t="s">
        <v>1094</v>
      </c>
      <c r="J505" t="s">
        <v>1095</v>
      </c>
      <c r="K505" t="s">
        <v>733</v>
      </c>
    </row>
    <row r="506" spans="1:11" x14ac:dyDescent="0.25">
      <c r="A506">
        <v>505</v>
      </c>
      <c r="B506" t="s">
        <v>1096</v>
      </c>
      <c r="C506" t="s">
        <v>1097</v>
      </c>
      <c r="D506" t="s">
        <v>45</v>
      </c>
      <c r="E506" t="s">
        <v>377</v>
      </c>
      <c r="F506" t="s">
        <v>32</v>
      </c>
      <c r="G506" t="s">
        <v>59</v>
      </c>
      <c r="H506" t="s">
        <v>1093</v>
      </c>
      <c r="I506" t="s">
        <v>1098</v>
      </c>
      <c r="J506" t="s">
        <v>1095</v>
      </c>
      <c r="K506" t="s">
        <v>733</v>
      </c>
    </row>
    <row r="507" spans="1:11" x14ac:dyDescent="0.25">
      <c r="A507">
        <v>506</v>
      </c>
      <c r="B507" t="s">
        <v>1099</v>
      </c>
      <c r="C507" t="s">
        <v>1100</v>
      </c>
      <c r="D507" t="s">
        <v>468</v>
      </c>
      <c r="E507" t="s">
        <v>409</v>
      </c>
      <c r="F507" t="s">
        <v>125</v>
      </c>
      <c r="G507" t="s">
        <v>741</v>
      </c>
      <c r="H507" t="s">
        <v>1101</v>
      </c>
      <c r="I507" t="s">
        <v>1102</v>
      </c>
      <c r="J507" t="s">
        <v>1095</v>
      </c>
      <c r="K507" t="s">
        <v>733</v>
      </c>
    </row>
    <row r="508" spans="1:11" x14ac:dyDescent="0.25">
      <c r="A508">
        <v>507</v>
      </c>
      <c r="B508" t="s">
        <v>1103</v>
      </c>
      <c r="C508" t="s">
        <v>1104</v>
      </c>
      <c r="D508" t="s">
        <v>45</v>
      </c>
      <c r="E508" t="s">
        <v>1105</v>
      </c>
      <c r="F508" t="s">
        <v>32</v>
      </c>
      <c r="G508" t="s">
        <v>196</v>
      </c>
      <c r="H508" t="s">
        <v>537</v>
      </c>
      <c r="I508" t="s">
        <v>1106</v>
      </c>
      <c r="J508" t="s">
        <v>1095</v>
      </c>
      <c r="K508" t="s">
        <v>733</v>
      </c>
    </row>
    <row r="509" spans="1:11" x14ac:dyDescent="0.25">
      <c r="A509">
        <v>508</v>
      </c>
      <c r="B509" t="s">
        <v>1107</v>
      </c>
      <c r="C509" t="s">
        <v>1108</v>
      </c>
      <c r="D509" t="s">
        <v>45</v>
      </c>
      <c r="E509" t="s">
        <v>1109</v>
      </c>
      <c r="F509" t="s">
        <v>15</v>
      </c>
      <c r="G509" t="s">
        <v>180</v>
      </c>
      <c r="H509" t="s">
        <v>499</v>
      </c>
      <c r="I509" t="s">
        <v>1110</v>
      </c>
      <c r="J509" t="s">
        <v>1095</v>
      </c>
      <c r="K509" t="s">
        <v>733</v>
      </c>
    </row>
    <row r="510" spans="1:11" x14ac:dyDescent="0.25">
      <c r="A510">
        <v>509</v>
      </c>
      <c r="B510" t="s">
        <v>1111</v>
      </c>
      <c r="C510" t="s">
        <v>1112</v>
      </c>
      <c r="D510" t="s">
        <v>45</v>
      </c>
      <c r="E510" t="s">
        <v>1109</v>
      </c>
      <c r="F510" t="s">
        <v>15</v>
      </c>
      <c r="G510" t="s">
        <v>180</v>
      </c>
      <c r="H510" t="s">
        <v>499</v>
      </c>
      <c r="I510" t="s">
        <v>1110</v>
      </c>
      <c r="J510" t="s">
        <v>1095</v>
      </c>
      <c r="K510" t="s">
        <v>733</v>
      </c>
    </row>
    <row r="511" spans="1:11" x14ac:dyDescent="0.25">
      <c r="A511">
        <v>510</v>
      </c>
      <c r="B511" t="s">
        <v>1113</v>
      </c>
      <c r="C511" t="s">
        <v>1114</v>
      </c>
      <c r="D511" t="s">
        <v>45</v>
      </c>
      <c r="E511" t="s">
        <v>1109</v>
      </c>
      <c r="F511" t="s">
        <v>32</v>
      </c>
      <c r="G511" t="s">
        <v>180</v>
      </c>
      <c r="H511" t="s">
        <v>327</v>
      </c>
      <c r="I511" t="s">
        <v>1115</v>
      </c>
      <c r="J511" t="s">
        <v>1095</v>
      </c>
      <c r="K511" t="s">
        <v>733</v>
      </c>
    </row>
    <row r="512" spans="1:11" x14ac:dyDescent="0.25">
      <c r="A512">
        <v>511</v>
      </c>
      <c r="B512" t="s">
        <v>51</v>
      </c>
      <c r="C512" t="s">
        <v>52</v>
      </c>
      <c r="D512" t="s">
        <v>45</v>
      </c>
      <c r="E512" t="s">
        <v>1116</v>
      </c>
      <c r="F512" t="s">
        <v>15</v>
      </c>
      <c r="G512" t="s">
        <v>102</v>
      </c>
      <c r="H512" t="s">
        <v>852</v>
      </c>
      <c r="I512" t="s">
        <v>1117</v>
      </c>
      <c r="J512" t="s">
        <v>1095</v>
      </c>
      <c r="K512" t="s">
        <v>733</v>
      </c>
    </row>
    <row r="513" spans="1:11" x14ac:dyDescent="0.25">
      <c r="A513">
        <v>512</v>
      </c>
      <c r="B513" t="s">
        <v>516</v>
      </c>
      <c r="C513" t="s">
        <v>517</v>
      </c>
      <c r="D513" t="s">
        <v>518</v>
      </c>
      <c r="E513" t="s">
        <v>15</v>
      </c>
      <c r="F513" t="s">
        <v>15</v>
      </c>
      <c r="G513" t="s">
        <v>15</v>
      </c>
      <c r="H513" t="s">
        <v>1118</v>
      </c>
      <c r="I513" t="s">
        <v>1118</v>
      </c>
      <c r="J513" t="s">
        <v>1095</v>
      </c>
      <c r="K513" t="s">
        <v>733</v>
      </c>
    </row>
    <row r="514" spans="1:11" x14ac:dyDescent="0.25">
      <c r="A514">
        <v>513</v>
      </c>
      <c r="B514" t="s">
        <v>1009</v>
      </c>
      <c r="C514" t="s">
        <v>1010</v>
      </c>
      <c r="D514" t="s">
        <v>88</v>
      </c>
      <c r="E514" t="s">
        <v>402</v>
      </c>
      <c r="F514" t="s">
        <v>15</v>
      </c>
      <c r="G514" t="s">
        <v>25</v>
      </c>
      <c r="H514" t="s">
        <v>512</v>
      </c>
      <c r="I514" t="s">
        <v>574</v>
      </c>
      <c r="J514" t="s">
        <v>1119</v>
      </c>
      <c r="K514" t="s">
        <v>925</v>
      </c>
    </row>
    <row r="515" spans="1:11" x14ac:dyDescent="0.25">
      <c r="A515">
        <v>514</v>
      </c>
      <c r="B515" t="s">
        <v>133</v>
      </c>
      <c r="C515" t="s">
        <v>134</v>
      </c>
      <c r="D515" t="s">
        <v>13</v>
      </c>
      <c r="E515" t="s">
        <v>135</v>
      </c>
      <c r="F515" t="s">
        <v>15</v>
      </c>
      <c r="G515" t="s">
        <v>136</v>
      </c>
      <c r="H515" t="s">
        <v>594</v>
      </c>
      <c r="I515" t="s">
        <v>985</v>
      </c>
      <c r="J515" t="s">
        <v>1119</v>
      </c>
      <c r="K515" t="s">
        <v>925</v>
      </c>
    </row>
    <row r="516" spans="1:11" x14ac:dyDescent="0.25">
      <c r="A516">
        <v>515</v>
      </c>
      <c r="B516" t="s">
        <v>788</v>
      </c>
      <c r="C516" t="s">
        <v>789</v>
      </c>
      <c r="D516" t="s">
        <v>23</v>
      </c>
      <c r="E516" t="s">
        <v>1120</v>
      </c>
      <c r="F516" t="s">
        <v>125</v>
      </c>
      <c r="G516" t="s">
        <v>58</v>
      </c>
      <c r="H516" t="s">
        <v>1121</v>
      </c>
      <c r="I516" t="s">
        <v>1122</v>
      </c>
      <c r="J516" t="s">
        <v>1119</v>
      </c>
      <c r="K516" t="s">
        <v>925</v>
      </c>
    </row>
    <row r="517" spans="1:11" x14ac:dyDescent="0.25">
      <c r="A517">
        <v>516</v>
      </c>
      <c r="B517" t="s">
        <v>744</v>
      </c>
      <c r="C517" t="s">
        <v>745</v>
      </c>
      <c r="D517" t="s">
        <v>13</v>
      </c>
      <c r="E517" t="s">
        <v>221</v>
      </c>
      <c r="F517" t="s">
        <v>15</v>
      </c>
      <c r="G517" t="s">
        <v>63</v>
      </c>
      <c r="H517" t="s">
        <v>349</v>
      </c>
      <c r="I517" t="s">
        <v>997</v>
      </c>
      <c r="J517" t="s">
        <v>1119</v>
      </c>
      <c r="K517" t="s">
        <v>1123</v>
      </c>
    </row>
    <row r="518" spans="1:11" x14ac:dyDescent="0.25">
      <c r="A518">
        <v>517</v>
      </c>
      <c r="B518" t="s">
        <v>632</v>
      </c>
      <c r="C518" t="s">
        <v>633</v>
      </c>
      <c r="D518" t="s">
        <v>13</v>
      </c>
      <c r="E518" t="s">
        <v>221</v>
      </c>
      <c r="F518" t="s">
        <v>15</v>
      </c>
      <c r="G518" t="s">
        <v>63</v>
      </c>
      <c r="H518" t="s">
        <v>349</v>
      </c>
      <c r="I518" t="s">
        <v>997</v>
      </c>
      <c r="J518" t="s">
        <v>1119</v>
      </c>
      <c r="K518" t="s">
        <v>1123</v>
      </c>
    </row>
    <row r="519" spans="1:11" x14ac:dyDescent="0.25">
      <c r="A519">
        <v>518</v>
      </c>
      <c r="B519" t="s">
        <v>273</v>
      </c>
      <c r="C519" t="s">
        <v>274</v>
      </c>
      <c r="D519" t="s">
        <v>13</v>
      </c>
      <c r="E519" t="s">
        <v>649</v>
      </c>
      <c r="F519" t="s">
        <v>15</v>
      </c>
      <c r="G519" t="s">
        <v>63</v>
      </c>
      <c r="H519" t="s">
        <v>377</v>
      </c>
      <c r="I519" t="s">
        <v>223</v>
      </c>
      <c r="J519" t="s">
        <v>1119</v>
      </c>
      <c r="K519" t="s">
        <v>1123</v>
      </c>
    </row>
    <row r="520" spans="1:11" x14ac:dyDescent="0.25">
      <c r="A520">
        <v>519</v>
      </c>
      <c r="B520" t="s">
        <v>314</v>
      </c>
      <c r="C520" t="s">
        <v>315</v>
      </c>
      <c r="D520" t="s">
        <v>13</v>
      </c>
      <c r="E520" t="s">
        <v>222</v>
      </c>
      <c r="F520" t="s">
        <v>15</v>
      </c>
      <c r="G520" t="s">
        <v>63</v>
      </c>
      <c r="H520" t="s">
        <v>232</v>
      </c>
      <c r="I520" t="s">
        <v>333</v>
      </c>
      <c r="J520" t="s">
        <v>1119</v>
      </c>
      <c r="K520" t="s">
        <v>1123</v>
      </c>
    </row>
    <row r="521" spans="1:11" x14ac:dyDescent="0.25">
      <c r="A521">
        <v>520</v>
      </c>
      <c r="B521" t="s">
        <v>1124</v>
      </c>
      <c r="C521" t="s">
        <v>1125</v>
      </c>
      <c r="D521" t="s">
        <v>339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1126</v>
      </c>
      <c r="K521" t="s">
        <v>166</v>
      </c>
    </row>
    <row r="522" spans="1:11" x14ac:dyDescent="0.25">
      <c r="A522">
        <v>521</v>
      </c>
      <c r="B522" t="s">
        <v>717</v>
      </c>
      <c r="C522" t="s">
        <v>718</v>
      </c>
      <c r="D522" t="s">
        <v>88</v>
      </c>
      <c r="E522" t="s">
        <v>750</v>
      </c>
      <c r="F522" t="s">
        <v>125</v>
      </c>
      <c r="G522" t="s">
        <v>32</v>
      </c>
      <c r="H522" t="s">
        <v>1127</v>
      </c>
      <c r="I522" t="s">
        <v>1128</v>
      </c>
      <c r="J522" t="s">
        <v>1126</v>
      </c>
      <c r="K522" t="s">
        <v>388</v>
      </c>
    </row>
    <row r="523" spans="1:11" x14ac:dyDescent="0.25">
      <c r="A523">
        <v>522</v>
      </c>
      <c r="B523" t="s">
        <v>753</v>
      </c>
      <c r="C523" t="s">
        <v>754</v>
      </c>
      <c r="D523" t="s">
        <v>88</v>
      </c>
      <c r="E523" t="s">
        <v>750</v>
      </c>
      <c r="F523" t="s">
        <v>15</v>
      </c>
      <c r="G523" t="s">
        <v>32</v>
      </c>
      <c r="H523" t="s">
        <v>755</v>
      </c>
      <c r="I523" t="s">
        <v>756</v>
      </c>
      <c r="J523" t="s">
        <v>1126</v>
      </c>
      <c r="K523" t="s">
        <v>388</v>
      </c>
    </row>
    <row r="524" spans="1:11" x14ac:dyDescent="0.25">
      <c r="A524">
        <v>523</v>
      </c>
      <c r="B524" t="s">
        <v>757</v>
      </c>
      <c r="C524" t="s">
        <v>758</v>
      </c>
      <c r="D524" t="s">
        <v>88</v>
      </c>
      <c r="E524" t="s">
        <v>750</v>
      </c>
      <c r="F524" t="s">
        <v>15</v>
      </c>
      <c r="G524" t="s">
        <v>32</v>
      </c>
      <c r="H524" t="s">
        <v>755</v>
      </c>
      <c r="I524" t="s">
        <v>756</v>
      </c>
      <c r="J524" t="s">
        <v>1126</v>
      </c>
      <c r="K524" t="s">
        <v>388</v>
      </c>
    </row>
    <row r="525" spans="1:11" x14ac:dyDescent="0.25">
      <c r="A525">
        <v>524</v>
      </c>
      <c r="B525" t="s">
        <v>183</v>
      </c>
      <c r="C525" t="s">
        <v>184</v>
      </c>
      <c r="D525" t="s">
        <v>23</v>
      </c>
      <c r="E525" t="s">
        <v>993</v>
      </c>
      <c r="F525" t="s">
        <v>102</v>
      </c>
      <c r="G525" t="s">
        <v>25</v>
      </c>
      <c r="H525" t="s">
        <v>994</v>
      </c>
      <c r="I525" t="s">
        <v>995</v>
      </c>
      <c r="J525" t="s">
        <v>1126</v>
      </c>
      <c r="K525" t="s">
        <v>176</v>
      </c>
    </row>
    <row r="526" spans="1:11" x14ac:dyDescent="0.25">
      <c r="A526">
        <v>525</v>
      </c>
      <c r="B526" t="s">
        <v>1129</v>
      </c>
      <c r="C526" t="s">
        <v>1130</v>
      </c>
      <c r="D526" t="s">
        <v>45</v>
      </c>
      <c r="E526" t="s">
        <v>1131</v>
      </c>
      <c r="F526" t="s">
        <v>15</v>
      </c>
      <c r="G526" t="s">
        <v>58</v>
      </c>
      <c r="H526" t="s">
        <v>596</v>
      </c>
      <c r="I526" t="s">
        <v>1132</v>
      </c>
      <c r="J526" t="s">
        <v>1126</v>
      </c>
      <c r="K526" t="s">
        <v>687</v>
      </c>
    </row>
    <row r="527" spans="1:11" x14ac:dyDescent="0.25">
      <c r="A527">
        <v>526</v>
      </c>
      <c r="B527" t="s">
        <v>1133</v>
      </c>
      <c r="C527" t="s">
        <v>1134</v>
      </c>
      <c r="D527" t="s">
        <v>45</v>
      </c>
      <c r="E527" t="s">
        <v>1135</v>
      </c>
      <c r="F527" t="s">
        <v>15</v>
      </c>
      <c r="G527" t="s">
        <v>63</v>
      </c>
      <c r="H527" t="s">
        <v>60</v>
      </c>
      <c r="I527" t="s">
        <v>1136</v>
      </c>
      <c r="J527" t="s">
        <v>1126</v>
      </c>
      <c r="K527" t="s">
        <v>687</v>
      </c>
    </row>
    <row r="528" spans="1:11" x14ac:dyDescent="0.25">
      <c r="A528">
        <v>527</v>
      </c>
      <c r="B528" t="s">
        <v>1137</v>
      </c>
      <c r="C528" t="s">
        <v>1138</v>
      </c>
      <c r="D528" t="s">
        <v>45</v>
      </c>
      <c r="E528" t="s">
        <v>284</v>
      </c>
      <c r="F528" t="s">
        <v>15</v>
      </c>
      <c r="G528" t="s">
        <v>58</v>
      </c>
      <c r="H528" t="s">
        <v>596</v>
      </c>
      <c r="I528" t="s">
        <v>790</v>
      </c>
      <c r="J528" t="s">
        <v>1126</v>
      </c>
      <c r="K528" t="s">
        <v>687</v>
      </c>
    </row>
    <row r="529" spans="1:11" x14ac:dyDescent="0.25">
      <c r="A529">
        <v>528</v>
      </c>
      <c r="B529" t="s">
        <v>1023</v>
      </c>
      <c r="C529" t="s">
        <v>1024</v>
      </c>
      <c r="D529" t="s">
        <v>13</v>
      </c>
      <c r="E529" t="s">
        <v>1139</v>
      </c>
      <c r="F529" t="s">
        <v>15</v>
      </c>
      <c r="G529" t="s">
        <v>47</v>
      </c>
      <c r="H529" t="s">
        <v>643</v>
      </c>
      <c r="I529" t="s">
        <v>1140</v>
      </c>
      <c r="J529" t="s">
        <v>1126</v>
      </c>
      <c r="K529" t="s">
        <v>687</v>
      </c>
    </row>
    <row r="530" spans="1:11" x14ac:dyDescent="0.25">
      <c r="A530">
        <v>529</v>
      </c>
      <c r="B530" t="s">
        <v>413</v>
      </c>
      <c r="C530" t="s">
        <v>414</v>
      </c>
      <c r="D530" t="s">
        <v>194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 t="s">
        <v>1126</v>
      </c>
      <c r="K530" t="s">
        <v>687</v>
      </c>
    </row>
    <row r="531" spans="1:11" x14ac:dyDescent="0.25">
      <c r="A531">
        <v>530</v>
      </c>
      <c r="B531" t="s">
        <v>502</v>
      </c>
      <c r="C531" t="s">
        <v>503</v>
      </c>
      <c r="D531" t="s">
        <v>220</v>
      </c>
      <c r="E531" t="s">
        <v>326</v>
      </c>
      <c r="F531" t="s">
        <v>15</v>
      </c>
      <c r="G531" t="s">
        <v>125</v>
      </c>
      <c r="H531" t="s">
        <v>1141</v>
      </c>
      <c r="I531" t="s">
        <v>160</v>
      </c>
      <c r="J531" t="s">
        <v>1126</v>
      </c>
      <c r="K531" t="s">
        <v>1142</v>
      </c>
    </row>
    <row r="532" spans="1:11" x14ac:dyDescent="0.25">
      <c r="A532">
        <v>531</v>
      </c>
      <c r="B532" t="s">
        <v>324</v>
      </c>
      <c r="C532" t="s">
        <v>325</v>
      </c>
      <c r="D532" t="s">
        <v>220</v>
      </c>
      <c r="E532" t="s">
        <v>326</v>
      </c>
      <c r="F532" t="s">
        <v>15</v>
      </c>
      <c r="G532" t="s">
        <v>125</v>
      </c>
      <c r="H532" t="s">
        <v>1141</v>
      </c>
      <c r="I532" t="s">
        <v>160</v>
      </c>
      <c r="J532" t="s">
        <v>1126</v>
      </c>
      <c r="K532" t="s">
        <v>1142</v>
      </c>
    </row>
    <row r="533" spans="1:11" x14ac:dyDescent="0.25">
      <c r="A533">
        <v>532</v>
      </c>
      <c r="B533" t="s">
        <v>452</v>
      </c>
      <c r="C533" t="s">
        <v>453</v>
      </c>
      <c r="D533" t="s">
        <v>88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 t="s">
        <v>1126</v>
      </c>
      <c r="K533" t="s">
        <v>1143</v>
      </c>
    </row>
    <row r="534" spans="1:11" x14ac:dyDescent="0.25">
      <c r="A534">
        <v>533</v>
      </c>
      <c r="B534" t="s">
        <v>429</v>
      </c>
      <c r="C534" t="s">
        <v>430</v>
      </c>
      <c r="D534" t="s">
        <v>88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1126</v>
      </c>
      <c r="K534" t="s">
        <v>1143</v>
      </c>
    </row>
    <row r="535" spans="1:11" x14ac:dyDescent="0.25">
      <c r="A535">
        <v>534</v>
      </c>
      <c r="B535" t="s">
        <v>259</v>
      </c>
      <c r="C535" t="s">
        <v>260</v>
      </c>
      <c r="D535" t="s">
        <v>88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1126</v>
      </c>
      <c r="K535" t="s">
        <v>1143</v>
      </c>
    </row>
    <row r="536" spans="1:11" x14ac:dyDescent="0.25">
      <c r="A536">
        <v>535</v>
      </c>
      <c r="B536" t="s">
        <v>261</v>
      </c>
      <c r="C536" t="s">
        <v>262</v>
      </c>
      <c r="D536" t="s">
        <v>88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 t="s">
        <v>1126</v>
      </c>
      <c r="K536" t="s">
        <v>1143</v>
      </c>
    </row>
    <row r="537" spans="1:11" x14ac:dyDescent="0.25">
      <c r="A537">
        <v>536</v>
      </c>
      <c r="B537" t="s">
        <v>80</v>
      </c>
      <c r="C537" t="s">
        <v>81</v>
      </c>
      <c r="D537" t="s">
        <v>13</v>
      </c>
      <c r="E537" t="s">
        <v>1144</v>
      </c>
      <c r="F537" t="s">
        <v>47</v>
      </c>
      <c r="G537" t="s">
        <v>102</v>
      </c>
      <c r="H537" t="s">
        <v>574</v>
      </c>
      <c r="I537" t="s">
        <v>1145</v>
      </c>
      <c r="J537" t="s">
        <v>1126</v>
      </c>
      <c r="K537" t="s">
        <v>206</v>
      </c>
    </row>
    <row r="538" spans="1:11" x14ac:dyDescent="0.25">
      <c r="A538">
        <v>537</v>
      </c>
      <c r="B538" t="s">
        <v>1146</v>
      </c>
      <c r="C538" t="s">
        <v>1147</v>
      </c>
      <c r="D538" t="s">
        <v>13</v>
      </c>
      <c r="E538" t="s">
        <v>1148</v>
      </c>
      <c r="F538" t="s">
        <v>15</v>
      </c>
      <c r="G538" t="s">
        <v>741</v>
      </c>
      <c r="H538" t="s">
        <v>1149</v>
      </c>
      <c r="I538" t="s">
        <v>1150</v>
      </c>
      <c r="J538" t="s">
        <v>1126</v>
      </c>
      <c r="K538" t="s">
        <v>206</v>
      </c>
    </row>
    <row r="539" spans="1:11" x14ac:dyDescent="0.25">
      <c r="A539">
        <v>538</v>
      </c>
      <c r="B539" t="s">
        <v>502</v>
      </c>
      <c r="C539" t="s">
        <v>503</v>
      </c>
      <c r="D539" t="s">
        <v>220</v>
      </c>
      <c r="E539" t="s">
        <v>326</v>
      </c>
      <c r="F539" t="s">
        <v>15</v>
      </c>
      <c r="G539" t="s">
        <v>125</v>
      </c>
      <c r="H539" t="s">
        <v>1141</v>
      </c>
      <c r="I539" t="s">
        <v>160</v>
      </c>
      <c r="J539" t="s">
        <v>1126</v>
      </c>
      <c r="K539" t="s">
        <v>1151</v>
      </c>
    </row>
    <row r="540" spans="1:11" x14ac:dyDescent="0.25">
      <c r="A540">
        <v>539</v>
      </c>
      <c r="B540" t="s">
        <v>324</v>
      </c>
      <c r="C540" t="s">
        <v>325</v>
      </c>
      <c r="D540" t="s">
        <v>220</v>
      </c>
      <c r="E540" t="s">
        <v>326</v>
      </c>
      <c r="F540" t="s">
        <v>15</v>
      </c>
      <c r="G540" t="s">
        <v>125</v>
      </c>
      <c r="H540" t="s">
        <v>1141</v>
      </c>
      <c r="I540" t="s">
        <v>160</v>
      </c>
      <c r="J540" t="s">
        <v>1126</v>
      </c>
      <c r="K540" t="s">
        <v>1151</v>
      </c>
    </row>
    <row r="541" spans="1:11" x14ac:dyDescent="0.25">
      <c r="A541">
        <v>540</v>
      </c>
      <c r="B541" t="s">
        <v>1152</v>
      </c>
      <c r="C541" t="s">
        <v>1153</v>
      </c>
      <c r="D541" t="s">
        <v>88</v>
      </c>
      <c r="E541" t="s">
        <v>1154</v>
      </c>
      <c r="F541" t="s">
        <v>15</v>
      </c>
      <c r="G541" t="s">
        <v>90</v>
      </c>
      <c r="H541" t="s">
        <v>1155</v>
      </c>
      <c r="I541" t="s">
        <v>1156</v>
      </c>
      <c r="J541" t="s">
        <v>1126</v>
      </c>
      <c r="K541" t="s">
        <v>1151</v>
      </c>
    </row>
    <row r="542" spans="1:11" x14ac:dyDescent="0.25">
      <c r="A542">
        <v>541</v>
      </c>
      <c r="B542" t="s">
        <v>1157</v>
      </c>
      <c r="C542" t="s">
        <v>1158</v>
      </c>
      <c r="D542" t="s">
        <v>88</v>
      </c>
      <c r="E542" t="s">
        <v>1154</v>
      </c>
      <c r="F542" t="s">
        <v>15</v>
      </c>
      <c r="G542" t="s">
        <v>90</v>
      </c>
      <c r="H542" t="s">
        <v>1155</v>
      </c>
      <c r="I542" t="s">
        <v>1156</v>
      </c>
      <c r="J542" t="s">
        <v>1126</v>
      </c>
      <c r="K542" t="s">
        <v>1151</v>
      </c>
    </row>
    <row r="543" spans="1:11" x14ac:dyDescent="0.25">
      <c r="A543">
        <v>542</v>
      </c>
      <c r="B543" t="s">
        <v>1159</v>
      </c>
      <c r="C543" t="s">
        <v>1160</v>
      </c>
      <c r="D543" t="s">
        <v>88</v>
      </c>
      <c r="E543" t="s">
        <v>1154</v>
      </c>
      <c r="F543" t="s">
        <v>15</v>
      </c>
      <c r="G543" t="s">
        <v>90</v>
      </c>
      <c r="H543" t="s">
        <v>1155</v>
      </c>
      <c r="I543" t="s">
        <v>1156</v>
      </c>
      <c r="J543" t="s">
        <v>1126</v>
      </c>
      <c r="K543" t="s">
        <v>1151</v>
      </c>
    </row>
    <row r="544" spans="1:11" x14ac:dyDescent="0.25">
      <c r="A544">
        <v>543</v>
      </c>
      <c r="B544" t="s">
        <v>947</v>
      </c>
      <c r="C544" t="s">
        <v>948</v>
      </c>
      <c r="D544" t="s">
        <v>13</v>
      </c>
      <c r="E544" t="s">
        <v>787</v>
      </c>
      <c r="F544" t="s">
        <v>15</v>
      </c>
      <c r="G544" t="s">
        <v>63</v>
      </c>
      <c r="H544" t="s">
        <v>60</v>
      </c>
      <c r="I544" t="s">
        <v>490</v>
      </c>
      <c r="J544" t="s">
        <v>1126</v>
      </c>
      <c r="K544" t="s">
        <v>1151</v>
      </c>
    </row>
    <row r="545" spans="1:11" x14ac:dyDescent="0.25">
      <c r="A545">
        <v>544</v>
      </c>
      <c r="B545" t="s">
        <v>1152</v>
      </c>
      <c r="C545" t="s">
        <v>1153</v>
      </c>
      <c r="D545" t="s">
        <v>88</v>
      </c>
      <c r="E545" t="s">
        <v>1154</v>
      </c>
      <c r="F545" t="s">
        <v>15</v>
      </c>
      <c r="G545" t="s">
        <v>90</v>
      </c>
      <c r="H545" t="s">
        <v>1155</v>
      </c>
      <c r="I545" t="s">
        <v>1156</v>
      </c>
      <c r="J545" t="s">
        <v>1126</v>
      </c>
      <c r="K545" t="s">
        <v>1161</v>
      </c>
    </row>
    <row r="546" spans="1:11" x14ac:dyDescent="0.25">
      <c r="A546">
        <v>545</v>
      </c>
      <c r="B546" t="s">
        <v>1157</v>
      </c>
      <c r="C546" t="s">
        <v>1158</v>
      </c>
      <c r="D546" t="s">
        <v>88</v>
      </c>
      <c r="E546" t="s">
        <v>1154</v>
      </c>
      <c r="F546" t="s">
        <v>15</v>
      </c>
      <c r="G546" t="s">
        <v>90</v>
      </c>
      <c r="H546" t="s">
        <v>1155</v>
      </c>
      <c r="I546" t="s">
        <v>1156</v>
      </c>
      <c r="J546" t="s">
        <v>1126</v>
      </c>
      <c r="K546" t="s">
        <v>1161</v>
      </c>
    </row>
    <row r="547" spans="1:11" x14ac:dyDescent="0.25">
      <c r="A547">
        <v>546</v>
      </c>
      <c r="B547" t="s">
        <v>1159</v>
      </c>
      <c r="C547" t="s">
        <v>1160</v>
      </c>
      <c r="D547" t="s">
        <v>88</v>
      </c>
      <c r="E547" t="s">
        <v>1154</v>
      </c>
      <c r="F547" t="s">
        <v>15</v>
      </c>
      <c r="G547" t="s">
        <v>90</v>
      </c>
      <c r="H547" t="s">
        <v>1155</v>
      </c>
      <c r="I547" t="s">
        <v>1156</v>
      </c>
      <c r="J547" t="s">
        <v>1126</v>
      </c>
      <c r="K547" t="s">
        <v>1161</v>
      </c>
    </row>
    <row r="548" spans="1:11" x14ac:dyDescent="0.25">
      <c r="A548">
        <v>547</v>
      </c>
      <c r="B548" t="s">
        <v>922</v>
      </c>
      <c r="C548" t="s">
        <v>923</v>
      </c>
      <c r="D548" t="s">
        <v>85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1126</v>
      </c>
      <c r="K548" t="s">
        <v>119</v>
      </c>
    </row>
    <row r="549" spans="1:11" x14ac:dyDescent="0.25">
      <c r="A549">
        <v>548</v>
      </c>
      <c r="B549" t="s">
        <v>683</v>
      </c>
      <c r="C549" t="s">
        <v>684</v>
      </c>
      <c r="D549" t="s">
        <v>45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1126</v>
      </c>
      <c r="K549" t="s">
        <v>119</v>
      </c>
    </row>
    <row r="550" spans="1:11" x14ac:dyDescent="0.25">
      <c r="A550">
        <v>549</v>
      </c>
      <c r="B550" t="s">
        <v>717</v>
      </c>
      <c r="C550" t="s">
        <v>718</v>
      </c>
      <c r="D550" t="s">
        <v>88</v>
      </c>
      <c r="E550" t="s">
        <v>1162</v>
      </c>
      <c r="F550" t="s">
        <v>15</v>
      </c>
      <c r="G550" t="s">
        <v>102</v>
      </c>
      <c r="H550" t="s">
        <v>464</v>
      </c>
      <c r="I550" t="s">
        <v>1117</v>
      </c>
      <c r="J550" t="s">
        <v>1126</v>
      </c>
      <c r="K550" t="s">
        <v>119</v>
      </c>
    </row>
    <row r="551" spans="1:11" x14ac:dyDescent="0.25">
      <c r="A551">
        <v>550</v>
      </c>
      <c r="B551" t="s">
        <v>753</v>
      </c>
      <c r="C551" t="s">
        <v>754</v>
      </c>
      <c r="D551" t="s">
        <v>88</v>
      </c>
      <c r="E551" t="s">
        <v>1163</v>
      </c>
      <c r="F551" t="s">
        <v>15</v>
      </c>
      <c r="G551" t="s">
        <v>1164</v>
      </c>
      <c r="H551" t="s">
        <v>461</v>
      </c>
      <c r="I551" t="s">
        <v>1165</v>
      </c>
      <c r="J551" t="s">
        <v>1126</v>
      </c>
      <c r="K551" t="s">
        <v>119</v>
      </c>
    </row>
    <row r="552" spans="1:11" x14ac:dyDescent="0.25">
      <c r="A552">
        <v>551</v>
      </c>
      <c r="B552" t="s">
        <v>757</v>
      </c>
      <c r="C552" t="s">
        <v>758</v>
      </c>
      <c r="D552" t="s">
        <v>88</v>
      </c>
      <c r="E552" t="s">
        <v>1163</v>
      </c>
      <c r="F552" t="s">
        <v>15</v>
      </c>
      <c r="G552" t="s">
        <v>1164</v>
      </c>
      <c r="H552" t="s">
        <v>461</v>
      </c>
      <c r="I552" t="s">
        <v>1165</v>
      </c>
      <c r="J552" t="s">
        <v>1126</v>
      </c>
      <c r="K552" t="s">
        <v>119</v>
      </c>
    </row>
    <row r="553" spans="1:11" x14ac:dyDescent="0.25">
      <c r="A553">
        <v>552</v>
      </c>
      <c r="B553" t="s">
        <v>701</v>
      </c>
      <c r="C553" t="s">
        <v>702</v>
      </c>
      <c r="D553" t="s">
        <v>45</v>
      </c>
      <c r="E553" t="s">
        <v>15</v>
      </c>
      <c r="F553" t="s">
        <v>125</v>
      </c>
      <c r="G553" t="s">
        <v>15</v>
      </c>
      <c r="H553" t="s">
        <v>703</v>
      </c>
      <c r="I553" t="s">
        <v>703</v>
      </c>
      <c r="J553" t="s">
        <v>1126</v>
      </c>
      <c r="K553" t="s">
        <v>119</v>
      </c>
    </row>
    <row r="554" spans="1:11" x14ac:dyDescent="0.25">
      <c r="A554">
        <v>553</v>
      </c>
      <c r="B554" t="s">
        <v>1166</v>
      </c>
      <c r="C554" t="s">
        <v>1167</v>
      </c>
      <c r="D554" t="s">
        <v>88</v>
      </c>
      <c r="E554" t="s">
        <v>1168</v>
      </c>
      <c r="F554" t="s">
        <v>15</v>
      </c>
      <c r="G554" t="s">
        <v>290</v>
      </c>
      <c r="H554" t="s">
        <v>514</v>
      </c>
      <c r="I554" t="s">
        <v>1169</v>
      </c>
      <c r="J554" t="s">
        <v>1126</v>
      </c>
      <c r="K554" t="s">
        <v>724</v>
      </c>
    </row>
    <row r="555" spans="1:11" x14ac:dyDescent="0.25">
      <c r="A555">
        <v>554</v>
      </c>
      <c r="B555" t="s">
        <v>1170</v>
      </c>
      <c r="C555" t="s">
        <v>1171</v>
      </c>
      <c r="D555" t="s">
        <v>88</v>
      </c>
      <c r="E555" t="s">
        <v>1168</v>
      </c>
      <c r="F555" t="s">
        <v>15</v>
      </c>
      <c r="G555" t="s">
        <v>290</v>
      </c>
      <c r="H555" t="s">
        <v>514</v>
      </c>
      <c r="I555" t="s">
        <v>1169</v>
      </c>
      <c r="J555" t="s">
        <v>1126</v>
      </c>
      <c r="K555" t="s">
        <v>724</v>
      </c>
    </row>
    <row r="556" spans="1:11" x14ac:dyDescent="0.25">
      <c r="A556">
        <v>555</v>
      </c>
      <c r="B556" t="s">
        <v>251</v>
      </c>
      <c r="C556" t="s">
        <v>252</v>
      </c>
      <c r="D556" t="s">
        <v>88</v>
      </c>
      <c r="E556" t="s">
        <v>15</v>
      </c>
      <c r="F556" t="s">
        <v>47</v>
      </c>
      <c r="G556" t="s">
        <v>15</v>
      </c>
      <c r="H556" t="s">
        <v>1067</v>
      </c>
      <c r="I556" t="s">
        <v>1067</v>
      </c>
      <c r="J556" t="s">
        <v>1126</v>
      </c>
      <c r="K556" t="s">
        <v>1172</v>
      </c>
    </row>
    <row r="557" spans="1:11" x14ac:dyDescent="0.25">
      <c r="A557">
        <v>556</v>
      </c>
      <c r="B557" t="s">
        <v>259</v>
      </c>
      <c r="C557" t="s">
        <v>260</v>
      </c>
      <c r="D557" t="s">
        <v>88</v>
      </c>
      <c r="E557" t="s">
        <v>464</v>
      </c>
      <c r="F557" t="s">
        <v>15</v>
      </c>
      <c r="G557" t="s">
        <v>47</v>
      </c>
      <c r="H557" t="s">
        <v>462</v>
      </c>
      <c r="I557" t="s">
        <v>465</v>
      </c>
      <c r="J557" t="s">
        <v>1126</v>
      </c>
      <c r="K557" t="s">
        <v>1172</v>
      </c>
    </row>
    <row r="558" spans="1:11" x14ac:dyDescent="0.25">
      <c r="A558">
        <v>557</v>
      </c>
      <c r="B558" t="s">
        <v>251</v>
      </c>
      <c r="C558" t="s">
        <v>252</v>
      </c>
      <c r="D558" t="s">
        <v>88</v>
      </c>
      <c r="E558" t="s">
        <v>15</v>
      </c>
      <c r="F558" t="s">
        <v>290</v>
      </c>
      <c r="G558" t="s">
        <v>15</v>
      </c>
      <c r="H558" t="s">
        <v>953</v>
      </c>
      <c r="I558" t="s">
        <v>953</v>
      </c>
      <c r="J558" t="s">
        <v>1126</v>
      </c>
      <c r="K558" t="s">
        <v>1173</v>
      </c>
    </row>
    <row r="559" spans="1:11" x14ac:dyDescent="0.25">
      <c r="A559">
        <v>558</v>
      </c>
      <c r="B559" t="s">
        <v>259</v>
      </c>
      <c r="C559" t="s">
        <v>260</v>
      </c>
      <c r="D559" t="s">
        <v>88</v>
      </c>
      <c r="E559" t="s">
        <v>27</v>
      </c>
      <c r="F559" t="s">
        <v>15</v>
      </c>
      <c r="G559" t="s">
        <v>290</v>
      </c>
      <c r="H559" t="s">
        <v>431</v>
      </c>
      <c r="I559" t="s">
        <v>432</v>
      </c>
      <c r="J559" t="s">
        <v>1126</v>
      </c>
      <c r="K559" t="s">
        <v>1173</v>
      </c>
    </row>
    <row r="560" spans="1:11" x14ac:dyDescent="0.25">
      <c r="A560">
        <v>559</v>
      </c>
      <c r="B560" t="s">
        <v>281</v>
      </c>
      <c r="C560" t="s">
        <v>282</v>
      </c>
      <c r="D560" t="s">
        <v>85</v>
      </c>
      <c r="E560" t="s">
        <v>852</v>
      </c>
      <c r="F560" t="s">
        <v>15</v>
      </c>
      <c r="G560" t="s">
        <v>32</v>
      </c>
      <c r="H560" t="s">
        <v>380</v>
      </c>
      <c r="I560" t="s">
        <v>490</v>
      </c>
      <c r="J560" t="s">
        <v>1126</v>
      </c>
      <c r="K560" t="s">
        <v>1173</v>
      </c>
    </row>
    <row r="561" spans="1:11" x14ac:dyDescent="0.25">
      <c r="A561">
        <v>560</v>
      </c>
      <c r="B561" t="s">
        <v>947</v>
      </c>
      <c r="C561" t="s">
        <v>948</v>
      </c>
      <c r="D561" t="s">
        <v>13</v>
      </c>
      <c r="E561" t="s">
        <v>787</v>
      </c>
      <c r="F561" t="s">
        <v>15</v>
      </c>
      <c r="G561" t="s">
        <v>63</v>
      </c>
      <c r="H561" t="s">
        <v>60</v>
      </c>
      <c r="I561" t="s">
        <v>490</v>
      </c>
      <c r="J561" t="s">
        <v>1126</v>
      </c>
      <c r="K561" t="s">
        <v>1173</v>
      </c>
    </row>
    <row r="562" spans="1:11" x14ac:dyDescent="0.25">
      <c r="A562">
        <v>561</v>
      </c>
      <c r="B562" t="s">
        <v>502</v>
      </c>
      <c r="C562" t="s">
        <v>503</v>
      </c>
      <c r="D562" t="s">
        <v>220</v>
      </c>
      <c r="E562" t="s">
        <v>326</v>
      </c>
      <c r="F562" t="s">
        <v>15</v>
      </c>
      <c r="G562" t="s">
        <v>125</v>
      </c>
      <c r="H562" t="s">
        <v>109</v>
      </c>
      <c r="I562" t="s">
        <v>104</v>
      </c>
      <c r="J562" t="s">
        <v>1126</v>
      </c>
      <c r="K562" t="s">
        <v>1174</v>
      </c>
    </row>
    <row r="563" spans="1:11" x14ac:dyDescent="0.25">
      <c r="A563">
        <v>562</v>
      </c>
      <c r="B563" t="s">
        <v>147</v>
      </c>
      <c r="C563" t="s">
        <v>148</v>
      </c>
      <c r="D563" t="s">
        <v>149</v>
      </c>
      <c r="E563" t="s">
        <v>150</v>
      </c>
      <c r="F563" t="s">
        <v>15</v>
      </c>
      <c r="G563" t="s">
        <v>136</v>
      </c>
      <c r="H563" t="s">
        <v>755</v>
      </c>
      <c r="I563" t="s">
        <v>634</v>
      </c>
      <c r="J563" t="s">
        <v>1126</v>
      </c>
      <c r="K563" t="s">
        <v>1174</v>
      </c>
    </row>
    <row r="564" spans="1:11" x14ac:dyDescent="0.25">
      <c r="A564">
        <v>563</v>
      </c>
      <c r="B564" t="s">
        <v>1152</v>
      </c>
      <c r="C564" t="s">
        <v>1153</v>
      </c>
      <c r="D564" t="s">
        <v>88</v>
      </c>
      <c r="E564" t="s">
        <v>1154</v>
      </c>
      <c r="F564" t="s">
        <v>15</v>
      </c>
      <c r="G564" t="s">
        <v>90</v>
      </c>
      <c r="H564" t="s">
        <v>1155</v>
      </c>
      <c r="I564" t="s">
        <v>1156</v>
      </c>
      <c r="J564" t="s">
        <v>1126</v>
      </c>
      <c r="K564" t="s">
        <v>525</v>
      </c>
    </row>
    <row r="565" spans="1:11" x14ac:dyDescent="0.25">
      <c r="A565">
        <v>564</v>
      </c>
      <c r="B565" t="s">
        <v>1157</v>
      </c>
      <c r="C565" t="s">
        <v>1158</v>
      </c>
      <c r="D565" t="s">
        <v>88</v>
      </c>
      <c r="E565" t="s">
        <v>1154</v>
      </c>
      <c r="F565" t="s">
        <v>15</v>
      </c>
      <c r="G565" t="s">
        <v>90</v>
      </c>
      <c r="H565" t="s">
        <v>1155</v>
      </c>
      <c r="I565" t="s">
        <v>1156</v>
      </c>
      <c r="J565" t="s">
        <v>1126</v>
      </c>
      <c r="K565" t="s">
        <v>525</v>
      </c>
    </row>
    <row r="566" spans="1:11" x14ac:dyDescent="0.25">
      <c r="A566">
        <v>565</v>
      </c>
      <c r="B566" t="s">
        <v>1159</v>
      </c>
      <c r="C566" t="s">
        <v>1160</v>
      </c>
      <c r="D566" t="s">
        <v>88</v>
      </c>
      <c r="E566" t="s">
        <v>1175</v>
      </c>
      <c r="F566" t="s">
        <v>15</v>
      </c>
      <c r="G566" t="s">
        <v>125</v>
      </c>
      <c r="H566" t="s">
        <v>897</v>
      </c>
      <c r="I566" t="s">
        <v>1176</v>
      </c>
      <c r="J566" t="s">
        <v>1126</v>
      </c>
      <c r="K566" t="s">
        <v>525</v>
      </c>
    </row>
    <row r="567" spans="1:11" x14ac:dyDescent="0.25">
      <c r="A567">
        <v>566</v>
      </c>
      <c r="B567" t="s">
        <v>1177</v>
      </c>
      <c r="C567" t="s">
        <v>1178</v>
      </c>
      <c r="D567" t="s">
        <v>13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1126</v>
      </c>
      <c r="K567" t="s">
        <v>525</v>
      </c>
    </row>
    <row r="568" spans="1:11" x14ac:dyDescent="0.25">
      <c r="A568">
        <v>567</v>
      </c>
      <c r="B568" t="s">
        <v>540</v>
      </c>
      <c r="C568" t="s">
        <v>541</v>
      </c>
      <c r="D568" t="s">
        <v>339</v>
      </c>
      <c r="E568" t="s">
        <v>1179</v>
      </c>
      <c r="F568" t="s">
        <v>15</v>
      </c>
      <c r="G568" t="s">
        <v>102</v>
      </c>
      <c r="H568" t="s">
        <v>1180</v>
      </c>
      <c r="I568" t="s">
        <v>1181</v>
      </c>
      <c r="J568" t="s">
        <v>1182</v>
      </c>
      <c r="K568" t="s">
        <v>166</v>
      </c>
    </row>
    <row r="569" spans="1:11" x14ac:dyDescent="0.25">
      <c r="A569">
        <v>568</v>
      </c>
      <c r="B569" t="s">
        <v>793</v>
      </c>
      <c r="C569" t="s">
        <v>794</v>
      </c>
      <c r="D569" t="s">
        <v>13</v>
      </c>
      <c r="E569" t="s">
        <v>562</v>
      </c>
      <c r="F569" t="s">
        <v>15</v>
      </c>
      <c r="G569" t="s">
        <v>1183</v>
      </c>
      <c r="H569" t="s">
        <v>1184</v>
      </c>
      <c r="I569" t="s">
        <v>1185</v>
      </c>
      <c r="J569" t="s">
        <v>1182</v>
      </c>
      <c r="K569" t="s">
        <v>553</v>
      </c>
    </row>
    <row r="570" spans="1:11" x14ac:dyDescent="0.25">
      <c r="A570">
        <v>569</v>
      </c>
      <c r="B570" t="s">
        <v>613</v>
      </c>
      <c r="C570" t="s">
        <v>614</v>
      </c>
      <c r="D570" t="s">
        <v>88</v>
      </c>
      <c r="E570" t="s">
        <v>615</v>
      </c>
      <c r="F570" t="s">
        <v>15</v>
      </c>
      <c r="G570" t="s">
        <v>125</v>
      </c>
      <c r="H570" t="s">
        <v>72</v>
      </c>
      <c r="I570" t="s">
        <v>616</v>
      </c>
      <c r="J570" t="s">
        <v>1182</v>
      </c>
      <c r="K570" t="s">
        <v>329</v>
      </c>
    </row>
    <row r="571" spans="1:11" x14ac:dyDescent="0.25">
      <c r="A571">
        <v>570</v>
      </c>
      <c r="B571" t="s">
        <v>618</v>
      </c>
      <c r="C571" t="s">
        <v>619</v>
      </c>
      <c r="D571" t="s">
        <v>88</v>
      </c>
      <c r="E571" t="s">
        <v>615</v>
      </c>
      <c r="F571" t="s">
        <v>15</v>
      </c>
      <c r="G571" t="s">
        <v>125</v>
      </c>
      <c r="H571" t="s">
        <v>72</v>
      </c>
      <c r="I571" t="s">
        <v>616</v>
      </c>
      <c r="J571" t="s">
        <v>1182</v>
      </c>
      <c r="K571" t="s">
        <v>329</v>
      </c>
    </row>
    <row r="572" spans="1:11" x14ac:dyDescent="0.25">
      <c r="A572">
        <v>571</v>
      </c>
      <c r="B572" t="s">
        <v>1186</v>
      </c>
      <c r="C572" t="s">
        <v>1187</v>
      </c>
      <c r="D572" t="s">
        <v>88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1182</v>
      </c>
      <c r="K572" t="s">
        <v>329</v>
      </c>
    </row>
    <row r="573" spans="1:11" x14ac:dyDescent="0.25">
      <c r="A573">
        <v>572</v>
      </c>
      <c r="B573" t="s">
        <v>753</v>
      </c>
      <c r="C573" t="s">
        <v>754</v>
      </c>
      <c r="D573" t="s">
        <v>88</v>
      </c>
      <c r="E573" t="s">
        <v>719</v>
      </c>
      <c r="F573" t="s">
        <v>15</v>
      </c>
      <c r="G573" t="s">
        <v>47</v>
      </c>
      <c r="H573" t="s">
        <v>27</v>
      </c>
      <c r="I573" t="s">
        <v>1188</v>
      </c>
      <c r="J573" t="s">
        <v>1182</v>
      </c>
      <c r="K573" t="s">
        <v>329</v>
      </c>
    </row>
    <row r="574" spans="1:11" x14ac:dyDescent="0.25">
      <c r="A574">
        <v>573</v>
      </c>
      <c r="B574" t="s">
        <v>757</v>
      </c>
      <c r="C574" t="s">
        <v>758</v>
      </c>
      <c r="D574" t="s">
        <v>88</v>
      </c>
      <c r="E574" t="s">
        <v>719</v>
      </c>
      <c r="F574" t="s">
        <v>125</v>
      </c>
      <c r="G574" t="s">
        <v>47</v>
      </c>
      <c r="H574" t="s">
        <v>27</v>
      </c>
      <c r="I574" t="s">
        <v>1188</v>
      </c>
      <c r="J574" t="s">
        <v>1182</v>
      </c>
      <c r="K574" t="s">
        <v>329</v>
      </c>
    </row>
    <row r="575" spans="1:11" x14ac:dyDescent="0.25">
      <c r="A575">
        <v>574</v>
      </c>
      <c r="B575" t="s">
        <v>1189</v>
      </c>
      <c r="C575" t="s">
        <v>1190</v>
      </c>
      <c r="D575" t="s">
        <v>13</v>
      </c>
      <c r="E575" t="s">
        <v>1191</v>
      </c>
      <c r="F575" t="s">
        <v>15</v>
      </c>
      <c r="G575" t="s">
        <v>58</v>
      </c>
      <c r="H575" t="s">
        <v>1192</v>
      </c>
      <c r="I575" t="s">
        <v>1193</v>
      </c>
      <c r="J575" t="s">
        <v>1182</v>
      </c>
      <c r="K575" t="s">
        <v>329</v>
      </c>
    </row>
    <row r="576" spans="1:11" x14ac:dyDescent="0.25">
      <c r="A576">
        <v>575</v>
      </c>
      <c r="B576" t="s">
        <v>218</v>
      </c>
      <c r="C576" t="s">
        <v>219</v>
      </c>
      <c r="D576" t="s">
        <v>220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  <c r="J576" t="s">
        <v>1194</v>
      </c>
      <c r="K576" t="s">
        <v>316</v>
      </c>
    </row>
    <row r="577" spans="1:11" x14ac:dyDescent="0.25">
      <c r="A577">
        <v>576</v>
      </c>
      <c r="B577" t="s">
        <v>744</v>
      </c>
      <c r="C577" t="s">
        <v>745</v>
      </c>
      <c r="D577" t="s">
        <v>13</v>
      </c>
      <c r="E577" t="s">
        <v>746</v>
      </c>
      <c r="F577" t="s">
        <v>15</v>
      </c>
      <c r="G577" t="s">
        <v>58</v>
      </c>
      <c r="H577" t="s">
        <v>634</v>
      </c>
      <c r="I577" t="s">
        <v>747</v>
      </c>
      <c r="J577" t="s">
        <v>1194</v>
      </c>
      <c r="K577" t="s">
        <v>316</v>
      </c>
    </row>
    <row r="578" spans="1:11" x14ac:dyDescent="0.25">
      <c r="A578">
        <v>577</v>
      </c>
      <c r="B578" t="s">
        <v>748</v>
      </c>
      <c r="C578" t="s">
        <v>749</v>
      </c>
      <c r="D578" t="s">
        <v>13</v>
      </c>
      <c r="E578" t="s">
        <v>746</v>
      </c>
      <c r="F578" t="s">
        <v>15</v>
      </c>
      <c r="G578" t="s">
        <v>58</v>
      </c>
      <c r="H578" t="s">
        <v>634</v>
      </c>
      <c r="I578" t="s">
        <v>747</v>
      </c>
      <c r="J578" t="s">
        <v>1194</v>
      </c>
      <c r="K578" t="s">
        <v>316</v>
      </c>
    </row>
    <row r="579" spans="1:11" x14ac:dyDescent="0.25">
      <c r="A579">
        <v>578</v>
      </c>
      <c r="B579" t="s">
        <v>632</v>
      </c>
      <c r="C579" t="s">
        <v>633</v>
      </c>
      <c r="D579" t="s">
        <v>13</v>
      </c>
      <c r="E579" t="s">
        <v>746</v>
      </c>
      <c r="F579" t="s">
        <v>15</v>
      </c>
      <c r="G579" t="s">
        <v>58</v>
      </c>
      <c r="H579" t="s">
        <v>634</v>
      </c>
      <c r="I579" t="s">
        <v>747</v>
      </c>
      <c r="J579" t="s">
        <v>1194</v>
      </c>
      <c r="K579" t="s">
        <v>316</v>
      </c>
    </row>
    <row r="580" spans="1:11" x14ac:dyDescent="0.25">
      <c r="A580">
        <v>579</v>
      </c>
      <c r="B580" t="s">
        <v>1195</v>
      </c>
      <c r="C580" t="s">
        <v>1196</v>
      </c>
      <c r="D580" t="s">
        <v>88</v>
      </c>
      <c r="E580" t="s">
        <v>652</v>
      </c>
      <c r="F580" t="s">
        <v>15</v>
      </c>
      <c r="G580" t="s">
        <v>290</v>
      </c>
      <c r="H580" t="s">
        <v>211</v>
      </c>
      <c r="I580" t="s">
        <v>1197</v>
      </c>
      <c r="J580" t="s">
        <v>1194</v>
      </c>
      <c r="K580" t="s">
        <v>329</v>
      </c>
    </row>
    <row r="581" spans="1:11" x14ac:dyDescent="0.25">
      <c r="A581">
        <v>580</v>
      </c>
      <c r="B581" t="s">
        <v>1198</v>
      </c>
      <c r="C581" t="s">
        <v>1199</v>
      </c>
      <c r="D581" t="s">
        <v>88</v>
      </c>
      <c r="E581" t="s">
        <v>652</v>
      </c>
      <c r="F581" t="s">
        <v>15</v>
      </c>
      <c r="G581" t="s">
        <v>290</v>
      </c>
      <c r="H581" t="s">
        <v>211</v>
      </c>
      <c r="I581" t="s">
        <v>1197</v>
      </c>
      <c r="J581" t="s">
        <v>1194</v>
      </c>
      <c r="K581" t="s">
        <v>329</v>
      </c>
    </row>
    <row r="582" spans="1:11" x14ac:dyDescent="0.25">
      <c r="A582">
        <v>581</v>
      </c>
      <c r="B582" t="s">
        <v>1200</v>
      </c>
      <c r="C582" t="s">
        <v>1201</v>
      </c>
      <c r="D582" t="s">
        <v>88</v>
      </c>
      <c r="E582" t="s">
        <v>652</v>
      </c>
      <c r="F582" t="s">
        <v>15</v>
      </c>
      <c r="G582" t="s">
        <v>290</v>
      </c>
      <c r="H582" t="s">
        <v>211</v>
      </c>
      <c r="I582" t="s">
        <v>1197</v>
      </c>
      <c r="J582" t="s">
        <v>1194</v>
      </c>
      <c r="K582" t="s">
        <v>329</v>
      </c>
    </row>
    <row r="583" spans="1:11" x14ac:dyDescent="0.25">
      <c r="A583">
        <v>582</v>
      </c>
      <c r="B583" t="s">
        <v>1202</v>
      </c>
      <c r="C583" t="s">
        <v>1203</v>
      </c>
      <c r="D583" t="s">
        <v>88</v>
      </c>
      <c r="E583" t="s">
        <v>652</v>
      </c>
      <c r="F583" t="s">
        <v>15</v>
      </c>
      <c r="G583" t="s">
        <v>290</v>
      </c>
      <c r="H583" t="s">
        <v>211</v>
      </c>
      <c r="I583" t="s">
        <v>1197</v>
      </c>
      <c r="J583" t="s">
        <v>1194</v>
      </c>
      <c r="K583" t="s">
        <v>329</v>
      </c>
    </row>
    <row r="584" spans="1:11" x14ac:dyDescent="0.25">
      <c r="A584">
        <v>583</v>
      </c>
      <c r="B584" t="s">
        <v>147</v>
      </c>
      <c r="C584" t="s">
        <v>148</v>
      </c>
      <c r="D584" t="s">
        <v>149</v>
      </c>
      <c r="E584" t="s">
        <v>150</v>
      </c>
      <c r="F584" t="s">
        <v>15</v>
      </c>
      <c r="G584" t="s">
        <v>136</v>
      </c>
      <c r="H584" t="s">
        <v>151</v>
      </c>
      <c r="I584" t="s">
        <v>152</v>
      </c>
      <c r="J584" t="s">
        <v>1194</v>
      </c>
      <c r="K584" t="s">
        <v>329</v>
      </c>
    </row>
    <row r="585" spans="1:11" x14ac:dyDescent="0.25">
      <c r="A585">
        <v>584</v>
      </c>
      <c r="B585" t="s">
        <v>618</v>
      </c>
      <c r="C585" t="s">
        <v>619</v>
      </c>
      <c r="D585" t="s">
        <v>88</v>
      </c>
      <c r="E585" t="s">
        <v>615</v>
      </c>
      <c r="F585" t="s">
        <v>15</v>
      </c>
      <c r="G585" t="s">
        <v>125</v>
      </c>
      <c r="H585" t="s">
        <v>72</v>
      </c>
      <c r="I585" t="s">
        <v>616</v>
      </c>
      <c r="J585" t="s">
        <v>1194</v>
      </c>
      <c r="K585" t="s">
        <v>329</v>
      </c>
    </row>
    <row r="586" spans="1:11" x14ac:dyDescent="0.25">
      <c r="A586">
        <v>585</v>
      </c>
      <c r="B586" t="s">
        <v>622</v>
      </c>
      <c r="C586" t="s">
        <v>623</v>
      </c>
      <c r="D586" t="s">
        <v>13</v>
      </c>
      <c r="E586" t="s">
        <v>203</v>
      </c>
      <c r="F586" t="s">
        <v>15</v>
      </c>
      <c r="G586" t="s">
        <v>624</v>
      </c>
      <c r="H586" t="s">
        <v>114</v>
      </c>
      <c r="I586" t="s">
        <v>160</v>
      </c>
      <c r="J586" t="s">
        <v>1194</v>
      </c>
      <c r="K586" t="s">
        <v>329</v>
      </c>
    </row>
    <row r="587" spans="1:11" x14ac:dyDescent="0.25">
      <c r="A587">
        <v>586</v>
      </c>
      <c r="B587" t="s">
        <v>201</v>
      </c>
      <c r="C587" t="s">
        <v>202</v>
      </c>
      <c r="D587" t="s">
        <v>23</v>
      </c>
      <c r="E587" t="s">
        <v>402</v>
      </c>
      <c r="F587" t="s">
        <v>102</v>
      </c>
      <c r="G587" t="s">
        <v>25</v>
      </c>
      <c r="H587" t="s">
        <v>1204</v>
      </c>
      <c r="I587" t="s">
        <v>755</v>
      </c>
      <c r="J587" t="s">
        <v>1194</v>
      </c>
      <c r="K587" t="s">
        <v>347</v>
      </c>
    </row>
    <row r="588" spans="1:11" x14ac:dyDescent="0.25">
      <c r="A588">
        <v>587</v>
      </c>
      <c r="B588" t="s">
        <v>1205</v>
      </c>
      <c r="C588" t="s">
        <v>1206</v>
      </c>
      <c r="D588" t="s">
        <v>220</v>
      </c>
      <c r="E588" t="s">
        <v>792</v>
      </c>
      <c r="F588" t="s">
        <v>15</v>
      </c>
      <c r="G588" t="s">
        <v>90</v>
      </c>
      <c r="H588" t="s">
        <v>405</v>
      </c>
      <c r="I588" t="s">
        <v>284</v>
      </c>
      <c r="J588" t="s">
        <v>1194</v>
      </c>
      <c r="K588" t="s">
        <v>625</v>
      </c>
    </row>
    <row r="589" spans="1:11" x14ac:dyDescent="0.25">
      <c r="A589">
        <v>588</v>
      </c>
      <c r="B589" t="s">
        <v>147</v>
      </c>
      <c r="C589" t="s">
        <v>148</v>
      </c>
      <c r="D589" t="s">
        <v>149</v>
      </c>
      <c r="E589" t="s">
        <v>150</v>
      </c>
      <c r="F589" t="s">
        <v>15</v>
      </c>
      <c r="G589" t="s">
        <v>136</v>
      </c>
      <c r="H589" t="s">
        <v>141</v>
      </c>
      <c r="I589" t="s">
        <v>199</v>
      </c>
      <c r="J589" t="s">
        <v>1194</v>
      </c>
      <c r="K589" t="s">
        <v>625</v>
      </c>
    </row>
    <row r="590" spans="1:11" x14ac:dyDescent="0.25">
      <c r="A590">
        <v>589</v>
      </c>
      <c r="B590" t="s">
        <v>281</v>
      </c>
      <c r="C590" t="s">
        <v>282</v>
      </c>
      <c r="D590" t="s">
        <v>85</v>
      </c>
      <c r="E590" t="s">
        <v>377</v>
      </c>
      <c r="F590" t="s">
        <v>15</v>
      </c>
      <c r="G590" t="s">
        <v>90</v>
      </c>
      <c r="H590" t="s">
        <v>762</v>
      </c>
      <c r="I590" t="s">
        <v>504</v>
      </c>
      <c r="J590" t="s">
        <v>1194</v>
      </c>
      <c r="K590" t="s">
        <v>625</v>
      </c>
    </row>
    <row r="591" spans="1:11" x14ac:dyDescent="0.25">
      <c r="A591">
        <v>590</v>
      </c>
      <c r="B591" t="s">
        <v>1207</v>
      </c>
      <c r="C591" t="s">
        <v>1208</v>
      </c>
      <c r="D591" t="s">
        <v>45</v>
      </c>
      <c r="E591" t="s">
        <v>15</v>
      </c>
      <c r="F591" t="s">
        <v>125</v>
      </c>
      <c r="G591" t="s">
        <v>15</v>
      </c>
      <c r="H591" t="s">
        <v>15</v>
      </c>
      <c r="I591" t="s">
        <v>15</v>
      </c>
      <c r="J591" t="s">
        <v>1194</v>
      </c>
      <c r="K591" t="s">
        <v>625</v>
      </c>
    </row>
    <row r="592" spans="1:11" x14ac:dyDescent="0.25">
      <c r="A592">
        <v>591</v>
      </c>
      <c r="B592" t="s">
        <v>598</v>
      </c>
      <c r="C592" t="s">
        <v>599</v>
      </c>
      <c r="D592" t="s">
        <v>194</v>
      </c>
      <c r="E592" t="s">
        <v>1209</v>
      </c>
      <c r="F592" t="s">
        <v>15</v>
      </c>
      <c r="G592" t="s">
        <v>90</v>
      </c>
      <c r="H592" t="s">
        <v>326</v>
      </c>
      <c r="I592" t="s">
        <v>1210</v>
      </c>
      <c r="J592" t="s">
        <v>1194</v>
      </c>
      <c r="K592" t="s">
        <v>625</v>
      </c>
    </row>
    <row r="593" spans="1:11" x14ac:dyDescent="0.25">
      <c r="A593">
        <v>592</v>
      </c>
      <c r="B593" t="s">
        <v>147</v>
      </c>
      <c r="C593" t="s">
        <v>148</v>
      </c>
      <c r="D593" t="s">
        <v>149</v>
      </c>
      <c r="E593" t="s">
        <v>652</v>
      </c>
      <c r="F593" t="s">
        <v>15</v>
      </c>
      <c r="G593" t="s">
        <v>653</v>
      </c>
      <c r="H593" t="s">
        <v>365</v>
      </c>
      <c r="I593" t="s">
        <v>199</v>
      </c>
      <c r="J593" t="s">
        <v>1194</v>
      </c>
      <c r="K593" t="s">
        <v>366</v>
      </c>
    </row>
    <row r="594" spans="1:11" x14ac:dyDescent="0.25">
      <c r="A594">
        <v>593</v>
      </c>
      <c r="B594" t="s">
        <v>155</v>
      </c>
      <c r="C594" t="s">
        <v>156</v>
      </c>
      <c r="D594" t="s">
        <v>149</v>
      </c>
      <c r="E594" t="s">
        <v>652</v>
      </c>
      <c r="F594" t="s">
        <v>15</v>
      </c>
      <c r="G594" t="s">
        <v>653</v>
      </c>
      <c r="H594" t="s">
        <v>365</v>
      </c>
      <c r="I594" t="s">
        <v>199</v>
      </c>
      <c r="J594" t="s">
        <v>1194</v>
      </c>
      <c r="K594" t="s">
        <v>366</v>
      </c>
    </row>
    <row r="595" spans="1:11" x14ac:dyDescent="0.25">
      <c r="A595">
        <v>594</v>
      </c>
      <c r="B595" t="s">
        <v>1211</v>
      </c>
      <c r="C595" t="s">
        <v>1212</v>
      </c>
      <c r="D595" t="s">
        <v>13</v>
      </c>
      <c r="E595" t="s">
        <v>712</v>
      </c>
      <c r="F595" t="s">
        <v>15</v>
      </c>
      <c r="G595" t="s">
        <v>290</v>
      </c>
      <c r="H595" t="s">
        <v>211</v>
      </c>
      <c r="I595" t="s">
        <v>820</v>
      </c>
      <c r="J595" t="s">
        <v>1194</v>
      </c>
      <c r="K595" t="s">
        <v>654</v>
      </c>
    </row>
    <row r="596" spans="1:11" x14ac:dyDescent="0.25">
      <c r="A596">
        <v>595</v>
      </c>
      <c r="B596" t="s">
        <v>1006</v>
      </c>
      <c r="C596" t="s">
        <v>1007</v>
      </c>
      <c r="D596" t="s">
        <v>13</v>
      </c>
      <c r="E596" t="s">
        <v>203</v>
      </c>
      <c r="F596" t="s">
        <v>15</v>
      </c>
      <c r="G596" t="s">
        <v>63</v>
      </c>
      <c r="H596" t="s">
        <v>271</v>
      </c>
      <c r="I596" t="s">
        <v>419</v>
      </c>
      <c r="J596" t="s">
        <v>1194</v>
      </c>
      <c r="K596" t="s">
        <v>654</v>
      </c>
    </row>
    <row r="597" spans="1:11" x14ac:dyDescent="0.25">
      <c r="A597">
        <v>596</v>
      </c>
      <c r="B597" t="s">
        <v>400</v>
      </c>
      <c r="C597" t="s">
        <v>401</v>
      </c>
      <c r="D597" t="s">
        <v>13</v>
      </c>
      <c r="E597" t="s">
        <v>377</v>
      </c>
      <c r="F597" t="s">
        <v>15</v>
      </c>
      <c r="G597" t="s">
        <v>63</v>
      </c>
      <c r="H597" t="s">
        <v>203</v>
      </c>
      <c r="I597" t="s">
        <v>199</v>
      </c>
      <c r="J597" t="s">
        <v>1194</v>
      </c>
      <c r="K597" t="s">
        <v>654</v>
      </c>
    </row>
    <row r="598" spans="1:11" x14ac:dyDescent="0.25">
      <c r="A598">
        <v>597</v>
      </c>
      <c r="B598" t="s">
        <v>273</v>
      </c>
      <c r="C598" t="s">
        <v>274</v>
      </c>
      <c r="D598" t="s">
        <v>13</v>
      </c>
      <c r="E598" t="s">
        <v>275</v>
      </c>
      <c r="F598" t="s">
        <v>15</v>
      </c>
      <c r="G598" t="s">
        <v>276</v>
      </c>
      <c r="H598" t="s">
        <v>27</v>
      </c>
      <c r="I598" t="s">
        <v>152</v>
      </c>
      <c r="J598" t="s">
        <v>1194</v>
      </c>
      <c r="K598" t="s">
        <v>654</v>
      </c>
    </row>
    <row r="599" spans="1:11" x14ac:dyDescent="0.25">
      <c r="A599">
        <v>598</v>
      </c>
      <c r="B599" t="s">
        <v>111</v>
      </c>
      <c r="C599" t="s">
        <v>112</v>
      </c>
      <c r="D599" t="s">
        <v>13</v>
      </c>
      <c r="E599" t="s">
        <v>101</v>
      </c>
      <c r="F599" t="s">
        <v>15</v>
      </c>
      <c r="G599" t="s">
        <v>136</v>
      </c>
      <c r="H599" t="s">
        <v>27</v>
      </c>
      <c r="I599" t="s">
        <v>327</v>
      </c>
      <c r="J599" t="s">
        <v>1213</v>
      </c>
      <c r="K599" t="s">
        <v>1214</v>
      </c>
    </row>
    <row r="600" spans="1:11" x14ac:dyDescent="0.25">
      <c r="A600">
        <v>599</v>
      </c>
      <c r="B600" t="s">
        <v>11</v>
      </c>
      <c r="C600" t="s">
        <v>12</v>
      </c>
      <c r="D600" t="s">
        <v>13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1213</v>
      </c>
      <c r="K600" t="s">
        <v>1215</v>
      </c>
    </row>
    <row r="601" spans="1:11" x14ac:dyDescent="0.25">
      <c r="A601">
        <v>600</v>
      </c>
      <c r="B601" t="s">
        <v>67</v>
      </c>
      <c r="C601" t="s">
        <v>68</v>
      </c>
      <c r="D601" t="s">
        <v>13</v>
      </c>
      <c r="E601" t="s">
        <v>443</v>
      </c>
      <c r="F601" t="s">
        <v>15</v>
      </c>
      <c r="G601" t="s">
        <v>196</v>
      </c>
      <c r="H601" t="s">
        <v>103</v>
      </c>
      <c r="I601" t="s">
        <v>1216</v>
      </c>
      <c r="J601" t="s">
        <v>1213</v>
      </c>
      <c r="K601" t="s">
        <v>1215</v>
      </c>
    </row>
    <row r="602" spans="1:11" x14ac:dyDescent="0.25">
      <c r="A602">
        <v>601</v>
      </c>
      <c r="B602" t="s">
        <v>36</v>
      </c>
      <c r="C602" t="s">
        <v>37</v>
      </c>
      <c r="D602" t="s">
        <v>13</v>
      </c>
      <c r="E602" t="s">
        <v>38</v>
      </c>
      <c r="F602" t="s">
        <v>15</v>
      </c>
      <c r="G602" t="s">
        <v>39</v>
      </c>
      <c r="H602" t="s">
        <v>40</v>
      </c>
      <c r="I602" t="s">
        <v>41</v>
      </c>
      <c r="J602" t="s">
        <v>1213</v>
      </c>
      <c r="K602" t="s">
        <v>42</v>
      </c>
    </row>
    <row r="603" spans="1:11" x14ac:dyDescent="0.25">
      <c r="A603">
        <v>602</v>
      </c>
      <c r="B603" t="s">
        <v>502</v>
      </c>
      <c r="C603" t="s">
        <v>503</v>
      </c>
      <c r="D603" t="s">
        <v>220</v>
      </c>
      <c r="E603" t="s">
        <v>326</v>
      </c>
      <c r="F603" t="s">
        <v>15</v>
      </c>
      <c r="G603" t="s">
        <v>125</v>
      </c>
      <c r="H603" t="s">
        <v>1141</v>
      </c>
      <c r="I603" t="s">
        <v>160</v>
      </c>
      <c r="J603" t="s">
        <v>1213</v>
      </c>
      <c r="K603" t="s">
        <v>1217</v>
      </c>
    </row>
    <row r="604" spans="1:11" x14ac:dyDescent="0.25">
      <c r="A604">
        <v>603</v>
      </c>
      <c r="B604" t="s">
        <v>281</v>
      </c>
      <c r="C604" t="s">
        <v>282</v>
      </c>
      <c r="D604" t="s">
        <v>85</v>
      </c>
      <c r="E604" t="s">
        <v>377</v>
      </c>
      <c r="F604" t="s">
        <v>15</v>
      </c>
      <c r="G604" t="s">
        <v>90</v>
      </c>
      <c r="H604" t="s">
        <v>211</v>
      </c>
      <c r="I604" t="s">
        <v>104</v>
      </c>
      <c r="J604" t="s">
        <v>1213</v>
      </c>
      <c r="K604" t="s">
        <v>1217</v>
      </c>
    </row>
    <row r="605" spans="1:11" x14ac:dyDescent="0.25">
      <c r="A605">
        <v>604</v>
      </c>
      <c r="B605" t="s">
        <v>1218</v>
      </c>
      <c r="C605" t="s">
        <v>1219</v>
      </c>
      <c r="D605" t="s">
        <v>45</v>
      </c>
      <c r="E605" t="s">
        <v>594</v>
      </c>
      <c r="F605" t="s">
        <v>15</v>
      </c>
      <c r="G605" t="s">
        <v>136</v>
      </c>
      <c r="H605" t="s">
        <v>265</v>
      </c>
      <c r="I605" t="s">
        <v>222</v>
      </c>
      <c r="J605" t="s">
        <v>1213</v>
      </c>
      <c r="K605" t="s">
        <v>1022</v>
      </c>
    </row>
    <row r="606" spans="1:11" x14ac:dyDescent="0.25">
      <c r="A606">
        <v>605</v>
      </c>
      <c r="B606" t="s">
        <v>1220</v>
      </c>
      <c r="C606" t="s">
        <v>1221</v>
      </c>
      <c r="D606" t="s">
        <v>13</v>
      </c>
      <c r="E606" t="s">
        <v>1222</v>
      </c>
      <c r="F606" t="s">
        <v>15</v>
      </c>
      <c r="G606" t="s">
        <v>709</v>
      </c>
      <c r="H606" t="s">
        <v>264</v>
      </c>
      <c r="I606" t="s">
        <v>1223</v>
      </c>
      <c r="J606" t="s">
        <v>1213</v>
      </c>
      <c r="K606" t="s">
        <v>1224</v>
      </c>
    </row>
    <row r="607" spans="1:11" x14ac:dyDescent="0.25">
      <c r="A607">
        <v>606</v>
      </c>
      <c r="B607" t="s">
        <v>1225</v>
      </c>
      <c r="C607" t="s">
        <v>1226</v>
      </c>
      <c r="D607" t="s">
        <v>45</v>
      </c>
      <c r="E607" t="s">
        <v>385</v>
      </c>
      <c r="F607" t="s">
        <v>15</v>
      </c>
      <c r="G607" t="s">
        <v>90</v>
      </c>
      <c r="H607" t="s">
        <v>232</v>
      </c>
      <c r="I607" t="s">
        <v>313</v>
      </c>
      <c r="J607" t="s">
        <v>1213</v>
      </c>
      <c r="K607" t="s">
        <v>1227</v>
      </c>
    </row>
    <row r="608" spans="1:11" x14ac:dyDescent="0.25">
      <c r="A608">
        <v>607</v>
      </c>
      <c r="B608" t="s">
        <v>403</v>
      </c>
      <c r="C608" t="s">
        <v>404</v>
      </c>
      <c r="D608" t="s">
        <v>369</v>
      </c>
      <c r="E608" t="s">
        <v>1053</v>
      </c>
      <c r="F608" t="s">
        <v>15</v>
      </c>
      <c r="G608" t="s">
        <v>90</v>
      </c>
      <c r="H608" t="s">
        <v>1228</v>
      </c>
      <c r="I608" t="s">
        <v>313</v>
      </c>
      <c r="J608" t="s">
        <v>1213</v>
      </c>
      <c r="K608" t="s">
        <v>1227</v>
      </c>
    </row>
    <row r="609" spans="1:11" x14ac:dyDescent="0.25">
      <c r="A609">
        <v>608</v>
      </c>
      <c r="B609" t="s">
        <v>259</v>
      </c>
      <c r="C609" t="s">
        <v>260</v>
      </c>
      <c r="D609" t="s">
        <v>88</v>
      </c>
      <c r="E609" t="s">
        <v>464</v>
      </c>
      <c r="F609" t="s">
        <v>15</v>
      </c>
      <c r="G609" t="s">
        <v>47</v>
      </c>
      <c r="H609" t="s">
        <v>462</v>
      </c>
      <c r="I609" t="s">
        <v>465</v>
      </c>
      <c r="J609" t="s">
        <v>1229</v>
      </c>
      <c r="K609" t="s">
        <v>1230</v>
      </c>
    </row>
    <row r="610" spans="1:11" x14ac:dyDescent="0.25">
      <c r="A610">
        <v>609</v>
      </c>
      <c r="B610" t="s">
        <v>261</v>
      </c>
      <c r="C610" t="s">
        <v>262</v>
      </c>
      <c r="D610" t="s">
        <v>88</v>
      </c>
      <c r="E610" t="s">
        <v>15</v>
      </c>
      <c r="F610" t="s">
        <v>47</v>
      </c>
      <c r="G610" t="s">
        <v>15</v>
      </c>
      <c r="H610" t="s">
        <v>1067</v>
      </c>
      <c r="I610" t="s">
        <v>1067</v>
      </c>
      <c r="J610" t="s">
        <v>1229</v>
      </c>
      <c r="K610" t="s">
        <v>1230</v>
      </c>
    </row>
    <row r="611" spans="1:11" x14ac:dyDescent="0.25">
      <c r="A611">
        <v>610</v>
      </c>
      <c r="B611" t="s">
        <v>111</v>
      </c>
      <c r="C611" t="s">
        <v>112</v>
      </c>
      <c r="D611" t="s">
        <v>13</v>
      </c>
      <c r="E611" t="s">
        <v>101</v>
      </c>
      <c r="F611" t="s">
        <v>15</v>
      </c>
      <c r="G611" t="s">
        <v>136</v>
      </c>
      <c r="H611" t="s">
        <v>27</v>
      </c>
      <c r="I611" t="s">
        <v>327</v>
      </c>
      <c r="J611" t="s">
        <v>1229</v>
      </c>
      <c r="K611" t="s">
        <v>1230</v>
      </c>
    </row>
    <row r="612" spans="1:11" x14ac:dyDescent="0.25">
      <c r="A612">
        <v>611</v>
      </c>
      <c r="B612" t="s">
        <v>1205</v>
      </c>
      <c r="C612" t="s">
        <v>1206</v>
      </c>
      <c r="D612" t="s">
        <v>220</v>
      </c>
      <c r="E612" t="s">
        <v>34</v>
      </c>
      <c r="F612" t="s">
        <v>15</v>
      </c>
      <c r="G612" t="s">
        <v>125</v>
      </c>
      <c r="H612" t="s">
        <v>852</v>
      </c>
      <c r="I612" t="s">
        <v>634</v>
      </c>
      <c r="J612" t="s">
        <v>1231</v>
      </c>
      <c r="K612" t="s">
        <v>388</v>
      </c>
    </row>
    <row r="613" spans="1:11" x14ac:dyDescent="0.25">
      <c r="A613">
        <v>612</v>
      </c>
      <c r="B613" t="s">
        <v>1107</v>
      </c>
      <c r="C613" t="s">
        <v>1108</v>
      </c>
      <c r="D613" t="s">
        <v>45</v>
      </c>
      <c r="E613" t="s">
        <v>1109</v>
      </c>
      <c r="F613" t="s">
        <v>15</v>
      </c>
      <c r="G613" t="s">
        <v>180</v>
      </c>
      <c r="H613" t="s">
        <v>91</v>
      </c>
      <c r="I613" t="s">
        <v>1232</v>
      </c>
      <c r="J613" t="s">
        <v>1231</v>
      </c>
      <c r="K613" t="s">
        <v>388</v>
      </c>
    </row>
    <row r="614" spans="1:11" x14ac:dyDescent="0.25">
      <c r="A614">
        <v>613</v>
      </c>
      <c r="B614" t="s">
        <v>1111</v>
      </c>
      <c r="C614" t="s">
        <v>1112</v>
      </c>
      <c r="D614" t="s">
        <v>45</v>
      </c>
      <c r="E614" t="s">
        <v>1109</v>
      </c>
      <c r="F614" t="s">
        <v>15</v>
      </c>
      <c r="G614" t="s">
        <v>180</v>
      </c>
      <c r="H614" t="s">
        <v>91</v>
      </c>
      <c r="I614" t="s">
        <v>1232</v>
      </c>
      <c r="J614" t="s">
        <v>1231</v>
      </c>
      <c r="K614" t="s">
        <v>388</v>
      </c>
    </row>
    <row r="615" spans="1:11" x14ac:dyDescent="0.25">
      <c r="A615">
        <v>614</v>
      </c>
      <c r="B615" t="s">
        <v>1113</v>
      </c>
      <c r="C615" t="s">
        <v>1114</v>
      </c>
      <c r="D615" t="s">
        <v>45</v>
      </c>
      <c r="E615" t="s">
        <v>1109</v>
      </c>
      <c r="F615" t="s">
        <v>32</v>
      </c>
      <c r="G615" t="s">
        <v>180</v>
      </c>
      <c r="H615" t="s">
        <v>385</v>
      </c>
      <c r="I615" t="s">
        <v>1233</v>
      </c>
      <c r="J615" t="s">
        <v>1231</v>
      </c>
      <c r="K615" t="s">
        <v>388</v>
      </c>
    </row>
    <row r="616" spans="1:11" x14ac:dyDescent="0.25">
      <c r="A616">
        <v>615</v>
      </c>
      <c r="B616" t="s">
        <v>957</v>
      </c>
      <c r="C616" t="s">
        <v>958</v>
      </c>
      <c r="D616" t="s">
        <v>88</v>
      </c>
      <c r="E616" t="s">
        <v>1234</v>
      </c>
      <c r="F616" t="s">
        <v>90</v>
      </c>
      <c r="G616" t="s">
        <v>58</v>
      </c>
      <c r="H616" t="s">
        <v>277</v>
      </c>
      <c r="I616" t="s">
        <v>1235</v>
      </c>
      <c r="J616" t="s">
        <v>1231</v>
      </c>
      <c r="K616" t="s">
        <v>388</v>
      </c>
    </row>
    <row r="617" spans="1:11" x14ac:dyDescent="0.25">
      <c r="A617">
        <v>616</v>
      </c>
      <c r="B617" t="s">
        <v>962</v>
      </c>
      <c r="C617" t="s">
        <v>963</v>
      </c>
      <c r="D617" t="s">
        <v>88</v>
      </c>
      <c r="E617" t="s">
        <v>1234</v>
      </c>
      <c r="F617" t="s">
        <v>15</v>
      </c>
      <c r="G617" t="s">
        <v>58</v>
      </c>
      <c r="H617" t="s">
        <v>232</v>
      </c>
      <c r="I617" t="s">
        <v>1236</v>
      </c>
      <c r="J617" t="s">
        <v>1231</v>
      </c>
      <c r="K617" t="s">
        <v>388</v>
      </c>
    </row>
    <row r="618" spans="1:11" x14ac:dyDescent="0.25">
      <c r="A618">
        <v>617</v>
      </c>
      <c r="B618" t="s">
        <v>400</v>
      </c>
      <c r="C618" t="s">
        <v>401</v>
      </c>
      <c r="D618" t="s">
        <v>13</v>
      </c>
      <c r="E618" t="s">
        <v>402</v>
      </c>
      <c r="F618" t="s">
        <v>15</v>
      </c>
      <c r="G618" t="s">
        <v>25</v>
      </c>
      <c r="H618" t="s">
        <v>33</v>
      </c>
      <c r="I618" t="s">
        <v>152</v>
      </c>
      <c r="J618" t="s">
        <v>1231</v>
      </c>
      <c r="K618" t="s">
        <v>388</v>
      </c>
    </row>
    <row r="619" spans="1:11" x14ac:dyDescent="0.25">
      <c r="A619">
        <v>618</v>
      </c>
      <c r="B619" t="s">
        <v>452</v>
      </c>
      <c r="C619" t="s">
        <v>453</v>
      </c>
      <c r="D619" t="s">
        <v>88</v>
      </c>
      <c r="E619" t="s">
        <v>454</v>
      </c>
      <c r="F619" t="s">
        <v>15</v>
      </c>
      <c r="G619" t="s">
        <v>47</v>
      </c>
      <c r="H619" t="s">
        <v>455</v>
      </c>
      <c r="I619" t="s">
        <v>456</v>
      </c>
      <c r="J619" t="s">
        <v>1231</v>
      </c>
      <c r="K619" t="s">
        <v>176</v>
      </c>
    </row>
    <row r="620" spans="1:11" x14ac:dyDescent="0.25">
      <c r="A620">
        <v>619</v>
      </c>
      <c r="B620" t="s">
        <v>169</v>
      </c>
      <c r="C620" t="s">
        <v>170</v>
      </c>
      <c r="D620" t="s">
        <v>88</v>
      </c>
      <c r="E620" t="s">
        <v>457</v>
      </c>
      <c r="F620" t="s">
        <v>15</v>
      </c>
      <c r="G620" t="s">
        <v>47</v>
      </c>
      <c r="H620" t="s">
        <v>458</v>
      </c>
      <c r="I620" t="s">
        <v>427</v>
      </c>
      <c r="J620" t="s">
        <v>1231</v>
      </c>
      <c r="K620" t="s">
        <v>176</v>
      </c>
    </row>
    <row r="621" spans="1:11" x14ac:dyDescent="0.25">
      <c r="A621">
        <v>620</v>
      </c>
      <c r="B621" t="s">
        <v>429</v>
      </c>
      <c r="C621" t="s">
        <v>430</v>
      </c>
      <c r="D621" t="s">
        <v>88</v>
      </c>
      <c r="E621" t="s">
        <v>15</v>
      </c>
      <c r="F621" t="s">
        <v>47</v>
      </c>
      <c r="G621" t="s">
        <v>15</v>
      </c>
      <c r="H621" t="s">
        <v>1067</v>
      </c>
      <c r="I621" t="s">
        <v>1067</v>
      </c>
      <c r="J621" t="s">
        <v>1231</v>
      </c>
      <c r="K621" t="s">
        <v>176</v>
      </c>
    </row>
    <row r="622" spans="1:11" x14ac:dyDescent="0.25">
      <c r="A622">
        <v>621</v>
      </c>
      <c r="B622" t="s">
        <v>259</v>
      </c>
      <c r="C622" t="s">
        <v>260</v>
      </c>
      <c r="D622" t="s">
        <v>88</v>
      </c>
      <c r="E622" t="s">
        <v>15</v>
      </c>
      <c r="F622" t="s">
        <v>290</v>
      </c>
      <c r="G622" t="s">
        <v>15</v>
      </c>
      <c r="H622" t="s">
        <v>953</v>
      </c>
      <c r="I622" t="s">
        <v>953</v>
      </c>
      <c r="J622" t="s">
        <v>1231</v>
      </c>
      <c r="K622" t="s">
        <v>176</v>
      </c>
    </row>
    <row r="623" spans="1:11" x14ac:dyDescent="0.25">
      <c r="A623">
        <v>622</v>
      </c>
      <c r="B623" t="s">
        <v>459</v>
      </c>
      <c r="C623" t="s">
        <v>460</v>
      </c>
      <c r="D623" t="s">
        <v>88</v>
      </c>
      <c r="E623" t="s">
        <v>461</v>
      </c>
      <c r="F623" t="s">
        <v>15</v>
      </c>
      <c r="G623" t="s">
        <v>47</v>
      </c>
      <c r="H623" t="s">
        <v>462</v>
      </c>
      <c r="I623" t="s">
        <v>463</v>
      </c>
      <c r="J623" t="s">
        <v>1231</v>
      </c>
      <c r="K623" t="s">
        <v>176</v>
      </c>
    </row>
    <row r="624" spans="1:11" x14ac:dyDescent="0.25">
      <c r="A624">
        <v>623</v>
      </c>
      <c r="B624" t="s">
        <v>240</v>
      </c>
      <c r="C624" t="s">
        <v>241</v>
      </c>
      <c r="D624" t="s">
        <v>88</v>
      </c>
      <c r="E624" t="s">
        <v>1237</v>
      </c>
      <c r="F624" t="s">
        <v>47</v>
      </c>
      <c r="G624" t="s">
        <v>709</v>
      </c>
      <c r="H624" t="s">
        <v>1238</v>
      </c>
      <c r="I624" t="s">
        <v>1239</v>
      </c>
      <c r="J624" t="s">
        <v>1231</v>
      </c>
      <c r="K624" t="s">
        <v>66</v>
      </c>
    </row>
    <row r="625" spans="1:11" x14ac:dyDescent="0.25">
      <c r="A625">
        <v>624</v>
      </c>
      <c r="B625" t="s">
        <v>1240</v>
      </c>
      <c r="C625" t="s">
        <v>1241</v>
      </c>
      <c r="D625" t="s">
        <v>13</v>
      </c>
      <c r="E625" t="s">
        <v>352</v>
      </c>
      <c r="F625" t="s">
        <v>90</v>
      </c>
      <c r="G625" t="s">
        <v>63</v>
      </c>
      <c r="H625" t="s">
        <v>1242</v>
      </c>
      <c r="I625" t="s">
        <v>1243</v>
      </c>
      <c r="J625" t="s">
        <v>1231</v>
      </c>
      <c r="K625" t="s">
        <v>1244</v>
      </c>
    </row>
    <row r="626" spans="1:11" x14ac:dyDescent="0.25">
      <c r="A626">
        <v>625</v>
      </c>
      <c r="B626" t="s">
        <v>613</v>
      </c>
      <c r="C626" t="s">
        <v>614</v>
      </c>
      <c r="D626" t="s">
        <v>88</v>
      </c>
      <c r="E626" t="s">
        <v>615</v>
      </c>
      <c r="F626" t="s">
        <v>15</v>
      </c>
      <c r="G626" t="s">
        <v>125</v>
      </c>
      <c r="H626" t="s">
        <v>72</v>
      </c>
      <c r="I626" t="s">
        <v>616</v>
      </c>
      <c r="J626" t="s">
        <v>1231</v>
      </c>
      <c r="K626" t="s">
        <v>1245</v>
      </c>
    </row>
    <row r="627" spans="1:11" x14ac:dyDescent="0.25">
      <c r="A627">
        <v>626</v>
      </c>
      <c r="B627" t="s">
        <v>273</v>
      </c>
      <c r="C627" t="s">
        <v>274</v>
      </c>
      <c r="D627" t="s">
        <v>13</v>
      </c>
      <c r="E627" t="s">
        <v>1246</v>
      </c>
      <c r="F627" t="s">
        <v>15</v>
      </c>
      <c r="G627" t="s">
        <v>1247</v>
      </c>
      <c r="H627" t="s">
        <v>1248</v>
      </c>
      <c r="I627" t="s">
        <v>1249</v>
      </c>
      <c r="J627" t="s">
        <v>1231</v>
      </c>
      <c r="K627" t="s">
        <v>1245</v>
      </c>
    </row>
    <row r="628" spans="1:11" x14ac:dyDescent="0.25">
      <c r="A628">
        <v>627</v>
      </c>
      <c r="B628" t="s">
        <v>1250</v>
      </c>
      <c r="C628" t="s">
        <v>1251</v>
      </c>
      <c r="D628" t="s">
        <v>88</v>
      </c>
      <c r="E628" t="s">
        <v>1252</v>
      </c>
      <c r="F628" t="s">
        <v>15</v>
      </c>
      <c r="G628" t="s">
        <v>709</v>
      </c>
      <c r="H628" t="s">
        <v>665</v>
      </c>
      <c r="I628" t="s">
        <v>1253</v>
      </c>
      <c r="J628" t="s">
        <v>1231</v>
      </c>
      <c r="K628" t="s">
        <v>76</v>
      </c>
    </row>
    <row r="629" spans="1:11" x14ac:dyDescent="0.25">
      <c r="A629">
        <v>628</v>
      </c>
      <c r="B629" t="s">
        <v>314</v>
      </c>
      <c r="C629" t="s">
        <v>315</v>
      </c>
      <c r="D629" t="s">
        <v>13</v>
      </c>
      <c r="E629" t="s">
        <v>71</v>
      </c>
      <c r="F629" t="s">
        <v>15</v>
      </c>
      <c r="G629" t="s">
        <v>16</v>
      </c>
      <c r="H629" t="s">
        <v>832</v>
      </c>
      <c r="I629" t="s">
        <v>264</v>
      </c>
      <c r="J629" t="s">
        <v>1231</v>
      </c>
      <c r="K629" t="s">
        <v>428</v>
      </c>
    </row>
    <row r="630" spans="1:11" x14ac:dyDescent="0.25">
      <c r="A630">
        <v>629</v>
      </c>
      <c r="B630" t="s">
        <v>429</v>
      </c>
      <c r="C630" t="s">
        <v>430</v>
      </c>
      <c r="D630" t="s">
        <v>88</v>
      </c>
      <c r="E630" t="s">
        <v>464</v>
      </c>
      <c r="F630" t="s">
        <v>47</v>
      </c>
      <c r="G630" t="s">
        <v>47</v>
      </c>
      <c r="H630" t="s">
        <v>431</v>
      </c>
      <c r="I630" t="s">
        <v>277</v>
      </c>
      <c r="J630" t="s">
        <v>1231</v>
      </c>
      <c r="K630" t="s">
        <v>1143</v>
      </c>
    </row>
    <row r="631" spans="1:11" x14ac:dyDescent="0.25">
      <c r="A631">
        <v>630</v>
      </c>
      <c r="B631" t="s">
        <v>259</v>
      </c>
      <c r="C631" t="s">
        <v>260</v>
      </c>
      <c r="D631" t="s">
        <v>88</v>
      </c>
      <c r="E631" t="s">
        <v>464</v>
      </c>
      <c r="F631" t="s">
        <v>47</v>
      </c>
      <c r="G631" t="s">
        <v>47</v>
      </c>
      <c r="H631" t="s">
        <v>431</v>
      </c>
      <c r="I631" t="s">
        <v>277</v>
      </c>
      <c r="J631" t="s">
        <v>1231</v>
      </c>
      <c r="K631" t="s">
        <v>1143</v>
      </c>
    </row>
    <row r="632" spans="1:11" x14ac:dyDescent="0.25">
      <c r="A632">
        <v>631</v>
      </c>
      <c r="B632" t="s">
        <v>1205</v>
      </c>
      <c r="C632" t="s">
        <v>1206</v>
      </c>
      <c r="D632" t="s">
        <v>220</v>
      </c>
      <c r="E632" t="s">
        <v>792</v>
      </c>
      <c r="F632" t="s">
        <v>15</v>
      </c>
      <c r="G632" t="s">
        <v>90</v>
      </c>
      <c r="H632" t="s">
        <v>405</v>
      </c>
      <c r="I632" t="s">
        <v>284</v>
      </c>
      <c r="J632" t="s">
        <v>1231</v>
      </c>
      <c r="K632" t="s">
        <v>280</v>
      </c>
    </row>
    <row r="633" spans="1:11" x14ac:dyDescent="0.25">
      <c r="A633">
        <v>632</v>
      </c>
      <c r="B633" t="s">
        <v>429</v>
      </c>
      <c r="C633" t="s">
        <v>430</v>
      </c>
      <c r="D633" t="s">
        <v>88</v>
      </c>
      <c r="E633" t="s">
        <v>15</v>
      </c>
      <c r="F633" t="s">
        <v>290</v>
      </c>
      <c r="G633" t="s">
        <v>15</v>
      </c>
      <c r="H633" t="s">
        <v>953</v>
      </c>
      <c r="I633" t="s">
        <v>953</v>
      </c>
      <c r="J633" t="s">
        <v>1231</v>
      </c>
      <c r="K633" t="s">
        <v>280</v>
      </c>
    </row>
    <row r="634" spans="1:11" x14ac:dyDescent="0.25">
      <c r="A634">
        <v>633</v>
      </c>
      <c r="B634" t="s">
        <v>259</v>
      </c>
      <c r="C634" t="s">
        <v>260</v>
      </c>
      <c r="D634" t="s">
        <v>88</v>
      </c>
      <c r="E634" t="s">
        <v>464</v>
      </c>
      <c r="F634" t="s">
        <v>290</v>
      </c>
      <c r="G634" t="s">
        <v>47</v>
      </c>
      <c r="H634" t="s">
        <v>1254</v>
      </c>
      <c r="I634" t="s">
        <v>1255</v>
      </c>
      <c r="J634" t="s">
        <v>1231</v>
      </c>
      <c r="K634" t="s">
        <v>280</v>
      </c>
    </row>
    <row r="635" spans="1:11" x14ac:dyDescent="0.25">
      <c r="A635">
        <v>634</v>
      </c>
      <c r="B635" t="s">
        <v>1218</v>
      </c>
      <c r="C635" t="s">
        <v>1219</v>
      </c>
      <c r="D635" t="s">
        <v>45</v>
      </c>
      <c r="E635" t="s">
        <v>377</v>
      </c>
      <c r="F635" t="s">
        <v>15</v>
      </c>
      <c r="G635" t="s">
        <v>63</v>
      </c>
      <c r="H635" t="s">
        <v>253</v>
      </c>
      <c r="I635" t="s">
        <v>333</v>
      </c>
      <c r="J635" t="s">
        <v>1231</v>
      </c>
      <c r="K635" t="s">
        <v>280</v>
      </c>
    </row>
    <row r="636" spans="1:11" x14ac:dyDescent="0.25">
      <c r="A636">
        <v>635</v>
      </c>
      <c r="B636" t="s">
        <v>1207</v>
      </c>
      <c r="C636" t="s">
        <v>1208</v>
      </c>
      <c r="D636" t="s">
        <v>45</v>
      </c>
      <c r="E636" t="s">
        <v>15</v>
      </c>
      <c r="F636" t="s">
        <v>125</v>
      </c>
      <c r="G636" t="s">
        <v>15</v>
      </c>
      <c r="H636" t="s">
        <v>15</v>
      </c>
      <c r="I636" t="s">
        <v>15</v>
      </c>
      <c r="J636" t="s">
        <v>1231</v>
      </c>
      <c r="K636" t="s">
        <v>280</v>
      </c>
    </row>
    <row r="637" spans="1:11" x14ac:dyDescent="0.25">
      <c r="A637">
        <v>636</v>
      </c>
      <c r="B637" t="s">
        <v>572</v>
      </c>
      <c r="C637" t="s">
        <v>573</v>
      </c>
      <c r="D637" t="s">
        <v>45</v>
      </c>
      <c r="E637" t="s">
        <v>264</v>
      </c>
      <c r="F637" t="s">
        <v>15</v>
      </c>
      <c r="G637" t="s">
        <v>136</v>
      </c>
      <c r="H637" t="s">
        <v>574</v>
      </c>
      <c r="I637" t="s">
        <v>48</v>
      </c>
      <c r="J637" t="s">
        <v>1231</v>
      </c>
      <c r="K637" t="s">
        <v>206</v>
      </c>
    </row>
    <row r="638" spans="1:11" x14ac:dyDescent="0.25">
      <c r="A638">
        <v>637</v>
      </c>
      <c r="B638" t="s">
        <v>213</v>
      </c>
      <c r="C638" t="s">
        <v>214</v>
      </c>
      <c r="D638" t="s">
        <v>45</v>
      </c>
      <c r="E638" t="s">
        <v>215</v>
      </c>
      <c r="F638" t="s">
        <v>125</v>
      </c>
      <c r="G638" t="s">
        <v>63</v>
      </c>
      <c r="H638" t="s">
        <v>216</v>
      </c>
      <c r="I638" t="s">
        <v>217</v>
      </c>
      <c r="J638" t="s">
        <v>1231</v>
      </c>
      <c r="K638" t="s">
        <v>1256</v>
      </c>
    </row>
    <row r="639" spans="1:11" x14ac:dyDescent="0.25">
      <c r="A639">
        <v>638</v>
      </c>
      <c r="B639" t="s">
        <v>111</v>
      </c>
      <c r="C639" t="s">
        <v>112</v>
      </c>
      <c r="D639" t="s">
        <v>13</v>
      </c>
      <c r="E639" t="s">
        <v>113</v>
      </c>
      <c r="F639" t="s">
        <v>15</v>
      </c>
      <c r="G639" t="s">
        <v>63</v>
      </c>
      <c r="H639" t="s">
        <v>114</v>
      </c>
      <c r="I639" t="s">
        <v>115</v>
      </c>
      <c r="J639" t="s">
        <v>1231</v>
      </c>
      <c r="K639" t="s">
        <v>1256</v>
      </c>
    </row>
    <row r="640" spans="1:11" x14ac:dyDescent="0.25">
      <c r="A640">
        <v>639</v>
      </c>
      <c r="B640" t="s">
        <v>429</v>
      </c>
      <c r="C640" t="s">
        <v>430</v>
      </c>
      <c r="D640" t="s">
        <v>88</v>
      </c>
      <c r="E640" t="s">
        <v>181</v>
      </c>
      <c r="F640" t="s">
        <v>15</v>
      </c>
      <c r="G640" t="s">
        <v>1164</v>
      </c>
      <c r="H640" t="s">
        <v>1257</v>
      </c>
      <c r="I640" t="s">
        <v>1258</v>
      </c>
      <c r="J640" t="s">
        <v>1231</v>
      </c>
      <c r="K640" t="s">
        <v>1259</v>
      </c>
    </row>
    <row r="641" spans="1:11" x14ac:dyDescent="0.25">
      <c r="A641">
        <v>640</v>
      </c>
      <c r="B641" t="s">
        <v>259</v>
      </c>
      <c r="C641" t="s">
        <v>260</v>
      </c>
      <c r="D641" t="s">
        <v>88</v>
      </c>
      <c r="E641" t="s">
        <v>15</v>
      </c>
      <c r="F641" t="s">
        <v>1164</v>
      </c>
      <c r="G641" t="s">
        <v>15</v>
      </c>
      <c r="H641" t="s">
        <v>1260</v>
      </c>
      <c r="I641" t="s">
        <v>1260</v>
      </c>
      <c r="J641" t="s">
        <v>1231</v>
      </c>
      <c r="K641" t="s">
        <v>1259</v>
      </c>
    </row>
    <row r="642" spans="1:11" x14ac:dyDescent="0.25">
      <c r="A642">
        <v>641</v>
      </c>
      <c r="B642" t="s">
        <v>502</v>
      </c>
      <c r="C642" t="s">
        <v>503</v>
      </c>
      <c r="D642" t="s">
        <v>220</v>
      </c>
      <c r="E642" t="s">
        <v>326</v>
      </c>
      <c r="F642" t="s">
        <v>15</v>
      </c>
      <c r="G642" t="s">
        <v>125</v>
      </c>
      <c r="H642" t="s">
        <v>1141</v>
      </c>
      <c r="I642" t="s">
        <v>160</v>
      </c>
      <c r="J642" t="s">
        <v>1231</v>
      </c>
      <c r="K642" t="s">
        <v>590</v>
      </c>
    </row>
    <row r="643" spans="1:11" x14ac:dyDescent="0.25">
      <c r="A643">
        <v>642</v>
      </c>
      <c r="B643" t="s">
        <v>941</v>
      </c>
      <c r="C643" t="s">
        <v>942</v>
      </c>
      <c r="D643" t="s">
        <v>13</v>
      </c>
      <c r="E643" t="s">
        <v>940</v>
      </c>
      <c r="F643" t="s">
        <v>15</v>
      </c>
      <c r="G643" t="s">
        <v>58</v>
      </c>
      <c r="H643" t="s">
        <v>349</v>
      </c>
      <c r="I643" t="s">
        <v>104</v>
      </c>
      <c r="J643" t="s">
        <v>1231</v>
      </c>
      <c r="K643" t="s">
        <v>590</v>
      </c>
    </row>
    <row r="644" spans="1:11" x14ac:dyDescent="0.25">
      <c r="A644">
        <v>643</v>
      </c>
      <c r="B644" t="s">
        <v>945</v>
      </c>
      <c r="C644" t="s">
        <v>946</v>
      </c>
      <c r="D644" t="s">
        <v>13</v>
      </c>
      <c r="E644" t="s">
        <v>940</v>
      </c>
      <c r="F644" t="s">
        <v>15</v>
      </c>
      <c r="G644" t="s">
        <v>58</v>
      </c>
      <c r="H644" t="s">
        <v>349</v>
      </c>
      <c r="I644" t="s">
        <v>104</v>
      </c>
      <c r="J644" t="s">
        <v>1231</v>
      </c>
      <c r="K644" t="s">
        <v>590</v>
      </c>
    </row>
    <row r="645" spans="1:11" x14ac:dyDescent="0.25">
      <c r="A645">
        <v>644</v>
      </c>
      <c r="B645" t="s">
        <v>947</v>
      </c>
      <c r="C645" t="s">
        <v>948</v>
      </c>
      <c r="D645" t="s">
        <v>13</v>
      </c>
      <c r="E645" t="s">
        <v>1261</v>
      </c>
      <c r="F645" t="s">
        <v>15</v>
      </c>
      <c r="G645" t="s">
        <v>125</v>
      </c>
      <c r="H645" t="s">
        <v>761</v>
      </c>
      <c r="I645" t="s">
        <v>1262</v>
      </c>
      <c r="J645" t="s">
        <v>1231</v>
      </c>
      <c r="K645" t="s">
        <v>590</v>
      </c>
    </row>
    <row r="646" spans="1:11" x14ac:dyDescent="0.25">
      <c r="A646">
        <v>645</v>
      </c>
      <c r="B646" t="s">
        <v>287</v>
      </c>
      <c r="C646" t="s">
        <v>288</v>
      </c>
      <c r="D646" t="s">
        <v>88</v>
      </c>
      <c r="E646" t="s">
        <v>1263</v>
      </c>
      <c r="F646" t="s">
        <v>15</v>
      </c>
      <c r="G646" t="s">
        <v>102</v>
      </c>
      <c r="H646" t="s">
        <v>380</v>
      </c>
      <c r="I646" t="s">
        <v>1264</v>
      </c>
      <c r="J646" t="s">
        <v>1231</v>
      </c>
      <c r="K646" t="s">
        <v>1056</v>
      </c>
    </row>
    <row r="647" spans="1:11" x14ac:dyDescent="0.25">
      <c r="A647">
        <v>646</v>
      </c>
      <c r="B647" t="s">
        <v>922</v>
      </c>
      <c r="C647" t="s">
        <v>923</v>
      </c>
      <c r="D647" t="s">
        <v>85</v>
      </c>
      <c r="E647" t="s">
        <v>271</v>
      </c>
      <c r="F647" t="s">
        <v>15</v>
      </c>
      <c r="G647" t="s">
        <v>58</v>
      </c>
      <c r="H647" t="s">
        <v>499</v>
      </c>
      <c r="I647" t="s">
        <v>924</v>
      </c>
      <c r="J647" t="s">
        <v>1231</v>
      </c>
      <c r="K647" t="s">
        <v>1057</v>
      </c>
    </row>
    <row r="648" spans="1:11" x14ac:dyDescent="0.25">
      <c r="A648">
        <v>647</v>
      </c>
      <c r="B648" t="s">
        <v>213</v>
      </c>
      <c r="C648" t="s">
        <v>214</v>
      </c>
      <c r="D648" t="s">
        <v>45</v>
      </c>
      <c r="E648" t="s">
        <v>1263</v>
      </c>
      <c r="F648" t="s">
        <v>15</v>
      </c>
      <c r="G648" t="s">
        <v>47</v>
      </c>
      <c r="H648" t="s">
        <v>574</v>
      </c>
      <c r="I648" t="s">
        <v>409</v>
      </c>
      <c r="J648" t="s">
        <v>1231</v>
      </c>
      <c r="K648" t="s">
        <v>1057</v>
      </c>
    </row>
    <row r="649" spans="1:11" x14ac:dyDescent="0.25">
      <c r="A649">
        <v>648</v>
      </c>
      <c r="B649" t="s">
        <v>1023</v>
      </c>
      <c r="C649" t="s">
        <v>1024</v>
      </c>
      <c r="D649" t="s">
        <v>13</v>
      </c>
      <c r="E649" t="s">
        <v>882</v>
      </c>
      <c r="F649" t="s">
        <v>90</v>
      </c>
      <c r="G649" t="s">
        <v>63</v>
      </c>
      <c r="H649" t="s">
        <v>141</v>
      </c>
      <c r="I649" t="s">
        <v>1265</v>
      </c>
      <c r="J649" t="s">
        <v>1231</v>
      </c>
      <c r="K649" t="s">
        <v>1266</v>
      </c>
    </row>
    <row r="650" spans="1:11" x14ac:dyDescent="0.25">
      <c r="A650">
        <v>649</v>
      </c>
      <c r="B650" t="s">
        <v>111</v>
      </c>
      <c r="C650" t="s">
        <v>112</v>
      </c>
      <c r="D650" t="s">
        <v>13</v>
      </c>
      <c r="E650" t="s">
        <v>751</v>
      </c>
      <c r="F650" t="s">
        <v>15</v>
      </c>
      <c r="G650" t="s">
        <v>59</v>
      </c>
      <c r="H650" t="s">
        <v>755</v>
      </c>
      <c r="I650" t="s">
        <v>97</v>
      </c>
      <c r="J650" t="s">
        <v>1231</v>
      </c>
      <c r="K650" t="s">
        <v>1267</v>
      </c>
    </row>
    <row r="651" spans="1:11" x14ac:dyDescent="0.25">
      <c r="A651">
        <v>650</v>
      </c>
      <c r="B651" t="s">
        <v>133</v>
      </c>
      <c r="C651" t="s">
        <v>134</v>
      </c>
      <c r="D651" t="s">
        <v>13</v>
      </c>
      <c r="E651" t="s">
        <v>650</v>
      </c>
      <c r="F651" t="s">
        <v>15</v>
      </c>
      <c r="G651" t="s">
        <v>63</v>
      </c>
      <c r="H651" t="s">
        <v>377</v>
      </c>
      <c r="I651" t="s">
        <v>651</v>
      </c>
      <c r="J651" t="s">
        <v>1231</v>
      </c>
      <c r="K651" t="s">
        <v>1267</v>
      </c>
    </row>
    <row r="652" spans="1:11" x14ac:dyDescent="0.25">
      <c r="A652">
        <v>651</v>
      </c>
      <c r="B652" t="s">
        <v>111</v>
      </c>
      <c r="C652" t="s">
        <v>112</v>
      </c>
      <c r="D652" t="s">
        <v>13</v>
      </c>
      <c r="E652" t="s">
        <v>101</v>
      </c>
      <c r="F652" t="s">
        <v>15</v>
      </c>
      <c r="G652" t="s">
        <v>136</v>
      </c>
      <c r="H652" t="s">
        <v>595</v>
      </c>
      <c r="I652" t="s">
        <v>991</v>
      </c>
      <c r="J652" t="s">
        <v>1231</v>
      </c>
      <c r="K652" t="s">
        <v>433</v>
      </c>
    </row>
    <row r="653" spans="1:11" x14ac:dyDescent="0.25">
      <c r="A653">
        <v>652</v>
      </c>
      <c r="B653" t="s">
        <v>400</v>
      </c>
      <c r="C653" t="s">
        <v>401</v>
      </c>
      <c r="D653" t="s">
        <v>13</v>
      </c>
      <c r="E653" t="s">
        <v>15</v>
      </c>
      <c r="F653" t="s">
        <v>290</v>
      </c>
      <c r="G653" t="s">
        <v>15</v>
      </c>
      <c r="H653" t="s">
        <v>1083</v>
      </c>
      <c r="I653" t="s">
        <v>1083</v>
      </c>
      <c r="J653" t="s">
        <v>1231</v>
      </c>
      <c r="K653" t="s">
        <v>433</v>
      </c>
    </row>
    <row r="654" spans="1:11" x14ac:dyDescent="0.25">
      <c r="A654">
        <v>653</v>
      </c>
      <c r="B654" t="s">
        <v>183</v>
      </c>
      <c r="C654" t="s">
        <v>184</v>
      </c>
      <c r="D654" t="s">
        <v>23</v>
      </c>
      <c r="E654" t="s">
        <v>185</v>
      </c>
      <c r="F654" t="s">
        <v>15</v>
      </c>
      <c r="G654" t="s">
        <v>102</v>
      </c>
      <c r="H654" t="s">
        <v>275</v>
      </c>
      <c r="I654" t="s">
        <v>998</v>
      </c>
      <c r="J654" t="s">
        <v>1231</v>
      </c>
      <c r="K654" t="s">
        <v>433</v>
      </c>
    </row>
    <row r="655" spans="1:11" x14ac:dyDescent="0.25">
      <c r="A655">
        <v>654</v>
      </c>
      <c r="B655" t="s">
        <v>926</v>
      </c>
      <c r="C655" t="s">
        <v>927</v>
      </c>
      <c r="D655" t="s">
        <v>85</v>
      </c>
      <c r="E655" t="s">
        <v>311</v>
      </c>
      <c r="F655" t="s">
        <v>90</v>
      </c>
      <c r="G655" t="s">
        <v>102</v>
      </c>
      <c r="H655" t="s">
        <v>427</v>
      </c>
      <c r="I655" t="s">
        <v>1264</v>
      </c>
      <c r="J655" t="s">
        <v>1231</v>
      </c>
      <c r="K655" t="s">
        <v>127</v>
      </c>
    </row>
    <row r="656" spans="1:11" x14ac:dyDescent="0.25">
      <c r="A656">
        <v>655</v>
      </c>
      <c r="B656" t="s">
        <v>701</v>
      </c>
      <c r="C656" t="s">
        <v>702</v>
      </c>
      <c r="D656" t="s">
        <v>45</v>
      </c>
      <c r="E656" t="s">
        <v>15</v>
      </c>
      <c r="F656" t="s">
        <v>125</v>
      </c>
      <c r="G656" t="s">
        <v>15</v>
      </c>
      <c r="H656" t="s">
        <v>1268</v>
      </c>
      <c r="I656" t="s">
        <v>1268</v>
      </c>
      <c r="J656" t="s">
        <v>1231</v>
      </c>
      <c r="K656" t="s">
        <v>1068</v>
      </c>
    </row>
    <row r="657" spans="1:11" x14ac:dyDescent="0.25">
      <c r="A657">
        <v>656</v>
      </c>
      <c r="B657" t="s">
        <v>1240</v>
      </c>
      <c r="C657" t="s">
        <v>1241</v>
      </c>
      <c r="D657" t="s">
        <v>13</v>
      </c>
      <c r="E657" t="s">
        <v>1269</v>
      </c>
      <c r="F657" t="s">
        <v>15</v>
      </c>
      <c r="G657" t="s">
        <v>497</v>
      </c>
      <c r="H657" t="s">
        <v>181</v>
      </c>
      <c r="I657" t="s">
        <v>594</v>
      </c>
      <c r="J657" t="s">
        <v>1231</v>
      </c>
      <c r="K657" t="s">
        <v>1068</v>
      </c>
    </row>
    <row r="658" spans="1:11" x14ac:dyDescent="0.25">
      <c r="A658">
        <v>657</v>
      </c>
      <c r="B658" t="s">
        <v>133</v>
      </c>
      <c r="C658" t="s">
        <v>134</v>
      </c>
      <c r="D658" t="s">
        <v>13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1231</v>
      </c>
      <c r="K658" t="s">
        <v>1270</v>
      </c>
    </row>
    <row r="659" spans="1:11" x14ac:dyDescent="0.25">
      <c r="A659">
        <v>658</v>
      </c>
      <c r="B659" t="s">
        <v>183</v>
      </c>
      <c r="C659" t="s">
        <v>184</v>
      </c>
      <c r="D659" t="s">
        <v>23</v>
      </c>
      <c r="E659" t="s">
        <v>185</v>
      </c>
      <c r="F659" t="s">
        <v>15</v>
      </c>
      <c r="G659" t="s">
        <v>102</v>
      </c>
      <c r="H659" t="s">
        <v>443</v>
      </c>
      <c r="I659" t="s">
        <v>914</v>
      </c>
      <c r="J659" t="s">
        <v>1231</v>
      </c>
      <c r="K659" t="s">
        <v>1271</v>
      </c>
    </row>
    <row r="660" spans="1:11" x14ac:dyDescent="0.25">
      <c r="A660">
        <v>659</v>
      </c>
      <c r="B660" t="s">
        <v>213</v>
      </c>
      <c r="C660" t="s">
        <v>214</v>
      </c>
      <c r="D660" t="s">
        <v>45</v>
      </c>
      <c r="E660" t="s">
        <v>215</v>
      </c>
      <c r="F660" t="s">
        <v>125</v>
      </c>
      <c r="G660" t="s">
        <v>63</v>
      </c>
      <c r="H660" t="s">
        <v>216</v>
      </c>
      <c r="I660" t="s">
        <v>217</v>
      </c>
      <c r="J660" t="s">
        <v>1231</v>
      </c>
      <c r="K660" t="s">
        <v>1272</v>
      </c>
    </row>
    <row r="661" spans="1:11" x14ac:dyDescent="0.25">
      <c r="A661">
        <v>660</v>
      </c>
      <c r="B661" t="s">
        <v>11</v>
      </c>
      <c r="C661" t="s">
        <v>12</v>
      </c>
      <c r="D661" t="s">
        <v>13</v>
      </c>
      <c r="E661" t="s">
        <v>18</v>
      </c>
      <c r="F661" t="s">
        <v>32</v>
      </c>
      <c r="G661" t="s">
        <v>70</v>
      </c>
      <c r="H661" t="s">
        <v>778</v>
      </c>
      <c r="I661" t="s">
        <v>779</v>
      </c>
      <c r="J661" t="s">
        <v>1273</v>
      </c>
      <c r="K661" t="s">
        <v>66</v>
      </c>
    </row>
    <row r="662" spans="1:11" x14ac:dyDescent="0.25">
      <c r="A662">
        <v>661</v>
      </c>
      <c r="B662" t="s">
        <v>11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1274</v>
      </c>
      <c r="I662" t="s">
        <v>1275</v>
      </c>
      <c r="J662" t="s">
        <v>1273</v>
      </c>
      <c r="K662" t="s">
        <v>828</v>
      </c>
    </row>
    <row r="663" spans="1:11" x14ac:dyDescent="0.25">
      <c r="A663">
        <v>662</v>
      </c>
      <c r="B663" t="s">
        <v>11</v>
      </c>
      <c r="C663" t="s">
        <v>12</v>
      </c>
      <c r="D663" t="s">
        <v>13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1273</v>
      </c>
      <c r="K663" t="s">
        <v>1276</v>
      </c>
    </row>
    <row r="664" spans="1:11" x14ac:dyDescent="0.25">
      <c r="A664">
        <v>663</v>
      </c>
      <c r="B664" t="s">
        <v>259</v>
      </c>
      <c r="C664" t="s">
        <v>260</v>
      </c>
      <c r="D664" t="s">
        <v>88</v>
      </c>
      <c r="E664" t="s">
        <v>464</v>
      </c>
      <c r="F664" t="s">
        <v>47</v>
      </c>
      <c r="G664" t="s">
        <v>47</v>
      </c>
      <c r="H664" t="s">
        <v>431</v>
      </c>
      <c r="I664" t="s">
        <v>277</v>
      </c>
      <c r="J664" t="s">
        <v>1273</v>
      </c>
      <c r="K664" t="s">
        <v>1277</v>
      </c>
    </row>
    <row r="665" spans="1:11" x14ac:dyDescent="0.25">
      <c r="A665">
        <v>664</v>
      </c>
      <c r="B665" t="s">
        <v>273</v>
      </c>
      <c r="C665" t="s">
        <v>274</v>
      </c>
      <c r="D665" t="s">
        <v>13</v>
      </c>
      <c r="E665" t="s">
        <v>275</v>
      </c>
      <c r="F665" t="s">
        <v>15</v>
      </c>
      <c r="G665" t="s">
        <v>276</v>
      </c>
      <c r="H665" t="s">
        <v>822</v>
      </c>
      <c r="I665" t="s">
        <v>272</v>
      </c>
      <c r="J665" t="s">
        <v>1273</v>
      </c>
      <c r="K665" t="s">
        <v>1277</v>
      </c>
    </row>
    <row r="666" spans="1:11" x14ac:dyDescent="0.25">
      <c r="A666">
        <v>665</v>
      </c>
      <c r="B666" t="s">
        <v>1278</v>
      </c>
      <c r="C666" t="s">
        <v>1279</v>
      </c>
      <c r="D666" t="s">
        <v>13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1280</v>
      </c>
      <c r="K666" t="s">
        <v>478</v>
      </c>
    </row>
    <row r="667" spans="1:11" x14ac:dyDescent="0.25">
      <c r="A667">
        <v>666</v>
      </c>
      <c r="B667" t="s">
        <v>273</v>
      </c>
      <c r="C667" t="s">
        <v>274</v>
      </c>
      <c r="D667" t="s">
        <v>13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 t="s">
        <v>1280</v>
      </c>
      <c r="K667" t="s">
        <v>604</v>
      </c>
    </row>
    <row r="668" spans="1:11" x14ac:dyDescent="0.25">
      <c r="A668">
        <v>667</v>
      </c>
      <c r="B668" t="s">
        <v>1281</v>
      </c>
      <c r="C668" t="s">
        <v>1282</v>
      </c>
      <c r="D668" t="s">
        <v>45</v>
      </c>
      <c r="E668" t="s">
        <v>1283</v>
      </c>
      <c r="F668" t="s">
        <v>90</v>
      </c>
      <c r="G668" t="s">
        <v>102</v>
      </c>
      <c r="H668" t="s">
        <v>1284</v>
      </c>
      <c r="I668" t="s">
        <v>1285</v>
      </c>
      <c r="J668" t="s">
        <v>1286</v>
      </c>
      <c r="K668" t="s">
        <v>535</v>
      </c>
    </row>
    <row r="669" spans="1:11" x14ac:dyDescent="0.25">
      <c r="A669">
        <v>668</v>
      </c>
      <c r="B669" t="s">
        <v>1287</v>
      </c>
      <c r="C669" t="s">
        <v>1288</v>
      </c>
      <c r="D669" t="s">
        <v>45</v>
      </c>
      <c r="E669" t="s">
        <v>595</v>
      </c>
      <c r="F669" t="s">
        <v>125</v>
      </c>
      <c r="G669" t="s">
        <v>47</v>
      </c>
      <c r="H669" t="s">
        <v>1093</v>
      </c>
      <c r="I669" t="s">
        <v>1289</v>
      </c>
      <c r="J669" t="s">
        <v>1286</v>
      </c>
      <c r="K669" t="s">
        <v>535</v>
      </c>
    </row>
    <row r="670" spans="1:11" x14ac:dyDescent="0.25">
      <c r="A670">
        <v>669</v>
      </c>
      <c r="B670" t="s">
        <v>947</v>
      </c>
      <c r="C670" t="s">
        <v>948</v>
      </c>
      <c r="D670" t="s">
        <v>13</v>
      </c>
      <c r="E670" t="s">
        <v>787</v>
      </c>
      <c r="F670" t="s">
        <v>15</v>
      </c>
      <c r="G670" t="s">
        <v>63</v>
      </c>
      <c r="H670" t="s">
        <v>60</v>
      </c>
      <c r="I670" t="s">
        <v>490</v>
      </c>
      <c r="J670" t="s">
        <v>1290</v>
      </c>
      <c r="K670" t="s">
        <v>1215</v>
      </c>
    </row>
    <row r="671" spans="1:11" x14ac:dyDescent="0.25">
      <c r="A671">
        <v>670</v>
      </c>
      <c r="B671" t="s">
        <v>111</v>
      </c>
      <c r="C671" t="s">
        <v>112</v>
      </c>
      <c r="D671" t="s">
        <v>13</v>
      </c>
      <c r="E671" t="s">
        <v>113</v>
      </c>
      <c r="F671" t="s">
        <v>15</v>
      </c>
      <c r="G671" t="s">
        <v>63</v>
      </c>
      <c r="H671" t="s">
        <v>114</v>
      </c>
      <c r="I671" t="s">
        <v>115</v>
      </c>
      <c r="J671" t="s">
        <v>1290</v>
      </c>
      <c r="K671" t="s">
        <v>1215</v>
      </c>
    </row>
    <row r="672" spans="1:11" x14ac:dyDescent="0.25">
      <c r="A672">
        <v>671</v>
      </c>
      <c r="B672" t="s">
        <v>1291</v>
      </c>
      <c r="C672" t="s">
        <v>1292</v>
      </c>
      <c r="D672" t="s">
        <v>13</v>
      </c>
      <c r="E672" t="s">
        <v>531</v>
      </c>
      <c r="F672" t="s">
        <v>15</v>
      </c>
      <c r="G672" t="s">
        <v>196</v>
      </c>
      <c r="H672" t="s">
        <v>33</v>
      </c>
      <c r="I672" t="s">
        <v>1216</v>
      </c>
      <c r="J672" t="s">
        <v>1290</v>
      </c>
      <c r="K672" t="s">
        <v>1161</v>
      </c>
    </row>
    <row r="673" spans="1:11" x14ac:dyDescent="0.25">
      <c r="A673">
        <v>672</v>
      </c>
      <c r="B673" t="s">
        <v>793</v>
      </c>
      <c r="C673" t="s">
        <v>794</v>
      </c>
      <c r="D673" t="s">
        <v>13</v>
      </c>
      <c r="E673" t="s">
        <v>103</v>
      </c>
      <c r="F673" t="s">
        <v>125</v>
      </c>
      <c r="G673" t="s">
        <v>58</v>
      </c>
      <c r="H673" t="s">
        <v>1093</v>
      </c>
      <c r="I673" t="s">
        <v>1293</v>
      </c>
      <c r="J673" t="s">
        <v>1294</v>
      </c>
      <c r="K673" t="s">
        <v>687</v>
      </c>
    </row>
    <row r="674" spans="1:11" x14ac:dyDescent="0.25">
      <c r="A674">
        <v>673</v>
      </c>
      <c r="B674" t="s">
        <v>938</v>
      </c>
      <c r="C674" t="s">
        <v>939</v>
      </c>
      <c r="D674" t="s">
        <v>13</v>
      </c>
      <c r="E674" t="s">
        <v>787</v>
      </c>
      <c r="F674" t="s">
        <v>15</v>
      </c>
      <c r="G674" t="s">
        <v>63</v>
      </c>
      <c r="H674" t="s">
        <v>271</v>
      </c>
      <c r="I674" t="s">
        <v>631</v>
      </c>
      <c r="J674" t="s">
        <v>1294</v>
      </c>
      <c r="K674" t="s">
        <v>687</v>
      </c>
    </row>
    <row r="675" spans="1:11" x14ac:dyDescent="0.25">
      <c r="A675">
        <v>674</v>
      </c>
      <c r="B675" t="s">
        <v>413</v>
      </c>
      <c r="C675" t="s">
        <v>414</v>
      </c>
      <c r="D675" t="s">
        <v>194</v>
      </c>
      <c r="E675" t="s">
        <v>415</v>
      </c>
      <c r="F675" t="s">
        <v>15</v>
      </c>
      <c r="G675" t="s">
        <v>196</v>
      </c>
      <c r="H675" t="s">
        <v>264</v>
      </c>
      <c r="I675" t="s">
        <v>490</v>
      </c>
      <c r="J675" t="s">
        <v>1294</v>
      </c>
      <c r="K675" t="s">
        <v>687</v>
      </c>
    </row>
    <row r="676" spans="1:11" x14ac:dyDescent="0.25">
      <c r="A676">
        <v>675</v>
      </c>
      <c r="B676" t="s">
        <v>248</v>
      </c>
      <c r="C676" t="s">
        <v>249</v>
      </c>
      <c r="D676" t="s">
        <v>250</v>
      </c>
      <c r="E676" t="s">
        <v>712</v>
      </c>
      <c r="F676" t="s">
        <v>15</v>
      </c>
      <c r="G676" t="s">
        <v>125</v>
      </c>
      <c r="H676" t="s">
        <v>349</v>
      </c>
      <c r="I676" t="s">
        <v>1295</v>
      </c>
      <c r="J676" t="s">
        <v>1294</v>
      </c>
      <c r="K676" t="s">
        <v>410</v>
      </c>
    </row>
    <row r="677" spans="1:11" x14ac:dyDescent="0.25">
      <c r="A677">
        <v>676</v>
      </c>
      <c r="B677" t="s">
        <v>1296</v>
      </c>
      <c r="C677" t="s">
        <v>1297</v>
      </c>
      <c r="D677" t="s">
        <v>13</v>
      </c>
      <c r="E677" t="s">
        <v>1298</v>
      </c>
      <c r="F677" t="s">
        <v>15</v>
      </c>
      <c r="G677" t="s">
        <v>125</v>
      </c>
      <c r="H677" t="s">
        <v>1299</v>
      </c>
      <c r="I677" t="s">
        <v>1300</v>
      </c>
      <c r="J677" t="s">
        <v>1294</v>
      </c>
      <c r="K677" t="s">
        <v>410</v>
      </c>
    </row>
    <row r="678" spans="1:11" x14ac:dyDescent="0.25">
      <c r="A678">
        <v>677</v>
      </c>
      <c r="B678" t="s">
        <v>1301</v>
      </c>
      <c r="C678" t="s">
        <v>1302</v>
      </c>
      <c r="D678" t="s">
        <v>13</v>
      </c>
      <c r="E678" t="s">
        <v>1080</v>
      </c>
      <c r="F678" t="s">
        <v>15</v>
      </c>
      <c r="G678" t="s">
        <v>125</v>
      </c>
      <c r="H678" t="s">
        <v>1081</v>
      </c>
      <c r="I678" t="s">
        <v>1082</v>
      </c>
      <c r="J678" t="s">
        <v>1294</v>
      </c>
      <c r="K678" t="s">
        <v>410</v>
      </c>
    </row>
    <row r="679" spans="1:11" x14ac:dyDescent="0.25">
      <c r="A679">
        <v>678</v>
      </c>
      <c r="B679" t="s">
        <v>1303</v>
      </c>
      <c r="C679" t="s">
        <v>1304</v>
      </c>
      <c r="D679" t="s">
        <v>13</v>
      </c>
      <c r="E679" t="s">
        <v>1305</v>
      </c>
      <c r="F679" t="s">
        <v>15</v>
      </c>
      <c r="G679" t="s">
        <v>32</v>
      </c>
      <c r="H679" t="s">
        <v>203</v>
      </c>
      <c r="I679" t="s">
        <v>1306</v>
      </c>
      <c r="J679" t="s">
        <v>1294</v>
      </c>
      <c r="K679" t="s">
        <v>410</v>
      </c>
    </row>
    <row r="680" spans="1:11" x14ac:dyDescent="0.25">
      <c r="A680">
        <v>679</v>
      </c>
      <c r="B680" t="s">
        <v>269</v>
      </c>
      <c r="C680" t="s">
        <v>270</v>
      </c>
      <c r="D680" t="s">
        <v>13</v>
      </c>
      <c r="E680" t="s">
        <v>419</v>
      </c>
      <c r="F680" t="s">
        <v>15</v>
      </c>
      <c r="G680" t="s">
        <v>63</v>
      </c>
      <c r="H680" t="s">
        <v>222</v>
      </c>
      <c r="I680" t="s">
        <v>333</v>
      </c>
      <c r="J680" t="s">
        <v>1294</v>
      </c>
      <c r="K680" t="s">
        <v>410</v>
      </c>
    </row>
    <row r="681" spans="1:11" x14ac:dyDescent="0.25">
      <c r="A681">
        <v>680</v>
      </c>
      <c r="B681" t="s">
        <v>86</v>
      </c>
      <c r="C681" t="s">
        <v>87</v>
      </c>
      <c r="D681" t="s">
        <v>88</v>
      </c>
      <c r="E681" t="s">
        <v>550</v>
      </c>
      <c r="F681" t="s">
        <v>125</v>
      </c>
      <c r="G681" t="s">
        <v>58</v>
      </c>
      <c r="H681" t="s">
        <v>1045</v>
      </c>
      <c r="I681" t="s">
        <v>1307</v>
      </c>
      <c r="J681" t="s">
        <v>1294</v>
      </c>
      <c r="K681" t="s">
        <v>200</v>
      </c>
    </row>
    <row r="682" spans="1:11" x14ac:dyDescent="0.25">
      <c r="A682">
        <v>681</v>
      </c>
      <c r="B682" t="s">
        <v>128</v>
      </c>
      <c r="C682" t="s">
        <v>129</v>
      </c>
      <c r="D682" t="s">
        <v>13</v>
      </c>
      <c r="E682" t="s">
        <v>265</v>
      </c>
      <c r="F682" t="s">
        <v>15</v>
      </c>
      <c r="G682" t="s">
        <v>136</v>
      </c>
      <c r="H682" t="s">
        <v>266</v>
      </c>
      <c r="I682" t="s">
        <v>267</v>
      </c>
      <c r="J682" t="s">
        <v>1294</v>
      </c>
      <c r="K682" t="s">
        <v>200</v>
      </c>
    </row>
    <row r="683" spans="1:11" x14ac:dyDescent="0.25">
      <c r="A683">
        <v>682</v>
      </c>
      <c r="B683" t="s">
        <v>764</v>
      </c>
      <c r="C683" t="s">
        <v>765</v>
      </c>
      <c r="D683" t="s">
        <v>13</v>
      </c>
      <c r="E683" t="s">
        <v>635</v>
      </c>
      <c r="F683" t="s">
        <v>15</v>
      </c>
      <c r="G683" t="s">
        <v>63</v>
      </c>
      <c r="H683" t="s">
        <v>419</v>
      </c>
      <c r="I683" t="s">
        <v>199</v>
      </c>
      <c r="J683" t="s">
        <v>1294</v>
      </c>
      <c r="K683" t="s">
        <v>200</v>
      </c>
    </row>
    <row r="684" spans="1:11" x14ac:dyDescent="0.25">
      <c r="A684">
        <v>683</v>
      </c>
      <c r="B684" t="s">
        <v>675</v>
      </c>
      <c r="C684" t="s">
        <v>676</v>
      </c>
      <c r="D684" t="s">
        <v>88</v>
      </c>
      <c r="E684" t="s">
        <v>1308</v>
      </c>
      <c r="F684" t="s">
        <v>290</v>
      </c>
      <c r="G684" t="s">
        <v>1164</v>
      </c>
      <c r="H684" t="s">
        <v>1309</v>
      </c>
      <c r="I684" t="s">
        <v>1310</v>
      </c>
      <c r="J684" t="s">
        <v>1294</v>
      </c>
      <c r="K684" t="s">
        <v>200</v>
      </c>
    </row>
    <row r="685" spans="1:11" x14ac:dyDescent="0.25">
      <c r="A685">
        <v>684</v>
      </c>
      <c r="B685" t="s">
        <v>413</v>
      </c>
      <c r="C685" t="s">
        <v>414</v>
      </c>
      <c r="D685" t="s">
        <v>194</v>
      </c>
      <c r="E685" t="s">
        <v>556</v>
      </c>
      <c r="F685" t="s">
        <v>102</v>
      </c>
      <c r="G685" t="s">
        <v>557</v>
      </c>
      <c r="H685" t="s">
        <v>558</v>
      </c>
      <c r="I685" t="s">
        <v>277</v>
      </c>
      <c r="J685" t="s">
        <v>1294</v>
      </c>
      <c r="K685" t="s">
        <v>200</v>
      </c>
    </row>
    <row r="686" spans="1:11" x14ac:dyDescent="0.25">
      <c r="A686">
        <v>685</v>
      </c>
      <c r="B686" t="s">
        <v>240</v>
      </c>
      <c r="C686" t="s">
        <v>241</v>
      </c>
      <c r="D686" t="s">
        <v>88</v>
      </c>
      <c r="E686" t="s">
        <v>242</v>
      </c>
      <c r="F686" t="s">
        <v>90</v>
      </c>
      <c r="G686" t="s">
        <v>102</v>
      </c>
      <c r="H686" t="s">
        <v>1311</v>
      </c>
      <c r="I686" t="s">
        <v>1312</v>
      </c>
      <c r="J686" t="s">
        <v>1294</v>
      </c>
      <c r="K686" t="s">
        <v>200</v>
      </c>
    </row>
    <row r="687" spans="1:11" x14ac:dyDescent="0.25">
      <c r="A687">
        <v>686</v>
      </c>
      <c r="B687" t="s">
        <v>99</v>
      </c>
      <c r="C687" t="s">
        <v>100</v>
      </c>
      <c r="D687" t="s">
        <v>88</v>
      </c>
      <c r="E687" t="s">
        <v>1313</v>
      </c>
      <c r="F687" t="s">
        <v>290</v>
      </c>
      <c r="G687" t="s">
        <v>1164</v>
      </c>
      <c r="H687" t="s">
        <v>1309</v>
      </c>
      <c r="I687" t="s">
        <v>1314</v>
      </c>
      <c r="J687" t="s">
        <v>1294</v>
      </c>
      <c r="K687" t="s">
        <v>200</v>
      </c>
    </row>
    <row r="688" spans="1:11" x14ac:dyDescent="0.25">
      <c r="A688">
        <v>687</v>
      </c>
      <c r="B688" t="s">
        <v>416</v>
      </c>
      <c r="C688" t="s">
        <v>417</v>
      </c>
      <c r="D688" t="s">
        <v>45</v>
      </c>
      <c r="E688" t="s">
        <v>141</v>
      </c>
      <c r="F688" t="s">
        <v>15</v>
      </c>
      <c r="G688" t="s">
        <v>63</v>
      </c>
      <c r="H688" t="s">
        <v>418</v>
      </c>
      <c r="I688" t="s">
        <v>419</v>
      </c>
      <c r="J688" t="s">
        <v>1294</v>
      </c>
      <c r="K688" t="s">
        <v>420</v>
      </c>
    </row>
    <row r="689" spans="1:11" x14ac:dyDescent="0.25">
      <c r="A689">
        <v>688</v>
      </c>
      <c r="B689" t="s">
        <v>1315</v>
      </c>
      <c r="C689" t="s">
        <v>1316</v>
      </c>
      <c r="D689" t="s">
        <v>88</v>
      </c>
      <c r="E689" t="s">
        <v>237</v>
      </c>
      <c r="F689" t="s">
        <v>180</v>
      </c>
      <c r="G689" t="s">
        <v>196</v>
      </c>
      <c r="H689" t="s">
        <v>521</v>
      </c>
      <c r="I689" t="s">
        <v>1317</v>
      </c>
      <c r="J689" t="s">
        <v>1294</v>
      </c>
      <c r="K689" t="s">
        <v>563</v>
      </c>
    </row>
    <row r="690" spans="1:11" x14ac:dyDescent="0.25">
      <c r="A690">
        <v>689</v>
      </c>
      <c r="B690" t="s">
        <v>717</v>
      </c>
      <c r="C690" t="s">
        <v>718</v>
      </c>
      <c r="D690" t="s">
        <v>88</v>
      </c>
      <c r="E690" t="s">
        <v>750</v>
      </c>
      <c r="F690" t="s">
        <v>125</v>
      </c>
      <c r="G690" t="s">
        <v>32</v>
      </c>
      <c r="H690" t="s">
        <v>1053</v>
      </c>
      <c r="I690" t="s">
        <v>1318</v>
      </c>
      <c r="J690" t="s">
        <v>1294</v>
      </c>
      <c r="K690" t="s">
        <v>575</v>
      </c>
    </row>
    <row r="691" spans="1:11" x14ac:dyDescent="0.25">
      <c r="A691">
        <v>690</v>
      </c>
      <c r="B691" t="s">
        <v>753</v>
      </c>
      <c r="C691" t="s">
        <v>754</v>
      </c>
      <c r="D691" t="s">
        <v>88</v>
      </c>
      <c r="E691" t="s">
        <v>750</v>
      </c>
      <c r="F691" t="s">
        <v>15</v>
      </c>
      <c r="G691" t="s">
        <v>32</v>
      </c>
      <c r="H691" t="s">
        <v>755</v>
      </c>
      <c r="I691" t="s">
        <v>756</v>
      </c>
      <c r="J691" t="s">
        <v>1294</v>
      </c>
      <c r="K691" t="s">
        <v>575</v>
      </c>
    </row>
    <row r="692" spans="1:11" x14ac:dyDescent="0.25">
      <c r="A692">
        <v>691</v>
      </c>
      <c r="B692" t="s">
        <v>757</v>
      </c>
      <c r="C692" t="s">
        <v>758</v>
      </c>
      <c r="D692" t="s">
        <v>88</v>
      </c>
      <c r="E692" t="s">
        <v>750</v>
      </c>
      <c r="F692" t="s">
        <v>15</v>
      </c>
      <c r="G692" t="s">
        <v>32</v>
      </c>
      <c r="H692" t="s">
        <v>755</v>
      </c>
      <c r="I692" t="s">
        <v>756</v>
      </c>
      <c r="J692" t="s">
        <v>1294</v>
      </c>
      <c r="K692" t="s">
        <v>575</v>
      </c>
    </row>
    <row r="693" spans="1:11" x14ac:dyDescent="0.25">
      <c r="A693">
        <v>692</v>
      </c>
      <c r="B693" t="s">
        <v>11</v>
      </c>
      <c r="C693" t="s">
        <v>12</v>
      </c>
      <c r="D693" t="s">
        <v>13</v>
      </c>
      <c r="E693" t="s">
        <v>18</v>
      </c>
      <c r="F693" t="s">
        <v>32</v>
      </c>
      <c r="G693" t="s">
        <v>70</v>
      </c>
      <c r="H693" t="s">
        <v>778</v>
      </c>
      <c r="I693" t="s">
        <v>779</v>
      </c>
      <c r="J693" t="s">
        <v>1294</v>
      </c>
      <c r="K693" t="s">
        <v>449</v>
      </c>
    </row>
    <row r="694" spans="1:11" x14ac:dyDescent="0.25">
      <c r="A694">
        <v>693</v>
      </c>
      <c r="B694" t="s">
        <v>169</v>
      </c>
      <c r="C694" t="s">
        <v>170</v>
      </c>
      <c r="D694" t="s">
        <v>88</v>
      </c>
      <c r="E694" t="s">
        <v>457</v>
      </c>
      <c r="F694" t="s">
        <v>15</v>
      </c>
      <c r="G694" t="s">
        <v>47</v>
      </c>
      <c r="H694" t="s">
        <v>458</v>
      </c>
      <c r="I694" t="s">
        <v>427</v>
      </c>
      <c r="J694" t="s">
        <v>1294</v>
      </c>
      <c r="K694" t="s">
        <v>1143</v>
      </c>
    </row>
    <row r="695" spans="1:11" x14ac:dyDescent="0.25">
      <c r="A695">
        <v>694</v>
      </c>
      <c r="B695" t="s">
        <v>701</v>
      </c>
      <c r="C695" t="s">
        <v>702</v>
      </c>
      <c r="D695" t="s">
        <v>45</v>
      </c>
      <c r="E695" t="s">
        <v>15</v>
      </c>
      <c r="F695" t="s">
        <v>125</v>
      </c>
      <c r="G695" t="s">
        <v>15</v>
      </c>
      <c r="H695" t="s">
        <v>1268</v>
      </c>
      <c r="I695" t="s">
        <v>1268</v>
      </c>
      <c r="J695" t="s">
        <v>1294</v>
      </c>
      <c r="K695" t="s">
        <v>1143</v>
      </c>
    </row>
    <row r="696" spans="1:11" x14ac:dyDescent="0.25">
      <c r="A696">
        <v>695</v>
      </c>
      <c r="B696" t="s">
        <v>938</v>
      </c>
      <c r="C696" t="s">
        <v>939</v>
      </c>
      <c r="D696" t="s">
        <v>13</v>
      </c>
      <c r="E696" t="s">
        <v>787</v>
      </c>
      <c r="F696" t="s">
        <v>15</v>
      </c>
      <c r="G696" t="s">
        <v>63</v>
      </c>
      <c r="H696" t="s">
        <v>227</v>
      </c>
      <c r="I696" t="s">
        <v>448</v>
      </c>
      <c r="J696" t="s">
        <v>1294</v>
      </c>
      <c r="K696" t="s">
        <v>1143</v>
      </c>
    </row>
    <row r="697" spans="1:11" x14ac:dyDescent="0.25">
      <c r="A697">
        <v>696</v>
      </c>
      <c r="B697" t="s">
        <v>941</v>
      </c>
      <c r="C697" t="s">
        <v>942</v>
      </c>
      <c r="D697" t="s">
        <v>13</v>
      </c>
      <c r="E697" t="s">
        <v>787</v>
      </c>
      <c r="F697" t="s">
        <v>15</v>
      </c>
      <c r="G697" t="s">
        <v>63</v>
      </c>
      <c r="H697" t="s">
        <v>227</v>
      </c>
      <c r="I697" t="s">
        <v>448</v>
      </c>
      <c r="J697" t="s">
        <v>1294</v>
      </c>
      <c r="K697" t="s">
        <v>1143</v>
      </c>
    </row>
    <row r="698" spans="1:11" x14ac:dyDescent="0.25">
      <c r="A698">
        <v>697</v>
      </c>
      <c r="B698" t="s">
        <v>945</v>
      </c>
      <c r="C698" t="s">
        <v>946</v>
      </c>
      <c r="D698" t="s">
        <v>13</v>
      </c>
      <c r="E698" t="s">
        <v>787</v>
      </c>
      <c r="F698" t="s">
        <v>15</v>
      </c>
      <c r="G698" t="s">
        <v>63</v>
      </c>
      <c r="H698" t="s">
        <v>227</v>
      </c>
      <c r="I698" t="s">
        <v>448</v>
      </c>
      <c r="J698" t="s">
        <v>1294</v>
      </c>
      <c r="K698" t="s">
        <v>1143</v>
      </c>
    </row>
    <row r="699" spans="1:11" x14ac:dyDescent="0.25">
      <c r="A699">
        <v>698</v>
      </c>
      <c r="B699" t="s">
        <v>947</v>
      </c>
      <c r="C699" t="s">
        <v>948</v>
      </c>
      <c r="D699" t="s">
        <v>13</v>
      </c>
      <c r="E699" t="s">
        <v>787</v>
      </c>
      <c r="F699" t="s">
        <v>15</v>
      </c>
      <c r="G699" t="s">
        <v>63</v>
      </c>
      <c r="H699" t="s">
        <v>227</v>
      </c>
      <c r="I699" t="s">
        <v>448</v>
      </c>
      <c r="J699" t="s">
        <v>1294</v>
      </c>
      <c r="K699" t="s">
        <v>1143</v>
      </c>
    </row>
    <row r="700" spans="1:11" x14ac:dyDescent="0.25">
      <c r="A700">
        <v>699</v>
      </c>
      <c r="B700" t="s">
        <v>793</v>
      </c>
      <c r="C700" t="s">
        <v>794</v>
      </c>
      <c r="D700" t="s">
        <v>13</v>
      </c>
      <c r="E700" t="s">
        <v>33</v>
      </c>
      <c r="F700" t="s">
        <v>90</v>
      </c>
      <c r="G700" t="s">
        <v>63</v>
      </c>
      <c r="H700" t="s">
        <v>795</v>
      </c>
      <c r="I700" t="s">
        <v>796</v>
      </c>
      <c r="J700" t="s">
        <v>1294</v>
      </c>
      <c r="K700" t="s">
        <v>797</v>
      </c>
    </row>
    <row r="701" spans="1:11" x14ac:dyDescent="0.25">
      <c r="A701">
        <v>700</v>
      </c>
      <c r="B701" t="s">
        <v>213</v>
      </c>
      <c r="C701" t="s">
        <v>214</v>
      </c>
      <c r="D701" t="s">
        <v>45</v>
      </c>
      <c r="E701" t="s">
        <v>215</v>
      </c>
      <c r="F701" t="s">
        <v>125</v>
      </c>
      <c r="G701" t="s">
        <v>63</v>
      </c>
      <c r="H701" t="s">
        <v>216</v>
      </c>
      <c r="I701" t="s">
        <v>217</v>
      </c>
      <c r="J701" t="s">
        <v>1294</v>
      </c>
      <c r="K701" t="s">
        <v>50</v>
      </c>
    </row>
    <row r="702" spans="1:11" x14ac:dyDescent="0.25">
      <c r="A702">
        <v>701</v>
      </c>
      <c r="B702" t="s">
        <v>400</v>
      </c>
      <c r="C702" t="s">
        <v>401</v>
      </c>
      <c r="D702" t="s">
        <v>13</v>
      </c>
      <c r="E702" t="s">
        <v>1319</v>
      </c>
      <c r="F702" t="s">
        <v>136</v>
      </c>
      <c r="G702" t="s">
        <v>1320</v>
      </c>
      <c r="H702" t="s">
        <v>1321</v>
      </c>
      <c r="I702" t="s">
        <v>594</v>
      </c>
      <c r="J702" t="s">
        <v>1294</v>
      </c>
      <c r="K702" t="s">
        <v>50</v>
      </c>
    </row>
    <row r="703" spans="1:11" x14ac:dyDescent="0.25">
      <c r="A703">
        <v>702</v>
      </c>
      <c r="B703" t="s">
        <v>213</v>
      </c>
      <c r="C703" t="s">
        <v>214</v>
      </c>
      <c r="D703" t="s">
        <v>45</v>
      </c>
      <c r="E703" t="s">
        <v>215</v>
      </c>
      <c r="F703" t="s">
        <v>125</v>
      </c>
      <c r="G703" t="s">
        <v>63</v>
      </c>
      <c r="H703" t="s">
        <v>216</v>
      </c>
      <c r="I703" t="s">
        <v>217</v>
      </c>
      <c r="J703" t="s">
        <v>1294</v>
      </c>
      <c r="K703" t="s">
        <v>212</v>
      </c>
    </row>
    <row r="704" spans="1:11" x14ac:dyDescent="0.25">
      <c r="A704">
        <v>703</v>
      </c>
      <c r="B704" t="s">
        <v>1322</v>
      </c>
      <c r="C704" t="s">
        <v>1323</v>
      </c>
      <c r="D704" t="s">
        <v>88</v>
      </c>
      <c r="E704" t="s">
        <v>284</v>
      </c>
      <c r="F704" t="s">
        <v>15</v>
      </c>
      <c r="G704" t="s">
        <v>63</v>
      </c>
      <c r="H704" t="s">
        <v>141</v>
      </c>
      <c r="I704" t="s">
        <v>333</v>
      </c>
      <c r="J704" t="s">
        <v>1294</v>
      </c>
      <c r="K704" t="s">
        <v>212</v>
      </c>
    </row>
    <row r="705" spans="1:11" x14ac:dyDescent="0.25">
      <c r="A705">
        <v>704</v>
      </c>
      <c r="B705" t="s">
        <v>888</v>
      </c>
      <c r="C705" t="s">
        <v>889</v>
      </c>
      <c r="D705" t="s">
        <v>13</v>
      </c>
      <c r="E705" t="s">
        <v>114</v>
      </c>
      <c r="F705" t="s">
        <v>90</v>
      </c>
      <c r="G705" t="s">
        <v>63</v>
      </c>
      <c r="H705" t="s">
        <v>852</v>
      </c>
      <c r="I705" t="s">
        <v>272</v>
      </c>
      <c r="J705" t="s">
        <v>1294</v>
      </c>
      <c r="K705" t="s">
        <v>483</v>
      </c>
    </row>
    <row r="706" spans="1:11" x14ac:dyDescent="0.25">
      <c r="A706">
        <v>705</v>
      </c>
      <c r="B706" t="s">
        <v>11</v>
      </c>
      <c r="C706" t="s">
        <v>12</v>
      </c>
      <c r="D706" t="s">
        <v>13</v>
      </c>
      <c r="E706" t="s">
        <v>15</v>
      </c>
      <c r="F706" t="s">
        <v>15</v>
      </c>
      <c r="G706" t="s">
        <v>15</v>
      </c>
      <c r="H706" t="s">
        <v>15</v>
      </c>
      <c r="I706" t="s">
        <v>15</v>
      </c>
      <c r="J706" t="s">
        <v>1294</v>
      </c>
      <c r="K706" t="s">
        <v>119</v>
      </c>
    </row>
    <row r="707" spans="1:11" x14ac:dyDescent="0.25">
      <c r="A707">
        <v>706</v>
      </c>
      <c r="B707" t="s">
        <v>99</v>
      </c>
      <c r="C707" t="s">
        <v>100</v>
      </c>
      <c r="D707" t="s">
        <v>88</v>
      </c>
      <c r="E707" t="s">
        <v>101</v>
      </c>
      <c r="F707" t="s">
        <v>90</v>
      </c>
      <c r="G707" t="s">
        <v>102</v>
      </c>
      <c r="H707" t="s">
        <v>427</v>
      </c>
      <c r="I707" t="s">
        <v>712</v>
      </c>
      <c r="J707" t="s">
        <v>1294</v>
      </c>
      <c r="K707" t="s">
        <v>119</v>
      </c>
    </row>
    <row r="708" spans="1:11" x14ac:dyDescent="0.25">
      <c r="A708">
        <v>707</v>
      </c>
      <c r="B708" t="s">
        <v>55</v>
      </c>
      <c r="C708" t="s">
        <v>56</v>
      </c>
      <c r="D708" t="s">
        <v>13</v>
      </c>
      <c r="E708" t="s">
        <v>263</v>
      </c>
      <c r="F708" t="s">
        <v>15</v>
      </c>
      <c r="G708" t="s">
        <v>47</v>
      </c>
      <c r="H708" t="s">
        <v>264</v>
      </c>
      <c r="I708" t="s">
        <v>205</v>
      </c>
      <c r="J708" t="s">
        <v>1294</v>
      </c>
      <c r="K708" t="s">
        <v>247</v>
      </c>
    </row>
    <row r="709" spans="1:11" x14ac:dyDescent="0.25">
      <c r="A709">
        <v>708</v>
      </c>
      <c r="B709" t="s">
        <v>1324</v>
      </c>
      <c r="C709" t="s">
        <v>1325</v>
      </c>
      <c r="D709" t="s">
        <v>45</v>
      </c>
      <c r="E709" t="s">
        <v>267</v>
      </c>
      <c r="F709" t="s">
        <v>15</v>
      </c>
      <c r="G709" t="s">
        <v>136</v>
      </c>
      <c r="H709" t="s">
        <v>27</v>
      </c>
      <c r="I709" t="s">
        <v>150</v>
      </c>
      <c r="J709" t="s">
        <v>1294</v>
      </c>
      <c r="K709" t="s">
        <v>500</v>
      </c>
    </row>
    <row r="710" spans="1:11" x14ac:dyDescent="0.25">
      <c r="A710">
        <v>709</v>
      </c>
      <c r="B710" t="s">
        <v>248</v>
      </c>
      <c r="C710" t="s">
        <v>249</v>
      </c>
      <c r="D710" t="s">
        <v>250</v>
      </c>
      <c r="E710" t="s">
        <v>712</v>
      </c>
      <c r="F710" t="s">
        <v>15</v>
      </c>
      <c r="G710" t="s">
        <v>125</v>
      </c>
      <c r="H710" t="s">
        <v>377</v>
      </c>
      <c r="I710" t="s">
        <v>490</v>
      </c>
      <c r="J710" t="s">
        <v>1294</v>
      </c>
      <c r="K710" t="s">
        <v>500</v>
      </c>
    </row>
    <row r="711" spans="1:11" x14ac:dyDescent="0.25">
      <c r="A711">
        <v>710</v>
      </c>
      <c r="B711" t="s">
        <v>163</v>
      </c>
      <c r="C711" t="s">
        <v>164</v>
      </c>
      <c r="D711" t="s">
        <v>45</v>
      </c>
      <c r="E711" t="s">
        <v>873</v>
      </c>
      <c r="F711" t="s">
        <v>15</v>
      </c>
      <c r="G711" t="s">
        <v>47</v>
      </c>
      <c r="H711" t="s">
        <v>802</v>
      </c>
      <c r="I711" t="s">
        <v>874</v>
      </c>
      <c r="J711" t="s">
        <v>1294</v>
      </c>
      <c r="K711" t="s">
        <v>500</v>
      </c>
    </row>
    <row r="712" spans="1:11" x14ac:dyDescent="0.25">
      <c r="A712">
        <v>711</v>
      </c>
      <c r="B712" t="s">
        <v>421</v>
      </c>
      <c r="C712" t="s">
        <v>422</v>
      </c>
      <c r="D712" t="s">
        <v>45</v>
      </c>
      <c r="E712" t="s">
        <v>15</v>
      </c>
      <c r="F712" t="s">
        <v>125</v>
      </c>
      <c r="G712" t="s">
        <v>15</v>
      </c>
      <c r="H712" t="s">
        <v>533</v>
      </c>
      <c r="I712" t="s">
        <v>533</v>
      </c>
      <c r="J712" t="s">
        <v>1294</v>
      </c>
      <c r="K712" t="s">
        <v>500</v>
      </c>
    </row>
    <row r="713" spans="1:11" x14ac:dyDescent="0.25">
      <c r="A713">
        <v>712</v>
      </c>
      <c r="B713" t="s">
        <v>116</v>
      </c>
      <c r="C713" t="s">
        <v>117</v>
      </c>
      <c r="D713" t="s">
        <v>13</v>
      </c>
      <c r="E713" t="s">
        <v>815</v>
      </c>
      <c r="F713" t="s">
        <v>290</v>
      </c>
      <c r="G713" t="s">
        <v>816</v>
      </c>
      <c r="H713" t="s">
        <v>815</v>
      </c>
      <c r="I713" t="s">
        <v>15</v>
      </c>
      <c r="J713" t="s">
        <v>1294</v>
      </c>
      <c r="K713" t="s">
        <v>1326</v>
      </c>
    </row>
    <row r="714" spans="1:11" x14ac:dyDescent="0.25">
      <c r="A714">
        <v>713</v>
      </c>
      <c r="B714" t="s">
        <v>248</v>
      </c>
      <c r="C714" t="s">
        <v>249</v>
      </c>
      <c r="D714" t="s">
        <v>250</v>
      </c>
      <c r="E714" t="s">
        <v>1327</v>
      </c>
      <c r="F714" t="s">
        <v>15</v>
      </c>
      <c r="G714" t="s">
        <v>90</v>
      </c>
      <c r="H714" t="s">
        <v>60</v>
      </c>
      <c r="I714" t="s">
        <v>1328</v>
      </c>
      <c r="J714" t="s">
        <v>1294</v>
      </c>
      <c r="K714" t="s">
        <v>525</v>
      </c>
    </row>
    <row r="715" spans="1:11" x14ac:dyDescent="0.25">
      <c r="A715">
        <v>714</v>
      </c>
      <c r="B715" t="s">
        <v>1296</v>
      </c>
      <c r="C715" t="s">
        <v>1297</v>
      </c>
      <c r="D715" t="s">
        <v>13</v>
      </c>
      <c r="E715" t="s">
        <v>1329</v>
      </c>
      <c r="F715" t="s">
        <v>15</v>
      </c>
      <c r="G715" t="s">
        <v>58</v>
      </c>
      <c r="H715" t="s">
        <v>352</v>
      </c>
      <c r="I715" t="s">
        <v>1330</v>
      </c>
      <c r="J715" t="s">
        <v>1294</v>
      </c>
      <c r="K715" t="s">
        <v>525</v>
      </c>
    </row>
    <row r="716" spans="1:11" x14ac:dyDescent="0.25">
      <c r="A716">
        <v>715</v>
      </c>
      <c r="B716" t="s">
        <v>1301</v>
      </c>
      <c r="C716" t="s">
        <v>1302</v>
      </c>
      <c r="D716" t="s">
        <v>13</v>
      </c>
      <c r="E716" t="s">
        <v>1331</v>
      </c>
      <c r="F716" t="s">
        <v>15</v>
      </c>
      <c r="G716" t="s">
        <v>58</v>
      </c>
      <c r="H716" t="s">
        <v>284</v>
      </c>
      <c r="I716" t="s">
        <v>1332</v>
      </c>
      <c r="J716" t="s">
        <v>1294</v>
      </c>
      <c r="K716" t="s">
        <v>525</v>
      </c>
    </row>
    <row r="717" spans="1:11" x14ac:dyDescent="0.25">
      <c r="A717">
        <v>716</v>
      </c>
      <c r="B717" t="s">
        <v>403</v>
      </c>
      <c r="C717" t="s">
        <v>404</v>
      </c>
      <c r="D717" t="s">
        <v>369</v>
      </c>
      <c r="E717" t="s">
        <v>1053</v>
      </c>
      <c r="F717" t="s">
        <v>15</v>
      </c>
      <c r="G717" t="s">
        <v>90</v>
      </c>
      <c r="H717" t="s">
        <v>1053</v>
      </c>
      <c r="I717" t="s">
        <v>15</v>
      </c>
      <c r="J717" t="s">
        <v>1294</v>
      </c>
      <c r="K717" t="s">
        <v>525</v>
      </c>
    </row>
    <row r="718" spans="1:11" x14ac:dyDescent="0.25">
      <c r="A718">
        <v>717</v>
      </c>
      <c r="B718" t="s">
        <v>793</v>
      </c>
      <c r="C718" t="s">
        <v>794</v>
      </c>
      <c r="D718" t="s">
        <v>13</v>
      </c>
      <c r="E718" t="s">
        <v>74</v>
      </c>
      <c r="F718" t="s">
        <v>90</v>
      </c>
      <c r="G718" t="s">
        <v>59</v>
      </c>
      <c r="H718" t="s">
        <v>1333</v>
      </c>
      <c r="I718" t="s">
        <v>1264</v>
      </c>
      <c r="J718" t="s">
        <v>1294</v>
      </c>
      <c r="K718" t="s">
        <v>1334</v>
      </c>
    </row>
    <row r="719" spans="1:11" x14ac:dyDescent="0.25">
      <c r="A719">
        <v>718</v>
      </c>
      <c r="B719" t="s">
        <v>516</v>
      </c>
      <c r="C719" t="s">
        <v>517</v>
      </c>
      <c r="D719" t="s">
        <v>518</v>
      </c>
      <c r="E719" t="s">
        <v>15</v>
      </c>
      <c r="F719" t="s">
        <v>15</v>
      </c>
      <c r="G719" t="s">
        <v>15</v>
      </c>
      <c r="H719" t="s">
        <v>1335</v>
      </c>
      <c r="I719" t="s">
        <v>1335</v>
      </c>
      <c r="J719" t="s">
        <v>1294</v>
      </c>
      <c r="K719" t="s">
        <v>1334</v>
      </c>
    </row>
    <row r="720" spans="1:11" x14ac:dyDescent="0.25">
      <c r="A720">
        <v>719</v>
      </c>
      <c r="B720" t="s">
        <v>259</v>
      </c>
      <c r="C720" t="s">
        <v>260</v>
      </c>
      <c r="D720" t="s">
        <v>88</v>
      </c>
      <c r="E720" t="s">
        <v>464</v>
      </c>
      <c r="F720" t="s">
        <v>47</v>
      </c>
      <c r="G720" t="s">
        <v>47</v>
      </c>
      <c r="H720" t="s">
        <v>431</v>
      </c>
      <c r="I720" t="s">
        <v>277</v>
      </c>
      <c r="J720" t="s">
        <v>1336</v>
      </c>
      <c r="K720" t="s">
        <v>663</v>
      </c>
    </row>
    <row r="721" spans="1:11" x14ac:dyDescent="0.25">
      <c r="A721">
        <v>720</v>
      </c>
      <c r="B721" t="s">
        <v>429</v>
      </c>
      <c r="C721" t="s">
        <v>430</v>
      </c>
      <c r="D721" t="s">
        <v>88</v>
      </c>
      <c r="E721" t="s">
        <v>15</v>
      </c>
      <c r="F721" t="s">
        <v>102</v>
      </c>
      <c r="G721" t="s">
        <v>15</v>
      </c>
      <c r="H721" t="s">
        <v>1337</v>
      </c>
      <c r="I721" t="s">
        <v>1337</v>
      </c>
      <c r="J721" t="s">
        <v>1336</v>
      </c>
      <c r="K721" t="s">
        <v>1338</v>
      </c>
    </row>
    <row r="722" spans="1:11" x14ac:dyDescent="0.25">
      <c r="A722">
        <v>721</v>
      </c>
      <c r="B722" t="s">
        <v>259</v>
      </c>
      <c r="C722" t="s">
        <v>260</v>
      </c>
      <c r="D722" t="s">
        <v>88</v>
      </c>
      <c r="E722" t="s">
        <v>730</v>
      </c>
      <c r="F722" t="s">
        <v>15</v>
      </c>
      <c r="G722" t="s">
        <v>102</v>
      </c>
      <c r="H722" t="s">
        <v>1339</v>
      </c>
      <c r="I722" t="s">
        <v>1340</v>
      </c>
      <c r="J722" t="s">
        <v>1336</v>
      </c>
      <c r="K722" t="s">
        <v>1338</v>
      </c>
    </row>
    <row r="723" spans="1:11" x14ac:dyDescent="0.25">
      <c r="A723">
        <v>722</v>
      </c>
      <c r="B723" t="s">
        <v>261</v>
      </c>
      <c r="C723" t="s">
        <v>262</v>
      </c>
      <c r="D723" t="s">
        <v>88</v>
      </c>
      <c r="E723" t="s">
        <v>464</v>
      </c>
      <c r="F723" t="s">
        <v>47</v>
      </c>
      <c r="G723" t="s">
        <v>47</v>
      </c>
      <c r="H723" t="s">
        <v>431</v>
      </c>
      <c r="I723" t="s">
        <v>277</v>
      </c>
      <c r="J723" t="s">
        <v>1336</v>
      </c>
      <c r="K723" t="s">
        <v>1338</v>
      </c>
    </row>
    <row r="724" spans="1:11" x14ac:dyDescent="0.25">
      <c r="A724">
        <v>723</v>
      </c>
      <c r="B724" t="s">
        <v>1278</v>
      </c>
      <c r="C724" t="s">
        <v>1279</v>
      </c>
      <c r="D724" t="s">
        <v>13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1336</v>
      </c>
      <c r="K724" t="s">
        <v>478</v>
      </c>
    </row>
    <row r="725" spans="1:11" x14ac:dyDescent="0.25">
      <c r="A725">
        <v>724</v>
      </c>
      <c r="B725" t="s">
        <v>259</v>
      </c>
      <c r="C725" t="s">
        <v>260</v>
      </c>
      <c r="D725" t="s">
        <v>88</v>
      </c>
      <c r="E725" t="s">
        <v>464</v>
      </c>
      <c r="F725" t="s">
        <v>15</v>
      </c>
      <c r="G725" t="s">
        <v>47</v>
      </c>
      <c r="H725" t="s">
        <v>462</v>
      </c>
      <c r="I725" t="s">
        <v>465</v>
      </c>
      <c r="J725" t="s">
        <v>1336</v>
      </c>
      <c r="K725" t="s">
        <v>1341</v>
      </c>
    </row>
    <row r="726" spans="1:11" x14ac:dyDescent="0.25">
      <c r="A726">
        <v>725</v>
      </c>
      <c r="B726" t="s">
        <v>261</v>
      </c>
      <c r="C726" t="s">
        <v>262</v>
      </c>
      <c r="D726" t="s">
        <v>88</v>
      </c>
      <c r="E726" t="s">
        <v>15</v>
      </c>
      <c r="F726" t="s">
        <v>47</v>
      </c>
      <c r="G726" t="s">
        <v>15</v>
      </c>
      <c r="H726" t="s">
        <v>1067</v>
      </c>
      <c r="I726" t="s">
        <v>1067</v>
      </c>
      <c r="J726" t="s">
        <v>1336</v>
      </c>
      <c r="K726" t="s">
        <v>1341</v>
      </c>
    </row>
    <row r="727" spans="1:11" x14ac:dyDescent="0.25">
      <c r="A727">
        <v>726</v>
      </c>
      <c r="B727" t="s">
        <v>393</v>
      </c>
      <c r="C727" t="s">
        <v>394</v>
      </c>
      <c r="D727" t="s">
        <v>339</v>
      </c>
      <c r="E727" t="s">
        <v>1342</v>
      </c>
      <c r="F727" t="s">
        <v>15</v>
      </c>
      <c r="G727" t="s">
        <v>102</v>
      </c>
      <c r="H727" t="s">
        <v>237</v>
      </c>
      <c r="I727" t="s">
        <v>1343</v>
      </c>
      <c r="J727" t="s">
        <v>1336</v>
      </c>
      <c r="K727" t="s">
        <v>1341</v>
      </c>
    </row>
    <row r="728" spans="1:11" x14ac:dyDescent="0.25">
      <c r="A728">
        <v>727</v>
      </c>
      <c r="B728" t="s">
        <v>11</v>
      </c>
      <c r="C728" t="s">
        <v>12</v>
      </c>
      <c r="D728" t="s">
        <v>13</v>
      </c>
      <c r="E728" t="s">
        <v>18</v>
      </c>
      <c r="F728" t="s">
        <v>32</v>
      </c>
      <c r="G728" t="s">
        <v>70</v>
      </c>
      <c r="H728" t="s">
        <v>778</v>
      </c>
      <c r="I728" t="s">
        <v>779</v>
      </c>
      <c r="J728" t="s">
        <v>1336</v>
      </c>
      <c r="K728" t="s">
        <v>119</v>
      </c>
    </row>
    <row r="729" spans="1:11" x14ac:dyDescent="0.25">
      <c r="A729">
        <v>728</v>
      </c>
      <c r="B729" t="s">
        <v>1069</v>
      </c>
      <c r="C729" t="s">
        <v>1070</v>
      </c>
      <c r="D729" t="s">
        <v>88</v>
      </c>
      <c r="E729" t="s">
        <v>15</v>
      </c>
      <c r="F729" t="s">
        <v>290</v>
      </c>
      <c r="G729" t="s">
        <v>15</v>
      </c>
      <c r="H729" t="s">
        <v>953</v>
      </c>
      <c r="I729" t="s">
        <v>953</v>
      </c>
      <c r="J729" t="s">
        <v>1336</v>
      </c>
      <c r="K729" t="s">
        <v>1344</v>
      </c>
    </row>
    <row r="730" spans="1:11" x14ac:dyDescent="0.25">
      <c r="A730">
        <v>729</v>
      </c>
      <c r="B730" t="s">
        <v>429</v>
      </c>
      <c r="C730" t="s">
        <v>430</v>
      </c>
      <c r="D730" t="s">
        <v>88</v>
      </c>
      <c r="E730" t="s">
        <v>114</v>
      </c>
      <c r="F730" t="s">
        <v>15</v>
      </c>
      <c r="G730" t="s">
        <v>125</v>
      </c>
      <c r="H730" t="s">
        <v>254</v>
      </c>
      <c r="I730" t="s">
        <v>258</v>
      </c>
      <c r="J730" t="s">
        <v>1336</v>
      </c>
      <c r="K730" t="s">
        <v>1344</v>
      </c>
    </row>
    <row r="731" spans="1:11" x14ac:dyDescent="0.25">
      <c r="A731">
        <v>730</v>
      </c>
      <c r="B731" t="s">
        <v>259</v>
      </c>
      <c r="C731" t="s">
        <v>260</v>
      </c>
      <c r="D731" t="s">
        <v>88</v>
      </c>
      <c r="E731" t="s">
        <v>114</v>
      </c>
      <c r="F731" t="s">
        <v>15</v>
      </c>
      <c r="G731" t="s">
        <v>125</v>
      </c>
      <c r="H731" t="s">
        <v>254</v>
      </c>
      <c r="I731" t="s">
        <v>258</v>
      </c>
      <c r="J731" t="s">
        <v>1336</v>
      </c>
      <c r="K731" t="s">
        <v>1344</v>
      </c>
    </row>
    <row r="732" spans="1:11" x14ac:dyDescent="0.25">
      <c r="A732">
        <v>731</v>
      </c>
      <c r="B732" t="s">
        <v>261</v>
      </c>
      <c r="C732" t="s">
        <v>262</v>
      </c>
      <c r="D732" t="s">
        <v>88</v>
      </c>
      <c r="E732" t="s">
        <v>114</v>
      </c>
      <c r="F732" t="s">
        <v>15</v>
      </c>
      <c r="G732" t="s">
        <v>125</v>
      </c>
      <c r="H732" t="s">
        <v>254</v>
      </c>
      <c r="I732" t="s">
        <v>258</v>
      </c>
      <c r="J732" t="s">
        <v>1336</v>
      </c>
      <c r="K732" t="s">
        <v>1344</v>
      </c>
    </row>
    <row r="733" spans="1:11" x14ac:dyDescent="0.25">
      <c r="A733">
        <v>732</v>
      </c>
      <c r="B733" t="s">
        <v>259</v>
      </c>
      <c r="C733" t="s">
        <v>260</v>
      </c>
      <c r="D733" t="s">
        <v>88</v>
      </c>
      <c r="E733" t="s">
        <v>461</v>
      </c>
      <c r="F733" t="s">
        <v>290</v>
      </c>
      <c r="G733" t="s">
        <v>741</v>
      </c>
      <c r="H733" t="s">
        <v>1345</v>
      </c>
      <c r="I733" t="s">
        <v>195</v>
      </c>
      <c r="J733" t="s">
        <v>1336</v>
      </c>
      <c r="K733" t="s">
        <v>1346</v>
      </c>
    </row>
    <row r="734" spans="1:11" x14ac:dyDescent="0.25">
      <c r="A734">
        <v>733</v>
      </c>
      <c r="B734" t="s">
        <v>261</v>
      </c>
      <c r="C734" t="s">
        <v>262</v>
      </c>
      <c r="D734" t="s">
        <v>88</v>
      </c>
      <c r="E734" t="s">
        <v>15</v>
      </c>
      <c r="F734" t="s">
        <v>47</v>
      </c>
      <c r="G734" t="s">
        <v>15</v>
      </c>
      <c r="H734" t="s">
        <v>1067</v>
      </c>
      <c r="I734" t="s">
        <v>1067</v>
      </c>
      <c r="J734" t="s">
        <v>1336</v>
      </c>
      <c r="K734" t="s">
        <v>1346</v>
      </c>
    </row>
    <row r="735" spans="1:11" x14ac:dyDescent="0.25">
      <c r="A735">
        <v>734</v>
      </c>
      <c r="B735" t="s">
        <v>382</v>
      </c>
      <c r="C735" t="s">
        <v>383</v>
      </c>
      <c r="D735" t="s">
        <v>339</v>
      </c>
      <c r="E735" t="s">
        <v>384</v>
      </c>
      <c r="F735" t="s">
        <v>15</v>
      </c>
      <c r="G735" t="s">
        <v>90</v>
      </c>
      <c r="H735" t="s">
        <v>222</v>
      </c>
      <c r="I735" t="s">
        <v>1347</v>
      </c>
      <c r="J735" t="s">
        <v>1336</v>
      </c>
      <c r="K735" t="s">
        <v>1348</v>
      </c>
    </row>
    <row r="736" spans="1:11" x14ac:dyDescent="0.25">
      <c r="A736">
        <v>735</v>
      </c>
      <c r="B736" t="s">
        <v>389</v>
      </c>
      <c r="C736" t="s">
        <v>390</v>
      </c>
      <c r="D736" t="s">
        <v>339</v>
      </c>
      <c r="E736" t="s">
        <v>384</v>
      </c>
      <c r="F736" t="s">
        <v>15</v>
      </c>
      <c r="G736" t="s">
        <v>90</v>
      </c>
      <c r="H736" t="s">
        <v>222</v>
      </c>
      <c r="I736" t="s">
        <v>1347</v>
      </c>
      <c r="J736" t="s">
        <v>1336</v>
      </c>
      <c r="K736" t="s">
        <v>1348</v>
      </c>
    </row>
    <row r="737" spans="1:11" x14ac:dyDescent="0.25">
      <c r="A737">
        <v>736</v>
      </c>
      <c r="B737" t="s">
        <v>1349</v>
      </c>
      <c r="C737" t="s">
        <v>1350</v>
      </c>
      <c r="D737" t="s">
        <v>339</v>
      </c>
      <c r="E737" t="s">
        <v>384</v>
      </c>
      <c r="F737" t="s">
        <v>15</v>
      </c>
      <c r="G737" t="s">
        <v>90</v>
      </c>
      <c r="H737" t="s">
        <v>222</v>
      </c>
      <c r="I737" t="s">
        <v>1347</v>
      </c>
      <c r="J737" t="s">
        <v>1336</v>
      </c>
      <c r="K737" t="s">
        <v>1348</v>
      </c>
    </row>
    <row r="738" spans="1:11" x14ac:dyDescent="0.25">
      <c r="A738">
        <v>737</v>
      </c>
      <c r="B738" t="s">
        <v>391</v>
      </c>
      <c r="C738" t="s">
        <v>392</v>
      </c>
      <c r="D738" t="s">
        <v>339</v>
      </c>
      <c r="E738" t="s">
        <v>384</v>
      </c>
      <c r="F738" t="s">
        <v>15</v>
      </c>
      <c r="G738" t="s">
        <v>90</v>
      </c>
      <c r="H738" t="s">
        <v>222</v>
      </c>
      <c r="I738" t="s">
        <v>1347</v>
      </c>
      <c r="J738" t="s">
        <v>1336</v>
      </c>
      <c r="K738" t="s">
        <v>1348</v>
      </c>
    </row>
    <row r="739" spans="1:11" x14ac:dyDescent="0.25">
      <c r="A739">
        <v>738</v>
      </c>
      <c r="B739" t="s">
        <v>393</v>
      </c>
      <c r="C739" t="s">
        <v>394</v>
      </c>
      <c r="D739" t="s">
        <v>339</v>
      </c>
      <c r="E739" t="s">
        <v>384</v>
      </c>
      <c r="F739" t="s">
        <v>15</v>
      </c>
      <c r="G739" t="s">
        <v>90</v>
      </c>
      <c r="H739" t="s">
        <v>222</v>
      </c>
      <c r="I739" t="s">
        <v>1347</v>
      </c>
      <c r="J739" t="s">
        <v>1336</v>
      </c>
      <c r="K739" t="s">
        <v>1348</v>
      </c>
    </row>
    <row r="740" spans="1:11" x14ac:dyDescent="0.25">
      <c r="A740">
        <v>739</v>
      </c>
      <c r="B740" t="s">
        <v>398</v>
      </c>
      <c r="C740" t="s">
        <v>399</v>
      </c>
      <c r="D740" t="s">
        <v>339</v>
      </c>
      <c r="E740" t="s">
        <v>384</v>
      </c>
      <c r="F740" t="s">
        <v>15</v>
      </c>
      <c r="G740" t="s">
        <v>90</v>
      </c>
      <c r="H740" t="s">
        <v>222</v>
      </c>
      <c r="I740" t="s">
        <v>1347</v>
      </c>
      <c r="J740" t="s">
        <v>1336</v>
      </c>
      <c r="K740" t="s">
        <v>1348</v>
      </c>
    </row>
    <row r="741" spans="1:11" x14ac:dyDescent="0.25">
      <c r="A741">
        <v>740</v>
      </c>
      <c r="B741" t="s">
        <v>382</v>
      </c>
      <c r="C741" t="s">
        <v>383</v>
      </c>
      <c r="D741" t="s">
        <v>339</v>
      </c>
      <c r="E741" t="s">
        <v>384</v>
      </c>
      <c r="F741" t="s">
        <v>15</v>
      </c>
      <c r="G741" t="s">
        <v>90</v>
      </c>
      <c r="H741" t="s">
        <v>385</v>
      </c>
      <c r="I741" t="s">
        <v>386</v>
      </c>
      <c r="J741" t="s">
        <v>1336</v>
      </c>
      <c r="K741" t="s">
        <v>1064</v>
      </c>
    </row>
    <row r="742" spans="1:11" x14ac:dyDescent="0.25">
      <c r="A742">
        <v>741</v>
      </c>
      <c r="B742" t="s">
        <v>389</v>
      </c>
      <c r="C742" t="s">
        <v>390</v>
      </c>
      <c r="D742" t="s">
        <v>339</v>
      </c>
      <c r="E742" t="s">
        <v>384</v>
      </c>
      <c r="F742" t="s">
        <v>15</v>
      </c>
      <c r="G742" t="s">
        <v>90</v>
      </c>
      <c r="H742" t="s">
        <v>385</v>
      </c>
      <c r="I742" t="s">
        <v>386</v>
      </c>
      <c r="J742" t="s">
        <v>1336</v>
      </c>
      <c r="K742" t="s">
        <v>1064</v>
      </c>
    </row>
    <row r="743" spans="1:11" x14ac:dyDescent="0.25">
      <c r="A743">
        <v>742</v>
      </c>
      <c r="B743" t="s">
        <v>1349</v>
      </c>
      <c r="C743" t="s">
        <v>1350</v>
      </c>
      <c r="D743" t="s">
        <v>339</v>
      </c>
      <c r="E743" t="s">
        <v>384</v>
      </c>
      <c r="F743" t="s">
        <v>15</v>
      </c>
      <c r="G743" t="s">
        <v>90</v>
      </c>
      <c r="H743" t="s">
        <v>385</v>
      </c>
      <c r="I743" t="s">
        <v>386</v>
      </c>
      <c r="J743" t="s">
        <v>1336</v>
      </c>
      <c r="K743" t="s">
        <v>1064</v>
      </c>
    </row>
    <row r="744" spans="1:11" x14ac:dyDescent="0.25">
      <c r="A744">
        <v>743</v>
      </c>
      <c r="B744" t="s">
        <v>391</v>
      </c>
      <c r="C744" t="s">
        <v>392</v>
      </c>
      <c r="D744" t="s">
        <v>339</v>
      </c>
      <c r="E744" t="s">
        <v>384</v>
      </c>
      <c r="F744" t="s">
        <v>15</v>
      </c>
      <c r="G744" t="s">
        <v>90</v>
      </c>
      <c r="H744" t="s">
        <v>385</v>
      </c>
      <c r="I744" t="s">
        <v>386</v>
      </c>
      <c r="J744" t="s">
        <v>1336</v>
      </c>
      <c r="K744" t="s">
        <v>1064</v>
      </c>
    </row>
    <row r="745" spans="1:11" x14ac:dyDescent="0.25">
      <c r="A745">
        <v>744</v>
      </c>
      <c r="B745" t="s">
        <v>393</v>
      </c>
      <c r="C745" t="s">
        <v>394</v>
      </c>
      <c r="D745" t="s">
        <v>339</v>
      </c>
      <c r="E745" t="s">
        <v>384</v>
      </c>
      <c r="F745" t="s">
        <v>15</v>
      </c>
      <c r="G745" t="s">
        <v>90</v>
      </c>
      <c r="H745" t="s">
        <v>385</v>
      </c>
      <c r="I745" t="s">
        <v>386</v>
      </c>
      <c r="J745" t="s">
        <v>1336</v>
      </c>
      <c r="K745" t="s">
        <v>1064</v>
      </c>
    </row>
    <row r="746" spans="1:11" x14ac:dyDescent="0.25">
      <c r="A746">
        <v>745</v>
      </c>
      <c r="B746" t="s">
        <v>1351</v>
      </c>
      <c r="C746" t="s">
        <v>1352</v>
      </c>
      <c r="D746" t="s">
        <v>88</v>
      </c>
      <c r="E746" t="s">
        <v>1353</v>
      </c>
      <c r="F746" t="s">
        <v>15</v>
      </c>
      <c r="G746" t="s">
        <v>32</v>
      </c>
      <c r="H746" t="s">
        <v>74</v>
      </c>
      <c r="I746" t="s">
        <v>1354</v>
      </c>
      <c r="J746" t="s">
        <v>1355</v>
      </c>
      <c r="K746" t="s">
        <v>1214</v>
      </c>
    </row>
    <row r="747" spans="1:11" x14ac:dyDescent="0.25">
      <c r="A747">
        <v>746</v>
      </c>
      <c r="B747" t="s">
        <v>1356</v>
      </c>
      <c r="C747" t="s">
        <v>1357</v>
      </c>
      <c r="D747" t="s">
        <v>88</v>
      </c>
      <c r="E747" t="s">
        <v>1353</v>
      </c>
      <c r="F747" t="s">
        <v>15</v>
      </c>
      <c r="G747" t="s">
        <v>32</v>
      </c>
      <c r="H747" t="s">
        <v>74</v>
      </c>
      <c r="I747" t="s">
        <v>1354</v>
      </c>
      <c r="J747" t="s">
        <v>1355</v>
      </c>
      <c r="K747" t="s">
        <v>1214</v>
      </c>
    </row>
    <row r="748" spans="1:11" x14ac:dyDescent="0.25">
      <c r="A748">
        <v>747</v>
      </c>
      <c r="B748" t="s">
        <v>1315</v>
      </c>
      <c r="C748" t="s">
        <v>1316</v>
      </c>
      <c r="D748" t="s">
        <v>88</v>
      </c>
      <c r="E748" t="s">
        <v>232</v>
      </c>
      <c r="F748" t="s">
        <v>290</v>
      </c>
      <c r="G748" t="s">
        <v>58</v>
      </c>
      <c r="H748" t="s">
        <v>486</v>
      </c>
      <c r="I748" t="s">
        <v>1358</v>
      </c>
      <c r="J748" t="s">
        <v>1355</v>
      </c>
      <c r="K748" t="s">
        <v>1230</v>
      </c>
    </row>
    <row r="749" spans="1:11" x14ac:dyDescent="0.25">
      <c r="A749">
        <v>748</v>
      </c>
      <c r="B749" t="s">
        <v>1359</v>
      </c>
      <c r="C749" t="s">
        <v>1360</v>
      </c>
      <c r="D749" t="s">
        <v>88</v>
      </c>
      <c r="E749" t="s">
        <v>232</v>
      </c>
      <c r="F749" t="s">
        <v>90</v>
      </c>
      <c r="G749" t="s">
        <v>58</v>
      </c>
      <c r="H749" t="s">
        <v>1094</v>
      </c>
      <c r="I749" t="s">
        <v>712</v>
      </c>
      <c r="J749" t="s">
        <v>1355</v>
      </c>
      <c r="K749" t="s">
        <v>1230</v>
      </c>
    </row>
    <row r="750" spans="1:11" x14ac:dyDescent="0.25">
      <c r="A750">
        <v>749</v>
      </c>
      <c r="B750" t="s">
        <v>1351</v>
      </c>
      <c r="C750" t="s">
        <v>1352</v>
      </c>
      <c r="D750" t="s">
        <v>88</v>
      </c>
      <c r="E750" t="s">
        <v>1353</v>
      </c>
      <c r="F750" t="s">
        <v>15</v>
      </c>
      <c r="G750" t="s">
        <v>32</v>
      </c>
      <c r="H750" t="s">
        <v>74</v>
      </c>
      <c r="I750" t="s">
        <v>1354</v>
      </c>
      <c r="J750" t="s">
        <v>1355</v>
      </c>
      <c r="K750" t="s">
        <v>666</v>
      </c>
    </row>
    <row r="751" spans="1:11" x14ac:dyDescent="0.25">
      <c r="A751">
        <v>750</v>
      </c>
      <c r="B751" t="s">
        <v>1356</v>
      </c>
      <c r="C751" t="s">
        <v>1357</v>
      </c>
      <c r="D751" t="s">
        <v>88</v>
      </c>
      <c r="E751" t="s">
        <v>1353</v>
      </c>
      <c r="F751" t="s">
        <v>15</v>
      </c>
      <c r="G751" t="s">
        <v>32</v>
      </c>
      <c r="H751" t="s">
        <v>74</v>
      </c>
      <c r="I751" t="s">
        <v>1354</v>
      </c>
      <c r="J751" t="s">
        <v>1355</v>
      </c>
      <c r="K751" t="s">
        <v>666</v>
      </c>
    </row>
    <row r="752" spans="1:11" x14ac:dyDescent="0.25">
      <c r="A752">
        <v>751</v>
      </c>
      <c r="B752" t="s">
        <v>941</v>
      </c>
      <c r="C752" t="s">
        <v>942</v>
      </c>
      <c r="D752" t="s">
        <v>13</v>
      </c>
      <c r="E752" t="s">
        <v>940</v>
      </c>
      <c r="F752" t="s">
        <v>15</v>
      </c>
      <c r="G752" t="s">
        <v>58</v>
      </c>
      <c r="H752" t="s">
        <v>349</v>
      </c>
      <c r="I752" t="s">
        <v>104</v>
      </c>
      <c r="J752" t="s">
        <v>1355</v>
      </c>
      <c r="K752" t="s">
        <v>666</v>
      </c>
    </row>
    <row r="753" spans="1:11" x14ac:dyDescent="0.25">
      <c r="A753">
        <v>752</v>
      </c>
      <c r="B753" t="s">
        <v>945</v>
      </c>
      <c r="C753" t="s">
        <v>946</v>
      </c>
      <c r="D753" t="s">
        <v>13</v>
      </c>
      <c r="E753" t="s">
        <v>940</v>
      </c>
      <c r="F753" t="s">
        <v>15</v>
      </c>
      <c r="G753" t="s">
        <v>58</v>
      </c>
      <c r="H753" t="s">
        <v>349</v>
      </c>
      <c r="I753" t="s">
        <v>104</v>
      </c>
      <c r="J753" t="s">
        <v>1355</v>
      </c>
      <c r="K753" t="s">
        <v>666</v>
      </c>
    </row>
    <row r="754" spans="1:11" x14ac:dyDescent="0.25">
      <c r="A754">
        <v>753</v>
      </c>
      <c r="B754" t="s">
        <v>479</v>
      </c>
      <c r="C754" t="s">
        <v>480</v>
      </c>
      <c r="D754" t="s">
        <v>45</v>
      </c>
      <c r="E754" t="s">
        <v>27</v>
      </c>
      <c r="F754" t="s">
        <v>125</v>
      </c>
      <c r="G754" t="s">
        <v>102</v>
      </c>
      <c r="H754" t="s">
        <v>570</v>
      </c>
      <c r="I754" t="s">
        <v>332</v>
      </c>
      <c r="J754" t="s">
        <v>1355</v>
      </c>
      <c r="K754" t="s">
        <v>127</v>
      </c>
    </row>
    <row r="755" spans="1:11" x14ac:dyDescent="0.25">
      <c r="A755">
        <v>754</v>
      </c>
      <c r="B755" t="s">
        <v>1211</v>
      </c>
      <c r="C755" t="s">
        <v>1212</v>
      </c>
      <c r="D755" t="s">
        <v>13</v>
      </c>
      <c r="E755" t="s">
        <v>265</v>
      </c>
      <c r="F755" t="s">
        <v>15</v>
      </c>
      <c r="G755" t="s">
        <v>653</v>
      </c>
      <c r="H755" t="s">
        <v>879</v>
      </c>
      <c r="I755" t="s">
        <v>203</v>
      </c>
      <c r="J755" t="s">
        <v>1355</v>
      </c>
      <c r="K755" t="s">
        <v>127</v>
      </c>
    </row>
    <row r="756" spans="1:11" x14ac:dyDescent="0.25">
      <c r="A756">
        <v>755</v>
      </c>
      <c r="B756" t="s">
        <v>259</v>
      </c>
      <c r="C756" t="s">
        <v>260</v>
      </c>
      <c r="D756" t="s">
        <v>88</v>
      </c>
      <c r="E756" t="s">
        <v>464</v>
      </c>
      <c r="F756" t="s">
        <v>15</v>
      </c>
      <c r="G756" t="s">
        <v>47</v>
      </c>
      <c r="H756" t="s">
        <v>462</v>
      </c>
      <c r="I756" t="s">
        <v>465</v>
      </c>
      <c r="J756" t="s">
        <v>1355</v>
      </c>
      <c r="K756" t="s">
        <v>1361</v>
      </c>
    </row>
    <row r="757" spans="1:11" x14ac:dyDescent="0.25">
      <c r="A757">
        <v>756</v>
      </c>
      <c r="B757" t="s">
        <v>261</v>
      </c>
      <c r="C757" t="s">
        <v>262</v>
      </c>
      <c r="D757" t="s">
        <v>88</v>
      </c>
      <c r="E757" t="s">
        <v>15</v>
      </c>
      <c r="F757" t="s">
        <v>47</v>
      </c>
      <c r="G757" t="s">
        <v>15</v>
      </c>
      <c r="H757" t="s">
        <v>1067</v>
      </c>
      <c r="I757" t="s">
        <v>1067</v>
      </c>
      <c r="J757" t="s">
        <v>1355</v>
      </c>
      <c r="K757" t="s">
        <v>1361</v>
      </c>
    </row>
    <row r="758" spans="1:11" x14ac:dyDescent="0.25">
      <c r="A758">
        <v>757</v>
      </c>
      <c r="B758" t="s">
        <v>111</v>
      </c>
      <c r="C758" t="s">
        <v>112</v>
      </c>
      <c r="D758" t="s">
        <v>13</v>
      </c>
      <c r="E758" t="s">
        <v>1362</v>
      </c>
      <c r="F758" t="s">
        <v>15</v>
      </c>
      <c r="G758" t="s">
        <v>1320</v>
      </c>
      <c r="H758" t="s">
        <v>1321</v>
      </c>
      <c r="I758" t="s">
        <v>151</v>
      </c>
      <c r="J758" t="s">
        <v>1355</v>
      </c>
      <c r="K758" t="s">
        <v>1361</v>
      </c>
    </row>
    <row r="759" spans="1:11" x14ac:dyDescent="0.25">
      <c r="A759">
        <v>758</v>
      </c>
      <c r="B759" t="s">
        <v>479</v>
      </c>
      <c r="C759" t="s">
        <v>480</v>
      </c>
      <c r="D759" t="s">
        <v>45</v>
      </c>
      <c r="E759" t="s">
        <v>27</v>
      </c>
      <c r="F759" t="s">
        <v>15</v>
      </c>
      <c r="G759" t="s">
        <v>102</v>
      </c>
      <c r="H759" t="s">
        <v>463</v>
      </c>
      <c r="I759" t="s">
        <v>643</v>
      </c>
      <c r="J759" t="s">
        <v>1363</v>
      </c>
      <c r="K759" t="s">
        <v>535</v>
      </c>
    </row>
    <row r="760" spans="1:11" x14ac:dyDescent="0.25">
      <c r="A760">
        <v>759</v>
      </c>
      <c r="B760" t="s">
        <v>400</v>
      </c>
      <c r="C760" t="s">
        <v>401</v>
      </c>
      <c r="D760" t="s">
        <v>13</v>
      </c>
      <c r="E760" t="s">
        <v>402</v>
      </c>
      <c r="F760" t="s">
        <v>15</v>
      </c>
      <c r="G760" t="s">
        <v>25</v>
      </c>
      <c r="H760" t="s">
        <v>520</v>
      </c>
      <c r="I760" t="s">
        <v>203</v>
      </c>
      <c r="J760" t="s">
        <v>1363</v>
      </c>
      <c r="K760" t="s">
        <v>535</v>
      </c>
    </row>
    <row r="761" spans="1:11" x14ac:dyDescent="0.25">
      <c r="A761">
        <v>760</v>
      </c>
      <c r="B761" t="s">
        <v>1146</v>
      </c>
      <c r="C761" t="s">
        <v>1147</v>
      </c>
      <c r="D761" t="s">
        <v>13</v>
      </c>
      <c r="E761" t="s">
        <v>1364</v>
      </c>
      <c r="F761" t="s">
        <v>15</v>
      </c>
      <c r="G761" t="s">
        <v>102</v>
      </c>
      <c r="H761" t="s">
        <v>1365</v>
      </c>
      <c r="I761" t="s">
        <v>1366</v>
      </c>
      <c r="J761" t="s">
        <v>1367</v>
      </c>
      <c r="K761" t="s">
        <v>733</v>
      </c>
    </row>
    <row r="762" spans="1:11" x14ac:dyDescent="0.25">
      <c r="A762">
        <v>761</v>
      </c>
      <c r="B762" t="s">
        <v>183</v>
      </c>
      <c r="C762" t="s">
        <v>184</v>
      </c>
      <c r="D762" t="s">
        <v>23</v>
      </c>
      <c r="E762" t="s">
        <v>15</v>
      </c>
      <c r="F762" t="s">
        <v>102</v>
      </c>
      <c r="G762" t="s">
        <v>15</v>
      </c>
      <c r="H762" t="s">
        <v>1368</v>
      </c>
      <c r="I762" t="s">
        <v>1368</v>
      </c>
      <c r="J762" t="s">
        <v>1367</v>
      </c>
      <c r="K762" t="s">
        <v>733</v>
      </c>
    </row>
    <row r="763" spans="1:11" x14ac:dyDescent="0.25">
      <c r="A763">
        <v>762</v>
      </c>
      <c r="B763" t="s">
        <v>516</v>
      </c>
      <c r="C763" t="s">
        <v>517</v>
      </c>
      <c r="D763" t="s">
        <v>518</v>
      </c>
      <c r="E763" t="s">
        <v>15</v>
      </c>
      <c r="F763" t="s">
        <v>15</v>
      </c>
      <c r="G763" t="s">
        <v>15</v>
      </c>
      <c r="H763" t="s">
        <v>1369</v>
      </c>
      <c r="I763" t="s">
        <v>1369</v>
      </c>
      <c r="J763" t="s">
        <v>1367</v>
      </c>
      <c r="K763" t="s">
        <v>733</v>
      </c>
    </row>
    <row r="764" spans="1:11" x14ac:dyDescent="0.25">
      <c r="A764">
        <v>763</v>
      </c>
      <c r="B764" t="s">
        <v>11</v>
      </c>
      <c r="C764" t="s">
        <v>12</v>
      </c>
      <c r="D764" t="s">
        <v>13</v>
      </c>
      <c r="E764" t="s">
        <v>781</v>
      </c>
      <c r="F764" t="s">
        <v>90</v>
      </c>
      <c r="G764" t="s">
        <v>196</v>
      </c>
      <c r="H764" t="s">
        <v>1019</v>
      </c>
      <c r="I764" t="s">
        <v>1020</v>
      </c>
      <c r="J764" t="s">
        <v>1367</v>
      </c>
      <c r="K764" t="s">
        <v>1215</v>
      </c>
    </row>
    <row r="765" spans="1:11" x14ac:dyDescent="0.25">
      <c r="A765">
        <v>764</v>
      </c>
      <c r="B765" t="s">
        <v>421</v>
      </c>
      <c r="C765" t="s">
        <v>422</v>
      </c>
      <c r="D765" t="s">
        <v>45</v>
      </c>
      <c r="E765" t="s">
        <v>423</v>
      </c>
      <c r="F765" t="s">
        <v>15</v>
      </c>
      <c r="G765" t="s">
        <v>102</v>
      </c>
      <c r="H765" t="s">
        <v>424</v>
      </c>
      <c r="I765" t="s">
        <v>425</v>
      </c>
      <c r="J765" t="s">
        <v>1367</v>
      </c>
      <c r="K765" t="s">
        <v>42</v>
      </c>
    </row>
    <row r="766" spans="1:11" x14ac:dyDescent="0.25">
      <c r="A766">
        <v>765</v>
      </c>
      <c r="B766" t="s">
        <v>36</v>
      </c>
      <c r="C766" t="s">
        <v>37</v>
      </c>
      <c r="D766" t="s">
        <v>13</v>
      </c>
      <c r="E766" t="s">
        <v>665</v>
      </c>
      <c r="F766" t="s">
        <v>15</v>
      </c>
      <c r="G766" t="s">
        <v>497</v>
      </c>
      <c r="H766" t="s">
        <v>1370</v>
      </c>
      <c r="I766" t="s">
        <v>1371</v>
      </c>
      <c r="J766" t="s">
        <v>1367</v>
      </c>
      <c r="K766" t="s">
        <v>42</v>
      </c>
    </row>
    <row r="767" spans="1:11" x14ac:dyDescent="0.25">
      <c r="A767">
        <v>766</v>
      </c>
      <c r="B767" t="s">
        <v>259</v>
      </c>
      <c r="C767" t="s">
        <v>260</v>
      </c>
      <c r="D767" t="s">
        <v>88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 t="s">
        <v>1372</v>
      </c>
      <c r="K767" t="s">
        <v>176</v>
      </c>
    </row>
    <row r="768" spans="1:11" x14ac:dyDescent="0.25">
      <c r="A768">
        <v>767</v>
      </c>
      <c r="B768" t="s">
        <v>261</v>
      </c>
      <c r="C768" t="s">
        <v>262</v>
      </c>
      <c r="D768" t="s">
        <v>88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1372</v>
      </c>
      <c r="K768" t="s">
        <v>176</v>
      </c>
    </row>
    <row r="769" spans="1:11" x14ac:dyDescent="0.25">
      <c r="A769">
        <v>768</v>
      </c>
      <c r="B769" t="s">
        <v>201</v>
      </c>
      <c r="C769" t="s">
        <v>202</v>
      </c>
      <c r="D769" t="s">
        <v>23</v>
      </c>
      <c r="E769" t="s">
        <v>15</v>
      </c>
      <c r="F769" t="s">
        <v>709</v>
      </c>
      <c r="G769" t="s">
        <v>15</v>
      </c>
      <c r="H769" t="s">
        <v>1373</v>
      </c>
      <c r="I769" t="s">
        <v>1373</v>
      </c>
      <c r="J769" t="s">
        <v>1372</v>
      </c>
      <c r="K769" t="s">
        <v>176</v>
      </c>
    </row>
    <row r="770" spans="1:11" x14ac:dyDescent="0.25">
      <c r="A770">
        <v>769</v>
      </c>
      <c r="B770" t="s">
        <v>640</v>
      </c>
      <c r="C770" t="s">
        <v>641</v>
      </c>
      <c r="D770" t="s">
        <v>194</v>
      </c>
      <c r="E770" t="s">
        <v>1374</v>
      </c>
      <c r="F770" t="s">
        <v>15</v>
      </c>
      <c r="G770" t="s">
        <v>58</v>
      </c>
      <c r="H770" t="s">
        <v>1375</v>
      </c>
      <c r="I770" t="s">
        <v>306</v>
      </c>
      <c r="J770" t="s">
        <v>1372</v>
      </c>
      <c r="K770" t="s">
        <v>176</v>
      </c>
    </row>
    <row r="771" spans="1:11" x14ac:dyDescent="0.25">
      <c r="A771">
        <v>770</v>
      </c>
      <c r="B771" t="s">
        <v>645</v>
      </c>
      <c r="C771" t="s">
        <v>646</v>
      </c>
      <c r="D771" t="s">
        <v>194</v>
      </c>
      <c r="E771" t="s">
        <v>1376</v>
      </c>
      <c r="F771" t="s">
        <v>15</v>
      </c>
      <c r="G771" t="s">
        <v>63</v>
      </c>
      <c r="H771" t="s">
        <v>1321</v>
      </c>
      <c r="I771" t="s">
        <v>1377</v>
      </c>
      <c r="J771" t="s">
        <v>1372</v>
      </c>
      <c r="K771" t="s">
        <v>176</v>
      </c>
    </row>
    <row r="772" spans="1:11" x14ac:dyDescent="0.25">
      <c r="A772">
        <v>771</v>
      </c>
      <c r="B772" t="s">
        <v>922</v>
      </c>
      <c r="C772" t="s">
        <v>923</v>
      </c>
      <c r="D772" t="s">
        <v>85</v>
      </c>
      <c r="E772" t="s">
        <v>475</v>
      </c>
      <c r="F772" t="s">
        <v>15</v>
      </c>
      <c r="G772" t="s">
        <v>63</v>
      </c>
      <c r="H772" t="s">
        <v>103</v>
      </c>
      <c r="I772" t="s">
        <v>1013</v>
      </c>
      <c r="J772" t="s">
        <v>1372</v>
      </c>
      <c r="K772" t="s">
        <v>191</v>
      </c>
    </row>
    <row r="773" spans="1:11" x14ac:dyDescent="0.25">
      <c r="A773">
        <v>772</v>
      </c>
      <c r="B773" t="s">
        <v>400</v>
      </c>
      <c r="C773" t="s">
        <v>401</v>
      </c>
      <c r="D773" t="s">
        <v>13</v>
      </c>
      <c r="E773" t="s">
        <v>402</v>
      </c>
      <c r="F773" t="s">
        <v>15</v>
      </c>
      <c r="G773" t="s">
        <v>25</v>
      </c>
      <c r="H773" t="s">
        <v>132</v>
      </c>
      <c r="I773" t="s">
        <v>222</v>
      </c>
      <c r="J773" t="s">
        <v>1372</v>
      </c>
      <c r="K773" t="s">
        <v>191</v>
      </c>
    </row>
    <row r="774" spans="1:11" x14ac:dyDescent="0.25">
      <c r="A774">
        <v>773</v>
      </c>
      <c r="B774" t="s">
        <v>67</v>
      </c>
      <c r="C774" t="s">
        <v>68</v>
      </c>
      <c r="D774" t="s">
        <v>13</v>
      </c>
      <c r="E774" t="s">
        <v>69</v>
      </c>
      <c r="F774" t="s">
        <v>15</v>
      </c>
      <c r="G774" t="s">
        <v>70</v>
      </c>
      <c r="H774" t="s">
        <v>558</v>
      </c>
      <c r="I774" t="s">
        <v>75</v>
      </c>
      <c r="J774" t="s">
        <v>1372</v>
      </c>
      <c r="K774" t="s">
        <v>828</v>
      </c>
    </row>
    <row r="775" spans="1:11" x14ac:dyDescent="0.25">
      <c r="A775">
        <v>774</v>
      </c>
      <c r="B775" t="s">
        <v>11</v>
      </c>
      <c r="C775" t="s">
        <v>12</v>
      </c>
      <c r="D775" t="s">
        <v>13</v>
      </c>
      <c r="E775" t="s">
        <v>18</v>
      </c>
      <c r="F775" t="s">
        <v>15</v>
      </c>
      <c r="G775" t="s">
        <v>70</v>
      </c>
      <c r="H775" t="s">
        <v>780</v>
      </c>
      <c r="I775" t="s">
        <v>781</v>
      </c>
      <c r="J775" t="s">
        <v>1372</v>
      </c>
      <c r="K775" t="s">
        <v>20</v>
      </c>
    </row>
    <row r="776" spans="1:11" x14ac:dyDescent="0.25">
      <c r="A776">
        <v>775</v>
      </c>
      <c r="B776" t="s">
        <v>1069</v>
      </c>
      <c r="C776" t="s">
        <v>1070</v>
      </c>
      <c r="D776" t="s">
        <v>88</v>
      </c>
      <c r="E776" t="s">
        <v>15</v>
      </c>
      <c r="F776" t="s">
        <v>125</v>
      </c>
      <c r="G776" t="s">
        <v>15</v>
      </c>
      <c r="H776" t="s">
        <v>15</v>
      </c>
      <c r="I776" t="s">
        <v>15</v>
      </c>
      <c r="J776" t="s">
        <v>1372</v>
      </c>
      <c r="K776" t="s">
        <v>420</v>
      </c>
    </row>
    <row r="777" spans="1:11" x14ac:dyDescent="0.25">
      <c r="A777">
        <v>776</v>
      </c>
      <c r="B777" t="s">
        <v>668</v>
      </c>
      <c r="C777" t="s">
        <v>669</v>
      </c>
      <c r="D777" t="s">
        <v>88</v>
      </c>
      <c r="E777" t="s">
        <v>271</v>
      </c>
      <c r="F777" t="s">
        <v>15</v>
      </c>
      <c r="G777" t="s">
        <v>125</v>
      </c>
      <c r="H777" t="s">
        <v>657</v>
      </c>
      <c r="I777" t="s">
        <v>852</v>
      </c>
      <c r="J777" t="s">
        <v>1372</v>
      </c>
      <c r="K777" t="s">
        <v>420</v>
      </c>
    </row>
    <row r="778" spans="1:11" x14ac:dyDescent="0.25">
      <c r="A778">
        <v>777</v>
      </c>
      <c r="B778" t="s">
        <v>314</v>
      </c>
      <c r="C778" t="s">
        <v>315</v>
      </c>
      <c r="D778" t="s">
        <v>13</v>
      </c>
      <c r="E778" t="s">
        <v>427</v>
      </c>
      <c r="F778" t="s">
        <v>15</v>
      </c>
      <c r="G778" t="s">
        <v>70</v>
      </c>
      <c r="H778" t="s">
        <v>424</v>
      </c>
      <c r="I778" t="s">
        <v>109</v>
      </c>
      <c r="J778" t="s">
        <v>1372</v>
      </c>
      <c r="K778" t="s">
        <v>428</v>
      </c>
    </row>
    <row r="779" spans="1:11" x14ac:dyDescent="0.25">
      <c r="A779">
        <v>778</v>
      </c>
      <c r="B779" t="s">
        <v>86</v>
      </c>
      <c r="C779" t="s">
        <v>87</v>
      </c>
      <c r="D779" t="s">
        <v>88</v>
      </c>
      <c r="E779" t="s">
        <v>299</v>
      </c>
      <c r="F779" t="s">
        <v>125</v>
      </c>
      <c r="G779" t="s">
        <v>47</v>
      </c>
      <c r="H779" t="s">
        <v>57</v>
      </c>
      <c r="I779" t="s">
        <v>300</v>
      </c>
      <c r="J779" t="s">
        <v>1372</v>
      </c>
      <c r="K779" t="s">
        <v>575</v>
      </c>
    </row>
    <row r="780" spans="1:11" x14ac:dyDescent="0.25">
      <c r="A780">
        <v>779</v>
      </c>
      <c r="B780" t="s">
        <v>269</v>
      </c>
      <c r="C780" t="s">
        <v>270</v>
      </c>
      <c r="D780" t="s">
        <v>13</v>
      </c>
      <c r="E780" t="s">
        <v>755</v>
      </c>
      <c r="F780" t="s">
        <v>15</v>
      </c>
      <c r="G780" t="s">
        <v>952</v>
      </c>
      <c r="H780" t="s">
        <v>27</v>
      </c>
      <c r="I780" t="s">
        <v>114</v>
      </c>
      <c r="J780" t="s">
        <v>1372</v>
      </c>
      <c r="K780" t="s">
        <v>575</v>
      </c>
    </row>
    <row r="781" spans="1:11" x14ac:dyDescent="0.25">
      <c r="A781">
        <v>780</v>
      </c>
      <c r="B781" t="s">
        <v>1378</v>
      </c>
      <c r="C781" t="s">
        <v>1379</v>
      </c>
      <c r="D781" t="s">
        <v>88</v>
      </c>
      <c r="E781" t="s">
        <v>263</v>
      </c>
      <c r="F781" t="s">
        <v>15</v>
      </c>
      <c r="G781" t="s">
        <v>47</v>
      </c>
      <c r="H781" t="s">
        <v>415</v>
      </c>
      <c r="I781" t="s">
        <v>346</v>
      </c>
      <c r="J781" t="s">
        <v>1372</v>
      </c>
      <c r="K781" t="s">
        <v>280</v>
      </c>
    </row>
    <row r="782" spans="1:11" x14ac:dyDescent="0.25">
      <c r="A782">
        <v>781</v>
      </c>
      <c r="B782" t="s">
        <v>1380</v>
      </c>
      <c r="C782" t="s">
        <v>1381</v>
      </c>
      <c r="D782" t="s">
        <v>88</v>
      </c>
      <c r="E782" t="s">
        <v>263</v>
      </c>
      <c r="F782" t="s">
        <v>15</v>
      </c>
      <c r="G782" t="s">
        <v>47</v>
      </c>
      <c r="H782" t="s">
        <v>415</v>
      </c>
      <c r="I782" t="s">
        <v>346</v>
      </c>
      <c r="J782" t="s">
        <v>1372</v>
      </c>
      <c r="K782" t="s">
        <v>280</v>
      </c>
    </row>
    <row r="783" spans="1:11" x14ac:dyDescent="0.25">
      <c r="A783">
        <v>782</v>
      </c>
      <c r="B783" t="s">
        <v>1382</v>
      </c>
      <c r="C783" t="s">
        <v>1383</v>
      </c>
      <c r="D783" t="s">
        <v>88</v>
      </c>
      <c r="E783" t="s">
        <v>263</v>
      </c>
      <c r="F783" t="s">
        <v>15</v>
      </c>
      <c r="G783" t="s">
        <v>47</v>
      </c>
      <c r="H783" t="s">
        <v>415</v>
      </c>
      <c r="I783" t="s">
        <v>346</v>
      </c>
      <c r="J783" t="s">
        <v>1372</v>
      </c>
      <c r="K783" t="s">
        <v>280</v>
      </c>
    </row>
    <row r="784" spans="1:11" x14ac:dyDescent="0.25">
      <c r="A784">
        <v>783</v>
      </c>
      <c r="B784" t="s">
        <v>1324</v>
      </c>
      <c r="C784" t="s">
        <v>1325</v>
      </c>
      <c r="D784" t="s">
        <v>45</v>
      </c>
      <c r="E784" t="s">
        <v>141</v>
      </c>
      <c r="F784" t="s">
        <v>15</v>
      </c>
      <c r="G784" t="s">
        <v>276</v>
      </c>
      <c r="H784" t="s">
        <v>822</v>
      </c>
      <c r="I784" t="s">
        <v>60</v>
      </c>
      <c r="J784" t="s">
        <v>1372</v>
      </c>
      <c r="K784" t="s">
        <v>578</v>
      </c>
    </row>
    <row r="785" spans="1:11" x14ac:dyDescent="0.25">
      <c r="A785">
        <v>784</v>
      </c>
      <c r="B785" t="s">
        <v>248</v>
      </c>
      <c r="C785" t="s">
        <v>249</v>
      </c>
      <c r="D785" t="s">
        <v>250</v>
      </c>
      <c r="E785" t="s">
        <v>1327</v>
      </c>
      <c r="F785" t="s">
        <v>15</v>
      </c>
      <c r="G785" t="s">
        <v>90</v>
      </c>
      <c r="H785" t="s">
        <v>60</v>
      </c>
      <c r="I785" t="s">
        <v>1328</v>
      </c>
      <c r="J785" t="s">
        <v>1372</v>
      </c>
      <c r="K785" t="s">
        <v>578</v>
      </c>
    </row>
    <row r="786" spans="1:11" x14ac:dyDescent="0.25">
      <c r="A786">
        <v>785</v>
      </c>
      <c r="B786" t="s">
        <v>133</v>
      </c>
      <c r="C786" t="s">
        <v>134</v>
      </c>
      <c r="D786" t="s">
        <v>13</v>
      </c>
      <c r="E786" t="s">
        <v>135</v>
      </c>
      <c r="F786" t="s">
        <v>15</v>
      </c>
      <c r="G786" t="s">
        <v>136</v>
      </c>
      <c r="H786" t="s">
        <v>574</v>
      </c>
      <c r="I786" t="s">
        <v>583</v>
      </c>
      <c r="J786" t="s">
        <v>1372</v>
      </c>
      <c r="K786" t="s">
        <v>578</v>
      </c>
    </row>
    <row r="787" spans="1:11" x14ac:dyDescent="0.25">
      <c r="A787">
        <v>786</v>
      </c>
      <c r="B787" t="s">
        <v>413</v>
      </c>
      <c r="C787" t="s">
        <v>414</v>
      </c>
      <c r="D787" t="s">
        <v>194</v>
      </c>
      <c r="E787" t="s">
        <v>415</v>
      </c>
      <c r="F787" t="s">
        <v>90</v>
      </c>
      <c r="G787" t="s">
        <v>196</v>
      </c>
      <c r="H787" t="s">
        <v>264</v>
      </c>
      <c r="I787" t="s">
        <v>490</v>
      </c>
      <c r="J787" t="s">
        <v>1372</v>
      </c>
      <c r="K787" t="s">
        <v>578</v>
      </c>
    </row>
    <row r="788" spans="1:11" x14ac:dyDescent="0.25">
      <c r="A788">
        <v>787</v>
      </c>
      <c r="B788" t="s">
        <v>163</v>
      </c>
      <c r="C788" t="s">
        <v>164</v>
      </c>
      <c r="D788" t="s">
        <v>45</v>
      </c>
      <c r="E788" t="s">
        <v>536</v>
      </c>
      <c r="F788" t="s">
        <v>32</v>
      </c>
      <c r="G788" t="s">
        <v>196</v>
      </c>
      <c r="H788" t="s">
        <v>537</v>
      </c>
      <c r="I788" t="s">
        <v>538</v>
      </c>
      <c r="J788" t="s">
        <v>1372</v>
      </c>
      <c r="K788" t="s">
        <v>451</v>
      </c>
    </row>
    <row r="789" spans="1:11" x14ac:dyDescent="0.25">
      <c r="A789">
        <v>788</v>
      </c>
      <c r="B789" t="s">
        <v>11</v>
      </c>
      <c r="C789" t="s">
        <v>12</v>
      </c>
      <c r="D789" t="s">
        <v>13</v>
      </c>
      <c r="E789" t="s">
        <v>18</v>
      </c>
      <c r="F789" t="s">
        <v>32</v>
      </c>
      <c r="G789" t="s">
        <v>70</v>
      </c>
      <c r="H789" t="s">
        <v>778</v>
      </c>
      <c r="I789" t="s">
        <v>779</v>
      </c>
      <c r="J789" t="s">
        <v>1372</v>
      </c>
      <c r="K789" t="s">
        <v>206</v>
      </c>
    </row>
    <row r="790" spans="1:11" x14ac:dyDescent="0.25">
      <c r="A790">
        <v>789</v>
      </c>
      <c r="B790" t="s">
        <v>1384</v>
      </c>
      <c r="C790" t="s">
        <v>1385</v>
      </c>
      <c r="D790" t="s">
        <v>85</v>
      </c>
      <c r="E790" t="s">
        <v>1386</v>
      </c>
      <c r="F790" t="s">
        <v>15</v>
      </c>
      <c r="G790" t="s">
        <v>63</v>
      </c>
      <c r="H790" t="s">
        <v>130</v>
      </c>
      <c r="I790" t="s">
        <v>1387</v>
      </c>
      <c r="J790" t="s">
        <v>1372</v>
      </c>
      <c r="K790" t="s">
        <v>50</v>
      </c>
    </row>
    <row r="791" spans="1:11" x14ac:dyDescent="0.25">
      <c r="A791">
        <v>790</v>
      </c>
      <c r="B791" t="s">
        <v>354</v>
      </c>
      <c r="C791" t="s">
        <v>355</v>
      </c>
      <c r="D791" t="s">
        <v>13</v>
      </c>
      <c r="E791" t="s">
        <v>634</v>
      </c>
      <c r="F791" t="s">
        <v>15</v>
      </c>
      <c r="G791" t="s">
        <v>63</v>
      </c>
      <c r="H791" t="s">
        <v>217</v>
      </c>
      <c r="I791" t="s">
        <v>152</v>
      </c>
      <c r="J791" t="s">
        <v>1372</v>
      </c>
      <c r="K791" t="s">
        <v>483</v>
      </c>
    </row>
    <row r="792" spans="1:11" x14ac:dyDescent="0.25">
      <c r="A792">
        <v>791</v>
      </c>
      <c r="B792" t="s">
        <v>764</v>
      </c>
      <c r="C792" t="s">
        <v>765</v>
      </c>
      <c r="D792" t="s">
        <v>13</v>
      </c>
      <c r="E792" t="s">
        <v>635</v>
      </c>
      <c r="F792" t="s">
        <v>15</v>
      </c>
      <c r="G792" t="s">
        <v>63</v>
      </c>
      <c r="H792" t="s">
        <v>419</v>
      </c>
      <c r="I792" t="s">
        <v>199</v>
      </c>
      <c r="J792" t="s">
        <v>1372</v>
      </c>
      <c r="K792" t="s">
        <v>483</v>
      </c>
    </row>
    <row r="793" spans="1:11" x14ac:dyDescent="0.25">
      <c r="A793">
        <v>792</v>
      </c>
      <c r="B793" t="s">
        <v>491</v>
      </c>
      <c r="C793" t="s">
        <v>492</v>
      </c>
      <c r="D793" t="s">
        <v>88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 t="s">
        <v>1372</v>
      </c>
      <c r="K793" t="s">
        <v>483</v>
      </c>
    </row>
    <row r="794" spans="1:11" x14ac:dyDescent="0.25">
      <c r="A794">
        <v>793</v>
      </c>
      <c r="B794" t="s">
        <v>256</v>
      </c>
      <c r="C794" t="s">
        <v>257</v>
      </c>
      <c r="D794" t="s">
        <v>88</v>
      </c>
      <c r="E794" t="s">
        <v>114</v>
      </c>
      <c r="F794" t="s">
        <v>15</v>
      </c>
      <c r="G794" t="s">
        <v>125</v>
      </c>
      <c r="H794" t="s">
        <v>912</v>
      </c>
      <c r="I794" t="s">
        <v>349</v>
      </c>
      <c r="J794" t="s">
        <v>1372</v>
      </c>
      <c r="K794" t="s">
        <v>247</v>
      </c>
    </row>
    <row r="795" spans="1:11" x14ac:dyDescent="0.25">
      <c r="A795">
        <v>794</v>
      </c>
      <c r="B795" t="s">
        <v>1388</v>
      </c>
      <c r="C795" t="s">
        <v>1389</v>
      </c>
      <c r="D795" t="s">
        <v>88</v>
      </c>
      <c r="E795" t="s">
        <v>1390</v>
      </c>
      <c r="F795" t="s">
        <v>15</v>
      </c>
      <c r="G795" t="s">
        <v>125</v>
      </c>
      <c r="H795" t="s">
        <v>1391</v>
      </c>
      <c r="I795" t="s">
        <v>1392</v>
      </c>
      <c r="J795" t="s">
        <v>1372</v>
      </c>
      <c r="K795" t="s">
        <v>247</v>
      </c>
    </row>
    <row r="796" spans="1:11" x14ac:dyDescent="0.25">
      <c r="A796">
        <v>795</v>
      </c>
      <c r="B796" t="s">
        <v>248</v>
      </c>
      <c r="C796" t="s">
        <v>249</v>
      </c>
      <c r="D796" t="s">
        <v>250</v>
      </c>
      <c r="E796" t="s">
        <v>265</v>
      </c>
      <c r="F796" t="s">
        <v>15</v>
      </c>
      <c r="G796" t="s">
        <v>58</v>
      </c>
      <c r="H796" t="s">
        <v>1393</v>
      </c>
      <c r="I796" t="s">
        <v>217</v>
      </c>
      <c r="J796" t="s">
        <v>1372</v>
      </c>
      <c r="K796" t="s">
        <v>1394</v>
      </c>
    </row>
    <row r="797" spans="1:11" x14ac:dyDescent="0.25">
      <c r="A797">
        <v>796</v>
      </c>
      <c r="B797" t="s">
        <v>169</v>
      </c>
      <c r="C797" t="s">
        <v>170</v>
      </c>
      <c r="D797" t="s">
        <v>88</v>
      </c>
      <c r="E797" t="s">
        <v>1395</v>
      </c>
      <c r="F797" t="s">
        <v>90</v>
      </c>
      <c r="G797" t="s">
        <v>180</v>
      </c>
      <c r="H797" t="s">
        <v>1395</v>
      </c>
      <c r="I797" t="s">
        <v>15</v>
      </c>
      <c r="J797" t="s">
        <v>1372</v>
      </c>
      <c r="K797" t="s">
        <v>1394</v>
      </c>
    </row>
    <row r="798" spans="1:11" x14ac:dyDescent="0.25">
      <c r="A798">
        <v>797</v>
      </c>
      <c r="B798" t="s">
        <v>1396</v>
      </c>
      <c r="C798" t="s">
        <v>1397</v>
      </c>
      <c r="D798" t="s">
        <v>468</v>
      </c>
      <c r="E798" t="s">
        <v>15</v>
      </c>
      <c r="F798" t="s">
        <v>125</v>
      </c>
      <c r="G798" t="s">
        <v>15</v>
      </c>
      <c r="H798" t="s">
        <v>15</v>
      </c>
      <c r="I798" t="s">
        <v>15</v>
      </c>
      <c r="J798" t="s">
        <v>1372</v>
      </c>
      <c r="K798" t="s">
        <v>525</v>
      </c>
    </row>
    <row r="799" spans="1:11" x14ac:dyDescent="0.25">
      <c r="A799">
        <v>798</v>
      </c>
      <c r="B799" t="s">
        <v>1398</v>
      </c>
      <c r="C799" t="s">
        <v>1399</v>
      </c>
      <c r="D799" t="s">
        <v>13</v>
      </c>
      <c r="E799" t="s">
        <v>808</v>
      </c>
      <c r="F799" t="s">
        <v>15</v>
      </c>
      <c r="G799" t="s">
        <v>276</v>
      </c>
      <c r="H799" t="s">
        <v>832</v>
      </c>
      <c r="I799" t="s">
        <v>822</v>
      </c>
      <c r="J799" t="s">
        <v>1372</v>
      </c>
      <c r="K799" t="s">
        <v>525</v>
      </c>
    </row>
    <row r="800" spans="1:11" x14ac:dyDescent="0.25">
      <c r="A800">
        <v>799</v>
      </c>
      <c r="B800" t="s">
        <v>890</v>
      </c>
      <c r="C800" t="s">
        <v>891</v>
      </c>
      <c r="D800" t="s">
        <v>13</v>
      </c>
      <c r="E800" t="s">
        <v>792</v>
      </c>
      <c r="F800" t="s">
        <v>15</v>
      </c>
      <c r="G800" t="s">
        <v>59</v>
      </c>
      <c r="H800" t="s">
        <v>424</v>
      </c>
      <c r="I800" t="s">
        <v>271</v>
      </c>
      <c r="J800" t="s">
        <v>1372</v>
      </c>
      <c r="K800" t="s">
        <v>525</v>
      </c>
    </row>
    <row r="801" spans="1:11" x14ac:dyDescent="0.25">
      <c r="A801">
        <v>800</v>
      </c>
      <c r="B801" t="s">
        <v>111</v>
      </c>
      <c r="C801" t="s">
        <v>112</v>
      </c>
      <c r="D801" t="s">
        <v>13</v>
      </c>
      <c r="E801" t="s">
        <v>101</v>
      </c>
      <c r="F801" t="s">
        <v>15</v>
      </c>
      <c r="G801" t="s">
        <v>136</v>
      </c>
      <c r="H801" t="s">
        <v>27</v>
      </c>
      <c r="I801" t="s">
        <v>327</v>
      </c>
      <c r="J801" t="s">
        <v>1372</v>
      </c>
      <c r="K801" t="s">
        <v>1400</v>
      </c>
    </row>
    <row r="802" spans="1:11" x14ac:dyDescent="0.25">
      <c r="A802">
        <v>801</v>
      </c>
      <c r="B802" t="s">
        <v>1378</v>
      </c>
      <c r="C802" t="s">
        <v>1379</v>
      </c>
      <c r="D802" t="s">
        <v>88</v>
      </c>
      <c r="E802" t="s">
        <v>263</v>
      </c>
      <c r="F802" t="s">
        <v>15</v>
      </c>
      <c r="G802" t="s">
        <v>47</v>
      </c>
      <c r="H802" t="s">
        <v>204</v>
      </c>
      <c r="I802" t="s">
        <v>152</v>
      </c>
      <c r="J802" t="s">
        <v>1372</v>
      </c>
      <c r="K802" t="s">
        <v>1068</v>
      </c>
    </row>
    <row r="803" spans="1:11" x14ac:dyDescent="0.25">
      <c r="A803">
        <v>802</v>
      </c>
      <c r="B803" t="s">
        <v>1380</v>
      </c>
      <c r="C803" t="s">
        <v>1381</v>
      </c>
      <c r="D803" t="s">
        <v>88</v>
      </c>
      <c r="E803" t="s">
        <v>263</v>
      </c>
      <c r="F803" t="s">
        <v>15</v>
      </c>
      <c r="G803" t="s">
        <v>47</v>
      </c>
      <c r="H803" t="s">
        <v>204</v>
      </c>
      <c r="I803" t="s">
        <v>152</v>
      </c>
      <c r="J803" t="s">
        <v>1372</v>
      </c>
      <c r="K803" t="s">
        <v>1068</v>
      </c>
    </row>
    <row r="804" spans="1:11" x14ac:dyDescent="0.25">
      <c r="A804">
        <v>803</v>
      </c>
      <c r="B804" t="s">
        <v>1382</v>
      </c>
      <c r="C804" t="s">
        <v>1383</v>
      </c>
      <c r="D804" t="s">
        <v>88</v>
      </c>
      <c r="E804" t="s">
        <v>263</v>
      </c>
      <c r="F804" t="s">
        <v>15</v>
      </c>
      <c r="G804" t="s">
        <v>47</v>
      </c>
      <c r="H804" t="s">
        <v>204</v>
      </c>
      <c r="I804" t="s">
        <v>152</v>
      </c>
      <c r="J804" t="s">
        <v>1372</v>
      </c>
      <c r="K804" t="s">
        <v>1068</v>
      </c>
    </row>
    <row r="805" spans="1:11" x14ac:dyDescent="0.25">
      <c r="A805">
        <v>804</v>
      </c>
      <c r="B805" t="s">
        <v>618</v>
      </c>
      <c r="C805" t="s">
        <v>619</v>
      </c>
      <c r="D805" t="s">
        <v>88</v>
      </c>
      <c r="E805" t="s">
        <v>615</v>
      </c>
      <c r="F805" t="s">
        <v>15</v>
      </c>
      <c r="G805" t="s">
        <v>125</v>
      </c>
      <c r="H805" t="s">
        <v>72</v>
      </c>
      <c r="I805" t="s">
        <v>616</v>
      </c>
      <c r="J805" t="s">
        <v>1372</v>
      </c>
      <c r="K805" t="s">
        <v>1068</v>
      </c>
    </row>
    <row r="806" spans="1:11" x14ac:dyDescent="0.25">
      <c r="A806">
        <v>805</v>
      </c>
      <c r="B806" t="s">
        <v>287</v>
      </c>
      <c r="C806" t="s">
        <v>288</v>
      </c>
      <c r="D806" t="s">
        <v>88</v>
      </c>
      <c r="E806" t="s">
        <v>15</v>
      </c>
      <c r="F806" t="s">
        <v>15</v>
      </c>
      <c r="G806" t="s">
        <v>15</v>
      </c>
      <c r="H806" t="s">
        <v>15</v>
      </c>
      <c r="I806" t="s">
        <v>15</v>
      </c>
      <c r="J806" t="s">
        <v>1372</v>
      </c>
      <c r="K806" t="s">
        <v>1068</v>
      </c>
    </row>
    <row r="807" spans="1:11" x14ac:dyDescent="0.25">
      <c r="A807">
        <v>806</v>
      </c>
      <c r="B807" t="s">
        <v>297</v>
      </c>
      <c r="C807" t="s">
        <v>298</v>
      </c>
      <c r="D807" t="s">
        <v>88</v>
      </c>
      <c r="E807" t="s">
        <v>15</v>
      </c>
      <c r="F807" t="s">
        <v>15</v>
      </c>
      <c r="G807" t="s">
        <v>15</v>
      </c>
      <c r="H807" t="s">
        <v>15</v>
      </c>
      <c r="I807" t="s">
        <v>15</v>
      </c>
      <c r="J807" t="s">
        <v>1372</v>
      </c>
      <c r="K807" t="s">
        <v>1068</v>
      </c>
    </row>
    <row r="808" spans="1:11" x14ac:dyDescent="0.25">
      <c r="A808">
        <v>807</v>
      </c>
      <c r="B808" t="s">
        <v>1069</v>
      </c>
      <c r="C808" t="s">
        <v>1070</v>
      </c>
      <c r="D808" t="s">
        <v>88</v>
      </c>
      <c r="E808" t="s">
        <v>15</v>
      </c>
      <c r="F808" t="s">
        <v>290</v>
      </c>
      <c r="G808" t="s">
        <v>15</v>
      </c>
      <c r="H808" t="s">
        <v>953</v>
      </c>
      <c r="I808" t="s">
        <v>953</v>
      </c>
      <c r="J808" t="s">
        <v>1372</v>
      </c>
      <c r="K808" t="s">
        <v>285</v>
      </c>
    </row>
    <row r="809" spans="1:11" x14ac:dyDescent="0.25">
      <c r="A809">
        <v>808</v>
      </c>
      <c r="B809" t="s">
        <v>668</v>
      </c>
      <c r="C809" t="s">
        <v>669</v>
      </c>
      <c r="D809" t="s">
        <v>88</v>
      </c>
      <c r="E809" t="s">
        <v>1071</v>
      </c>
      <c r="F809" t="s">
        <v>15</v>
      </c>
      <c r="G809" t="s">
        <v>47</v>
      </c>
      <c r="H809" t="s">
        <v>1072</v>
      </c>
      <c r="I809" t="s">
        <v>461</v>
      </c>
      <c r="J809" t="s">
        <v>1372</v>
      </c>
      <c r="K809" t="s">
        <v>285</v>
      </c>
    </row>
    <row r="810" spans="1:11" x14ac:dyDescent="0.25">
      <c r="A810">
        <v>809</v>
      </c>
      <c r="B810" t="s">
        <v>1401</v>
      </c>
      <c r="C810" t="s">
        <v>1402</v>
      </c>
      <c r="D810" t="s">
        <v>369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1372</v>
      </c>
      <c r="K810" t="s">
        <v>1403</v>
      </c>
    </row>
    <row r="811" spans="1:11" x14ac:dyDescent="0.25">
      <c r="A811">
        <v>810</v>
      </c>
      <c r="B811" t="s">
        <v>367</v>
      </c>
      <c r="C811" t="s">
        <v>368</v>
      </c>
      <c r="D811" t="s">
        <v>369</v>
      </c>
      <c r="E811" t="s">
        <v>1404</v>
      </c>
      <c r="F811" t="s">
        <v>15</v>
      </c>
      <c r="G811" t="s">
        <v>90</v>
      </c>
      <c r="H811" t="s">
        <v>556</v>
      </c>
      <c r="I811" t="s">
        <v>1405</v>
      </c>
      <c r="J811" t="s">
        <v>1372</v>
      </c>
      <c r="K811" t="s">
        <v>1403</v>
      </c>
    </row>
    <row r="812" spans="1:11" x14ac:dyDescent="0.25">
      <c r="A812">
        <v>811</v>
      </c>
      <c r="B812" t="s">
        <v>1378</v>
      </c>
      <c r="C812" t="s">
        <v>1379</v>
      </c>
      <c r="D812" t="s">
        <v>88</v>
      </c>
      <c r="E812" t="s">
        <v>263</v>
      </c>
      <c r="F812" t="s">
        <v>15</v>
      </c>
      <c r="G812" t="s">
        <v>47</v>
      </c>
      <c r="H812" t="s">
        <v>415</v>
      </c>
      <c r="I812" t="s">
        <v>346</v>
      </c>
      <c r="J812" t="s">
        <v>1372</v>
      </c>
      <c r="K812" t="s">
        <v>1406</v>
      </c>
    </row>
    <row r="813" spans="1:11" x14ac:dyDescent="0.25">
      <c r="A813">
        <v>812</v>
      </c>
      <c r="B813" t="s">
        <v>1380</v>
      </c>
      <c r="C813" t="s">
        <v>1381</v>
      </c>
      <c r="D813" t="s">
        <v>88</v>
      </c>
      <c r="E813" t="s">
        <v>263</v>
      </c>
      <c r="F813" t="s">
        <v>15</v>
      </c>
      <c r="G813" t="s">
        <v>47</v>
      </c>
      <c r="H813" t="s">
        <v>415</v>
      </c>
      <c r="I813" t="s">
        <v>346</v>
      </c>
      <c r="J813" t="s">
        <v>1372</v>
      </c>
      <c r="K813" t="s">
        <v>1406</v>
      </c>
    </row>
    <row r="814" spans="1:11" x14ac:dyDescent="0.25">
      <c r="A814">
        <v>813</v>
      </c>
      <c r="B814" t="s">
        <v>1382</v>
      </c>
      <c r="C814" t="s">
        <v>1383</v>
      </c>
      <c r="D814" t="s">
        <v>88</v>
      </c>
      <c r="E814" t="s">
        <v>263</v>
      </c>
      <c r="F814" t="s">
        <v>15</v>
      </c>
      <c r="G814" t="s">
        <v>47</v>
      </c>
      <c r="H814" t="s">
        <v>415</v>
      </c>
      <c r="I814" t="s">
        <v>346</v>
      </c>
      <c r="J814" t="s">
        <v>1372</v>
      </c>
      <c r="K814" t="s">
        <v>1406</v>
      </c>
    </row>
    <row r="815" spans="1:11" x14ac:dyDescent="0.25">
      <c r="A815">
        <v>814</v>
      </c>
      <c r="B815" t="s">
        <v>273</v>
      </c>
      <c r="C815" t="s">
        <v>274</v>
      </c>
      <c r="D815" t="s">
        <v>13</v>
      </c>
      <c r="E815" t="s">
        <v>275</v>
      </c>
      <c r="F815" t="s">
        <v>15</v>
      </c>
      <c r="G815" t="s">
        <v>276</v>
      </c>
      <c r="H815" t="s">
        <v>822</v>
      </c>
      <c r="I815" t="s">
        <v>272</v>
      </c>
      <c r="J815" t="s">
        <v>1372</v>
      </c>
      <c r="K815" t="s">
        <v>1406</v>
      </c>
    </row>
    <row r="816" spans="1:11" x14ac:dyDescent="0.25">
      <c r="A816">
        <v>815</v>
      </c>
      <c r="B816" t="s">
        <v>67</v>
      </c>
      <c r="C816" t="s">
        <v>68</v>
      </c>
      <c r="D816" t="s">
        <v>13</v>
      </c>
      <c r="E816" t="s">
        <v>69</v>
      </c>
      <c r="F816" t="s">
        <v>15</v>
      </c>
      <c r="G816" t="s">
        <v>70</v>
      </c>
      <c r="H816" t="s">
        <v>558</v>
      </c>
      <c r="I816" t="s">
        <v>75</v>
      </c>
      <c r="J816" t="s">
        <v>1372</v>
      </c>
      <c r="K816" t="s">
        <v>1406</v>
      </c>
    </row>
    <row r="817" spans="1:11" x14ac:dyDescent="0.25">
      <c r="A817">
        <v>816</v>
      </c>
      <c r="B817" t="s">
        <v>259</v>
      </c>
      <c r="C817" t="s">
        <v>260</v>
      </c>
      <c r="D817" t="s">
        <v>88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1407</v>
      </c>
      <c r="K817" t="s">
        <v>1214</v>
      </c>
    </row>
    <row r="818" spans="1:11" x14ac:dyDescent="0.25">
      <c r="A818">
        <v>817</v>
      </c>
      <c r="B818" t="s">
        <v>261</v>
      </c>
      <c r="C818" t="s">
        <v>262</v>
      </c>
      <c r="D818" t="s">
        <v>88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1407</v>
      </c>
      <c r="K818" t="s">
        <v>1214</v>
      </c>
    </row>
    <row r="819" spans="1:11" x14ac:dyDescent="0.25">
      <c r="A819">
        <v>818</v>
      </c>
      <c r="B819" t="s">
        <v>1408</v>
      </c>
      <c r="C819" t="s">
        <v>1409</v>
      </c>
      <c r="D819" t="s">
        <v>13</v>
      </c>
      <c r="E819" t="s">
        <v>1410</v>
      </c>
      <c r="F819" t="s">
        <v>15</v>
      </c>
      <c r="G819" t="s">
        <v>58</v>
      </c>
      <c r="H819" t="s">
        <v>852</v>
      </c>
      <c r="I819" t="s">
        <v>1411</v>
      </c>
      <c r="J819" t="s">
        <v>1412</v>
      </c>
      <c r="K819" t="s">
        <v>663</v>
      </c>
    </row>
    <row r="820" spans="1:11" x14ac:dyDescent="0.25">
      <c r="A820">
        <v>819</v>
      </c>
      <c r="B820" t="s">
        <v>1413</v>
      </c>
      <c r="C820" t="s">
        <v>1414</v>
      </c>
      <c r="D820" t="s">
        <v>13</v>
      </c>
      <c r="E820" t="s">
        <v>1415</v>
      </c>
      <c r="F820" t="s">
        <v>15</v>
      </c>
      <c r="G820" t="s">
        <v>58</v>
      </c>
      <c r="H820" t="s">
        <v>852</v>
      </c>
      <c r="I820" t="s">
        <v>1416</v>
      </c>
      <c r="J820" t="s">
        <v>1412</v>
      </c>
      <c r="K820" t="s">
        <v>663</v>
      </c>
    </row>
    <row r="821" spans="1:11" x14ac:dyDescent="0.25">
      <c r="A821">
        <v>820</v>
      </c>
      <c r="B821" t="s">
        <v>1417</v>
      </c>
      <c r="C821" t="s">
        <v>1418</v>
      </c>
      <c r="D821" t="s">
        <v>13</v>
      </c>
      <c r="E821" t="s">
        <v>267</v>
      </c>
      <c r="F821" t="s">
        <v>15</v>
      </c>
      <c r="G821" t="s">
        <v>58</v>
      </c>
      <c r="H821" t="s">
        <v>352</v>
      </c>
      <c r="I821" t="s">
        <v>419</v>
      </c>
      <c r="J821" t="s">
        <v>1412</v>
      </c>
      <c r="K821" t="s">
        <v>663</v>
      </c>
    </row>
    <row r="822" spans="1:11" x14ac:dyDescent="0.25">
      <c r="A822">
        <v>821</v>
      </c>
      <c r="B822" t="s">
        <v>281</v>
      </c>
      <c r="C822" t="s">
        <v>282</v>
      </c>
      <c r="D822" t="s">
        <v>85</v>
      </c>
      <c r="E822" t="s">
        <v>852</v>
      </c>
      <c r="F822" t="s">
        <v>15</v>
      </c>
      <c r="G822" t="s">
        <v>32</v>
      </c>
      <c r="H822" t="s">
        <v>1419</v>
      </c>
      <c r="I822" t="s">
        <v>761</v>
      </c>
      <c r="J822" t="s">
        <v>1412</v>
      </c>
      <c r="K822" t="s">
        <v>1420</v>
      </c>
    </row>
    <row r="823" spans="1:11" x14ac:dyDescent="0.25">
      <c r="A823">
        <v>822</v>
      </c>
      <c r="B823" t="s">
        <v>1408</v>
      </c>
      <c r="C823" t="s">
        <v>1409</v>
      </c>
      <c r="D823" t="s">
        <v>13</v>
      </c>
      <c r="E823" t="s">
        <v>1410</v>
      </c>
      <c r="F823" t="s">
        <v>15</v>
      </c>
      <c r="G823" t="s">
        <v>58</v>
      </c>
      <c r="H823" t="s">
        <v>60</v>
      </c>
      <c r="I823" t="s">
        <v>1421</v>
      </c>
      <c r="J823" t="s">
        <v>1412</v>
      </c>
      <c r="K823" t="s">
        <v>1422</v>
      </c>
    </row>
    <row r="824" spans="1:11" x14ac:dyDescent="0.25">
      <c r="A824">
        <v>823</v>
      </c>
      <c r="B824" t="s">
        <v>1413</v>
      </c>
      <c r="C824" t="s">
        <v>1414</v>
      </c>
      <c r="D824" t="s">
        <v>13</v>
      </c>
      <c r="E824" t="s">
        <v>1415</v>
      </c>
      <c r="F824" t="s">
        <v>15</v>
      </c>
      <c r="G824" t="s">
        <v>58</v>
      </c>
      <c r="H824" t="s">
        <v>60</v>
      </c>
      <c r="I824" t="s">
        <v>1423</v>
      </c>
      <c r="J824" t="s">
        <v>1412</v>
      </c>
      <c r="K824" t="s">
        <v>1422</v>
      </c>
    </row>
    <row r="825" spans="1:11" x14ac:dyDescent="0.25">
      <c r="A825">
        <v>824</v>
      </c>
      <c r="B825" t="s">
        <v>922</v>
      </c>
      <c r="C825" t="s">
        <v>923</v>
      </c>
      <c r="D825" t="s">
        <v>85</v>
      </c>
      <c r="E825" t="s">
        <v>475</v>
      </c>
      <c r="F825" t="s">
        <v>15</v>
      </c>
      <c r="G825" t="s">
        <v>63</v>
      </c>
      <c r="H825" t="s">
        <v>103</v>
      </c>
      <c r="I825" t="s">
        <v>1013</v>
      </c>
      <c r="J825" t="s">
        <v>1412</v>
      </c>
      <c r="K825" t="s">
        <v>1422</v>
      </c>
    </row>
    <row r="826" spans="1:11" x14ac:dyDescent="0.25">
      <c r="A826">
        <v>825</v>
      </c>
      <c r="B826" t="s">
        <v>1417</v>
      </c>
      <c r="C826" t="s">
        <v>1418</v>
      </c>
      <c r="D826" t="s">
        <v>13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1412</v>
      </c>
      <c r="K826" t="s">
        <v>1422</v>
      </c>
    </row>
    <row r="827" spans="1:11" x14ac:dyDescent="0.25">
      <c r="A827">
        <v>826</v>
      </c>
      <c r="B827" t="s">
        <v>111</v>
      </c>
      <c r="C827" t="s">
        <v>112</v>
      </c>
      <c r="D827" t="s">
        <v>13</v>
      </c>
      <c r="E827" t="s">
        <v>113</v>
      </c>
      <c r="F827" t="s">
        <v>15</v>
      </c>
      <c r="G827" t="s">
        <v>63</v>
      </c>
      <c r="H827" t="s">
        <v>114</v>
      </c>
      <c r="I827" t="s">
        <v>115</v>
      </c>
      <c r="J827" t="s">
        <v>1412</v>
      </c>
      <c r="K827" t="s">
        <v>1424</v>
      </c>
    </row>
    <row r="828" spans="1:11" x14ac:dyDescent="0.25">
      <c r="A828">
        <v>827</v>
      </c>
      <c r="B828" t="s">
        <v>1408</v>
      </c>
      <c r="C828" t="s">
        <v>1409</v>
      </c>
      <c r="D828" t="s">
        <v>13</v>
      </c>
      <c r="E828" t="s">
        <v>1425</v>
      </c>
      <c r="F828" t="s">
        <v>15</v>
      </c>
      <c r="G828" t="s">
        <v>90</v>
      </c>
      <c r="H828" t="s">
        <v>295</v>
      </c>
      <c r="I828" t="s">
        <v>1426</v>
      </c>
      <c r="J828" t="s">
        <v>1412</v>
      </c>
      <c r="K828" t="s">
        <v>1427</v>
      </c>
    </row>
    <row r="829" spans="1:11" x14ac:dyDescent="0.25">
      <c r="A829">
        <v>828</v>
      </c>
      <c r="B829" t="s">
        <v>1413</v>
      </c>
      <c r="C829" t="s">
        <v>1414</v>
      </c>
      <c r="D829" t="s">
        <v>13</v>
      </c>
      <c r="E829" t="s">
        <v>1428</v>
      </c>
      <c r="F829" t="s">
        <v>15</v>
      </c>
      <c r="G829" t="s">
        <v>90</v>
      </c>
      <c r="H829" t="s">
        <v>1429</v>
      </c>
      <c r="I829" t="s">
        <v>1430</v>
      </c>
      <c r="J829" t="s">
        <v>1412</v>
      </c>
      <c r="K829" t="s">
        <v>1427</v>
      </c>
    </row>
    <row r="830" spans="1:11" x14ac:dyDescent="0.25">
      <c r="A830">
        <v>829</v>
      </c>
      <c r="B830" t="s">
        <v>668</v>
      </c>
      <c r="C830" t="s">
        <v>669</v>
      </c>
      <c r="D830" t="s">
        <v>88</v>
      </c>
      <c r="E830" t="s">
        <v>15</v>
      </c>
      <c r="F830" t="s">
        <v>125</v>
      </c>
      <c r="G830" t="s">
        <v>15</v>
      </c>
      <c r="H830" t="s">
        <v>955</v>
      </c>
      <c r="I830" t="s">
        <v>955</v>
      </c>
      <c r="J830" t="s">
        <v>1412</v>
      </c>
      <c r="K830" t="s">
        <v>1427</v>
      </c>
    </row>
    <row r="831" spans="1:11" x14ac:dyDescent="0.25">
      <c r="A831">
        <v>830</v>
      </c>
      <c r="B831" t="s">
        <v>672</v>
      </c>
      <c r="C831" t="s">
        <v>673</v>
      </c>
      <c r="D831" t="s">
        <v>88</v>
      </c>
      <c r="E831" t="s">
        <v>475</v>
      </c>
      <c r="F831" t="s">
        <v>15</v>
      </c>
      <c r="G831" t="s">
        <v>90</v>
      </c>
      <c r="H831" t="s">
        <v>674</v>
      </c>
      <c r="I831" t="s">
        <v>27</v>
      </c>
      <c r="J831" t="s">
        <v>1412</v>
      </c>
      <c r="K831" t="s">
        <v>1427</v>
      </c>
    </row>
    <row r="832" spans="1:11" x14ac:dyDescent="0.25">
      <c r="A832">
        <v>831</v>
      </c>
      <c r="B832" t="s">
        <v>1417</v>
      </c>
      <c r="C832" t="s">
        <v>1418</v>
      </c>
      <c r="D832" t="s">
        <v>13</v>
      </c>
      <c r="E832" t="s">
        <v>277</v>
      </c>
      <c r="F832" t="s">
        <v>15</v>
      </c>
      <c r="G832" t="s">
        <v>90</v>
      </c>
      <c r="H832" t="s">
        <v>48</v>
      </c>
      <c r="I832" t="s">
        <v>1431</v>
      </c>
      <c r="J832" t="s">
        <v>1412</v>
      </c>
      <c r="K832" t="s">
        <v>1427</v>
      </c>
    </row>
    <row r="833" spans="1:11" x14ac:dyDescent="0.25">
      <c r="A833">
        <v>832</v>
      </c>
      <c r="B833" t="s">
        <v>1408</v>
      </c>
      <c r="C833" t="s">
        <v>1409</v>
      </c>
      <c r="D833" t="s">
        <v>13</v>
      </c>
      <c r="E833" t="s">
        <v>1410</v>
      </c>
      <c r="F833" t="s">
        <v>15</v>
      </c>
      <c r="G833" t="s">
        <v>58</v>
      </c>
      <c r="H833" t="s">
        <v>60</v>
      </c>
      <c r="I833" t="s">
        <v>1421</v>
      </c>
      <c r="J833" t="s">
        <v>1412</v>
      </c>
      <c r="K833" t="s">
        <v>1432</v>
      </c>
    </row>
    <row r="834" spans="1:11" x14ac:dyDescent="0.25">
      <c r="A834">
        <v>833</v>
      </c>
      <c r="B834" t="s">
        <v>1413</v>
      </c>
      <c r="C834" t="s">
        <v>1414</v>
      </c>
      <c r="D834" t="s">
        <v>13</v>
      </c>
      <c r="E834" t="s">
        <v>1415</v>
      </c>
      <c r="F834" t="s">
        <v>15</v>
      </c>
      <c r="G834" t="s">
        <v>58</v>
      </c>
      <c r="H834" t="s">
        <v>60</v>
      </c>
      <c r="I834" t="s">
        <v>1423</v>
      </c>
      <c r="J834" t="s">
        <v>1412</v>
      </c>
      <c r="K834" t="s">
        <v>1432</v>
      </c>
    </row>
    <row r="835" spans="1:11" x14ac:dyDescent="0.25">
      <c r="A835">
        <v>834</v>
      </c>
      <c r="B835" t="s">
        <v>1417</v>
      </c>
      <c r="C835" t="s">
        <v>1418</v>
      </c>
      <c r="D835" t="s">
        <v>13</v>
      </c>
      <c r="E835" t="s">
        <v>267</v>
      </c>
      <c r="F835" t="s">
        <v>15</v>
      </c>
      <c r="G835" t="s">
        <v>58</v>
      </c>
      <c r="H835" t="s">
        <v>150</v>
      </c>
      <c r="I835" t="s">
        <v>152</v>
      </c>
      <c r="J835" t="s">
        <v>1412</v>
      </c>
      <c r="K835" t="s">
        <v>1432</v>
      </c>
    </row>
    <row r="836" spans="1:11" x14ac:dyDescent="0.25">
      <c r="A836">
        <v>835</v>
      </c>
      <c r="B836" t="s">
        <v>1315</v>
      </c>
      <c r="C836" t="s">
        <v>1316</v>
      </c>
      <c r="D836" t="s">
        <v>88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1412</v>
      </c>
      <c r="K836" t="s">
        <v>1361</v>
      </c>
    </row>
    <row r="837" spans="1:11" x14ac:dyDescent="0.25">
      <c r="A837">
        <v>836</v>
      </c>
      <c r="B837" t="s">
        <v>1359</v>
      </c>
      <c r="C837" t="s">
        <v>1360</v>
      </c>
      <c r="D837" t="s">
        <v>88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 t="s">
        <v>1412</v>
      </c>
      <c r="K837" t="s">
        <v>1361</v>
      </c>
    </row>
    <row r="838" spans="1:11" x14ac:dyDescent="0.25">
      <c r="A838">
        <v>837</v>
      </c>
      <c r="B838" t="s">
        <v>1408</v>
      </c>
      <c r="C838" t="s">
        <v>1409</v>
      </c>
      <c r="D838" t="s">
        <v>13</v>
      </c>
      <c r="E838" t="s">
        <v>1425</v>
      </c>
      <c r="F838" t="s">
        <v>15</v>
      </c>
      <c r="G838" t="s">
        <v>90</v>
      </c>
      <c r="H838" t="s">
        <v>222</v>
      </c>
      <c r="I838" t="s">
        <v>1433</v>
      </c>
      <c r="J838" t="s">
        <v>1412</v>
      </c>
      <c r="K838" t="s">
        <v>1434</v>
      </c>
    </row>
    <row r="839" spans="1:11" x14ac:dyDescent="0.25">
      <c r="A839">
        <v>838</v>
      </c>
      <c r="B839" t="s">
        <v>922</v>
      </c>
      <c r="C839" t="s">
        <v>923</v>
      </c>
      <c r="D839" t="s">
        <v>85</v>
      </c>
      <c r="E839" t="s">
        <v>475</v>
      </c>
      <c r="F839" t="s">
        <v>15</v>
      </c>
      <c r="G839" t="s">
        <v>63</v>
      </c>
      <c r="H839" t="s">
        <v>792</v>
      </c>
      <c r="I839" t="s">
        <v>934</v>
      </c>
      <c r="J839" t="s">
        <v>1412</v>
      </c>
      <c r="K839" t="s">
        <v>1434</v>
      </c>
    </row>
    <row r="840" spans="1:11" x14ac:dyDescent="0.25">
      <c r="A840">
        <v>839</v>
      </c>
      <c r="B840" t="s">
        <v>926</v>
      </c>
      <c r="C840" t="s">
        <v>927</v>
      </c>
      <c r="D840" t="s">
        <v>85</v>
      </c>
      <c r="E840" t="s">
        <v>1435</v>
      </c>
      <c r="F840" t="s">
        <v>15</v>
      </c>
      <c r="G840" t="s">
        <v>63</v>
      </c>
      <c r="H840" t="s">
        <v>792</v>
      </c>
      <c r="I840" t="s">
        <v>1436</v>
      </c>
      <c r="J840" t="s">
        <v>1412</v>
      </c>
      <c r="K840" t="s">
        <v>1434</v>
      </c>
    </row>
    <row r="841" spans="1:11" x14ac:dyDescent="0.25">
      <c r="A841">
        <v>840</v>
      </c>
      <c r="B841" t="s">
        <v>479</v>
      </c>
      <c r="C841" t="s">
        <v>480</v>
      </c>
      <c r="D841" t="s">
        <v>45</v>
      </c>
      <c r="E841" t="s">
        <v>852</v>
      </c>
      <c r="F841" t="s">
        <v>15</v>
      </c>
      <c r="G841" t="s">
        <v>47</v>
      </c>
      <c r="H841" t="s">
        <v>172</v>
      </c>
      <c r="I841" t="s">
        <v>205</v>
      </c>
      <c r="J841" t="s">
        <v>1412</v>
      </c>
      <c r="K841" t="s">
        <v>1434</v>
      </c>
    </row>
    <row r="842" spans="1:11" x14ac:dyDescent="0.25">
      <c r="A842">
        <v>841</v>
      </c>
      <c r="B842" t="s">
        <v>1417</v>
      </c>
      <c r="C842" t="s">
        <v>1418</v>
      </c>
      <c r="D842" t="s">
        <v>13</v>
      </c>
      <c r="E842" t="s">
        <v>277</v>
      </c>
      <c r="F842" t="s">
        <v>15</v>
      </c>
      <c r="G842" t="s">
        <v>90</v>
      </c>
      <c r="H842" t="s">
        <v>349</v>
      </c>
      <c r="I842" t="s">
        <v>313</v>
      </c>
      <c r="J842" t="s">
        <v>1412</v>
      </c>
      <c r="K842" t="s">
        <v>1434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E21-9BB3-47D0-A55D-F0A35597064D}">
  <dimension ref="A1:N170"/>
  <sheetViews>
    <sheetView tabSelected="1" workbookViewId="0">
      <selection activeCell="J1" sqref="J1:J65536"/>
    </sheetView>
  </sheetViews>
  <sheetFormatPr defaultRowHeight="13.2" x14ac:dyDescent="0.25"/>
  <cols>
    <col min="1" max="1" width="36.109375" bestFit="1" customWidth="1"/>
    <col min="2" max="2" width="10.109375" bestFit="1" customWidth="1"/>
    <col min="3" max="3" width="4" bestFit="1" customWidth="1"/>
    <col min="4" max="4" width="10.109375" bestFit="1" customWidth="1"/>
    <col min="10" max="10" width="22.77734375" customWidth="1"/>
    <col min="14" max="14" width="10.109375" bestFit="1" customWidth="1"/>
  </cols>
  <sheetData>
    <row r="1" spans="1:14" x14ac:dyDescent="0.25">
      <c r="N1" t="s">
        <v>1439</v>
      </c>
    </row>
    <row r="2" spans="1:14" x14ac:dyDescent="0.25">
      <c r="N2" t="s">
        <v>1450</v>
      </c>
    </row>
    <row r="3" spans="1:14" x14ac:dyDescent="0.25">
      <c r="A3" s="6"/>
      <c r="B3" s="9" t="s">
        <v>1439</v>
      </c>
      <c r="C3" s="7"/>
      <c r="D3" s="8"/>
      <c r="J3" s="6"/>
      <c r="N3" s="25">
        <v>45185</v>
      </c>
    </row>
    <row r="4" spans="1:14" x14ac:dyDescent="0.25">
      <c r="A4" s="9" t="s">
        <v>10</v>
      </c>
      <c r="B4" s="6" t="s">
        <v>1450</v>
      </c>
      <c r="C4" s="15" t="s">
        <v>1449</v>
      </c>
      <c r="D4" s="11" t="s">
        <v>1451</v>
      </c>
      <c r="E4" s="17" t="s">
        <v>1452</v>
      </c>
      <c r="F4" s="17" t="s">
        <v>1453</v>
      </c>
      <c r="G4" s="17" t="s">
        <v>1454</v>
      </c>
      <c r="H4" s="17" t="s">
        <v>1455</v>
      </c>
      <c r="I4" s="17" t="s">
        <v>1456</v>
      </c>
      <c r="J4" s="28"/>
      <c r="N4" s="25">
        <v>45213</v>
      </c>
    </row>
    <row r="5" spans="1:14" x14ac:dyDescent="0.25">
      <c r="A5" s="6" t="s">
        <v>82</v>
      </c>
      <c r="B5" s="25">
        <v>45185</v>
      </c>
      <c r="C5" s="15">
        <v>2</v>
      </c>
      <c r="D5" s="22">
        <v>94284</v>
      </c>
      <c r="E5" s="17">
        <f>IF(N3&gt;DATE(2023,11,30), 0, DATEDIF(N3, DATE(2023,11,30), "d"))</f>
        <v>75</v>
      </c>
      <c r="F5" s="17">
        <f>ROUNDUP(_xlfn.RANK.EQ(E5, $E$5:$E$168, 1) / COUNT($E$5:$E$168) * 5, 0)</f>
        <v>4</v>
      </c>
      <c r="G5" s="17">
        <f>ROUNDUP(_xlfn.PERCENTRANK.INC($C$5:$C$168, C5)*5, 0)</f>
        <v>2</v>
      </c>
      <c r="H5">
        <f>ROUNDUP(_xlfn.PERCENTRANK.INC($D$5:$D$168, D5)*5, 0)</f>
        <v>3</v>
      </c>
      <c r="I5" s="17" t="str">
        <f>F5 &amp; G5 &amp; H5</f>
        <v>423</v>
      </c>
      <c r="J5" s="25"/>
      <c r="N5" s="25">
        <v>45260</v>
      </c>
    </row>
    <row r="6" spans="1:14" x14ac:dyDescent="0.25">
      <c r="A6" s="13" t="s">
        <v>913</v>
      </c>
      <c r="B6" s="26">
        <v>45213</v>
      </c>
      <c r="C6">
        <v>3</v>
      </c>
      <c r="D6" s="23">
        <v>85992</v>
      </c>
      <c r="E6" s="17">
        <f t="shared" ref="E6:E69" si="0">IF(N4&gt;DATE(2023,11,30), 0, DATEDIF(N4, DATE(2023,11,30), "d"))</f>
        <v>47</v>
      </c>
      <c r="F6" s="17">
        <f t="shared" ref="F6:F69" si="1">ROUNDUP(_xlfn.RANK.EQ(E6, $E$5:$E$168, 1) / COUNT($E$5:$E$168) * 5, 0)</f>
        <v>4</v>
      </c>
      <c r="G6" s="17">
        <f t="shared" ref="G6:G69" si="2">ROUNDUP(_xlfn.PERCENTRANK.INC($C$5:$C$168, C6)*5, 0)</f>
        <v>2</v>
      </c>
      <c r="H6">
        <f t="shared" ref="H6:H69" si="3">ROUNDUP(_xlfn.PERCENTRANK.INC($D$5:$D$168, D6)*5, 0)</f>
        <v>3</v>
      </c>
      <c r="I6" s="17" t="str">
        <f t="shared" ref="I6:I69" si="4">F6 &amp; G6 &amp; H6</f>
        <v>423</v>
      </c>
      <c r="J6" s="25"/>
      <c r="N6" s="26">
        <v>45226</v>
      </c>
    </row>
    <row r="7" spans="1:14" x14ac:dyDescent="0.25">
      <c r="A7" s="13" t="s">
        <v>1432</v>
      </c>
      <c r="B7" s="26">
        <v>45260</v>
      </c>
      <c r="C7">
        <v>3</v>
      </c>
      <c r="D7" s="23">
        <v>94000</v>
      </c>
      <c r="E7" s="17">
        <f t="shared" si="0"/>
        <v>0</v>
      </c>
      <c r="F7" s="17">
        <f t="shared" si="1"/>
        <v>1</v>
      </c>
      <c r="G7" s="17">
        <f t="shared" si="2"/>
        <v>2</v>
      </c>
      <c r="H7">
        <f t="shared" si="3"/>
        <v>3</v>
      </c>
      <c r="I7" s="17" t="str">
        <f t="shared" si="4"/>
        <v>123</v>
      </c>
      <c r="J7" s="25"/>
      <c r="N7" s="26">
        <v>45180</v>
      </c>
    </row>
    <row r="8" spans="1:14" x14ac:dyDescent="0.25">
      <c r="A8" s="13" t="s">
        <v>1015</v>
      </c>
      <c r="B8" s="26">
        <v>45226</v>
      </c>
      <c r="C8">
        <v>1</v>
      </c>
      <c r="D8" s="23">
        <v>94284</v>
      </c>
      <c r="E8" s="17">
        <f t="shared" si="0"/>
        <v>34</v>
      </c>
      <c r="F8" s="17">
        <f t="shared" si="1"/>
        <v>3</v>
      </c>
      <c r="G8" s="17">
        <f t="shared" si="2"/>
        <v>0</v>
      </c>
      <c r="H8">
        <f t="shared" si="3"/>
        <v>3</v>
      </c>
      <c r="I8" s="17" t="str">
        <f t="shared" si="4"/>
        <v>303</v>
      </c>
      <c r="J8" s="25"/>
      <c r="N8" s="26">
        <v>45213</v>
      </c>
    </row>
    <row r="9" spans="1:14" x14ac:dyDescent="0.25">
      <c r="A9" s="13" t="s">
        <v>347</v>
      </c>
      <c r="B9" s="26">
        <v>45239</v>
      </c>
      <c r="C9">
        <v>14</v>
      </c>
      <c r="D9" s="23">
        <v>555700</v>
      </c>
      <c r="E9" s="17">
        <f t="shared" si="0"/>
        <v>80</v>
      </c>
      <c r="F9" s="17">
        <f t="shared" si="1"/>
        <v>5</v>
      </c>
      <c r="G9" s="17">
        <f t="shared" si="2"/>
        <v>5</v>
      </c>
      <c r="H9">
        <f t="shared" si="3"/>
        <v>5</v>
      </c>
      <c r="I9" s="17" t="str">
        <f t="shared" si="4"/>
        <v>555</v>
      </c>
      <c r="J9" s="25"/>
      <c r="N9" s="26">
        <v>45260</v>
      </c>
    </row>
    <row r="10" spans="1:14" x14ac:dyDescent="0.25">
      <c r="A10" s="13" t="s">
        <v>473</v>
      </c>
      <c r="B10" s="26">
        <v>45213</v>
      </c>
      <c r="C10">
        <v>5</v>
      </c>
      <c r="D10" s="23">
        <v>575400</v>
      </c>
      <c r="E10" s="17">
        <f t="shared" si="0"/>
        <v>47</v>
      </c>
      <c r="F10" s="17">
        <f t="shared" si="1"/>
        <v>4</v>
      </c>
      <c r="G10" s="17">
        <f t="shared" si="2"/>
        <v>4</v>
      </c>
      <c r="H10">
        <f t="shared" si="3"/>
        <v>5</v>
      </c>
      <c r="I10" s="17" t="str">
        <f t="shared" si="4"/>
        <v>445</v>
      </c>
      <c r="J10" s="25"/>
      <c r="N10" s="26">
        <v>45213</v>
      </c>
    </row>
    <row r="11" spans="1:14" x14ac:dyDescent="0.25">
      <c r="A11" s="13" t="s">
        <v>1422</v>
      </c>
      <c r="B11" s="26">
        <v>45260</v>
      </c>
      <c r="C11">
        <v>4</v>
      </c>
      <c r="D11" s="23">
        <v>44000</v>
      </c>
      <c r="E11" s="17">
        <f t="shared" si="0"/>
        <v>0</v>
      </c>
      <c r="F11" s="17">
        <f t="shared" si="1"/>
        <v>1</v>
      </c>
      <c r="G11" s="17">
        <f t="shared" si="2"/>
        <v>3</v>
      </c>
      <c r="H11">
        <f t="shared" si="3"/>
        <v>2</v>
      </c>
      <c r="I11" s="17" t="str">
        <f t="shared" si="4"/>
        <v>132</v>
      </c>
      <c r="J11" s="25"/>
      <c r="N11" s="26">
        <v>45180</v>
      </c>
    </row>
    <row r="12" spans="1:14" x14ac:dyDescent="0.25">
      <c r="A12" s="13" t="s">
        <v>909</v>
      </c>
      <c r="B12" s="26">
        <v>45213</v>
      </c>
      <c r="C12">
        <v>1</v>
      </c>
      <c r="D12" s="23">
        <v>121992</v>
      </c>
      <c r="E12" s="17">
        <f t="shared" si="0"/>
        <v>47</v>
      </c>
      <c r="F12" s="17">
        <f t="shared" si="1"/>
        <v>4</v>
      </c>
      <c r="G12" s="17">
        <f t="shared" si="2"/>
        <v>0</v>
      </c>
      <c r="H12">
        <f t="shared" si="3"/>
        <v>3</v>
      </c>
      <c r="I12" s="17" t="str">
        <f t="shared" si="4"/>
        <v>403</v>
      </c>
      <c r="J12" s="25"/>
      <c r="N12" s="26">
        <v>45243</v>
      </c>
    </row>
    <row r="13" spans="1:14" x14ac:dyDescent="0.25">
      <c r="A13" s="13" t="s">
        <v>366</v>
      </c>
      <c r="B13" s="26">
        <v>45239</v>
      </c>
      <c r="C13">
        <v>10</v>
      </c>
      <c r="D13" s="23">
        <v>117347</v>
      </c>
      <c r="E13" s="17">
        <f t="shared" si="0"/>
        <v>80</v>
      </c>
      <c r="F13" s="17">
        <f t="shared" si="1"/>
        <v>5</v>
      </c>
      <c r="G13" s="17">
        <f t="shared" si="2"/>
        <v>5</v>
      </c>
      <c r="H13">
        <f t="shared" si="3"/>
        <v>3</v>
      </c>
      <c r="I13" s="17" t="str">
        <f t="shared" si="4"/>
        <v>553</v>
      </c>
      <c r="J13" s="25"/>
      <c r="N13" s="26">
        <v>45183</v>
      </c>
    </row>
    <row r="14" spans="1:14" x14ac:dyDescent="0.25">
      <c r="A14" s="13" t="s">
        <v>1267</v>
      </c>
      <c r="B14" s="26">
        <v>45243</v>
      </c>
      <c r="C14">
        <v>2</v>
      </c>
      <c r="D14" s="23">
        <v>54330</v>
      </c>
      <c r="E14" s="17">
        <f t="shared" si="0"/>
        <v>17</v>
      </c>
      <c r="F14" s="17">
        <f t="shared" si="1"/>
        <v>2</v>
      </c>
      <c r="G14" s="17">
        <f t="shared" si="2"/>
        <v>2</v>
      </c>
      <c r="H14">
        <f t="shared" si="3"/>
        <v>3</v>
      </c>
      <c r="I14" s="17" t="str">
        <f t="shared" si="4"/>
        <v>223</v>
      </c>
      <c r="J14" s="25"/>
      <c r="N14" s="26">
        <v>45243</v>
      </c>
    </row>
    <row r="15" spans="1:14" x14ac:dyDescent="0.25">
      <c r="A15" s="13" t="s">
        <v>303</v>
      </c>
      <c r="B15" s="26">
        <v>45183</v>
      </c>
      <c r="C15">
        <v>3</v>
      </c>
      <c r="D15" s="23">
        <v>135000</v>
      </c>
      <c r="E15" s="17">
        <f t="shared" si="0"/>
        <v>77</v>
      </c>
      <c r="F15" s="17">
        <f t="shared" si="1"/>
        <v>5</v>
      </c>
      <c r="G15" s="17">
        <f t="shared" si="2"/>
        <v>2</v>
      </c>
      <c r="H15">
        <f t="shared" si="3"/>
        <v>4</v>
      </c>
      <c r="I15" s="17" t="str">
        <f t="shared" si="4"/>
        <v>524</v>
      </c>
      <c r="J15" s="25"/>
      <c r="N15" s="26">
        <v>45255</v>
      </c>
    </row>
    <row r="16" spans="1:14" x14ac:dyDescent="0.25">
      <c r="A16" s="13" t="s">
        <v>1056</v>
      </c>
      <c r="B16" s="26">
        <v>45243</v>
      </c>
      <c r="C16">
        <v>3</v>
      </c>
      <c r="D16" s="23">
        <v>75000</v>
      </c>
      <c r="E16" s="17">
        <f t="shared" si="0"/>
        <v>17</v>
      </c>
      <c r="F16" s="17">
        <f t="shared" si="1"/>
        <v>2</v>
      </c>
      <c r="G16" s="17">
        <f t="shared" si="2"/>
        <v>2</v>
      </c>
      <c r="H16">
        <f t="shared" si="3"/>
        <v>3</v>
      </c>
      <c r="I16" s="17" t="str">
        <f t="shared" si="4"/>
        <v>223</v>
      </c>
      <c r="J16" s="25"/>
      <c r="N16" s="26">
        <v>45198</v>
      </c>
    </row>
    <row r="17" spans="1:14" x14ac:dyDescent="0.25">
      <c r="A17" s="13" t="s">
        <v>1394</v>
      </c>
      <c r="B17" s="26">
        <v>45255</v>
      </c>
      <c r="C17">
        <v>2</v>
      </c>
      <c r="D17" s="23">
        <v>65000</v>
      </c>
      <c r="E17" s="17">
        <f t="shared" si="0"/>
        <v>5</v>
      </c>
      <c r="F17" s="17">
        <f t="shared" si="1"/>
        <v>1</v>
      </c>
      <c r="G17" s="17">
        <f t="shared" si="2"/>
        <v>2</v>
      </c>
      <c r="H17">
        <f t="shared" si="3"/>
        <v>3</v>
      </c>
      <c r="I17" s="17" t="str">
        <f t="shared" si="4"/>
        <v>123</v>
      </c>
      <c r="J17" s="25"/>
      <c r="N17" s="26">
        <v>45210</v>
      </c>
    </row>
    <row r="18" spans="1:14" x14ac:dyDescent="0.25">
      <c r="A18" s="13" t="s">
        <v>664</v>
      </c>
      <c r="B18" s="26">
        <v>45198</v>
      </c>
      <c r="C18">
        <v>1</v>
      </c>
      <c r="D18" s="23">
        <v>110000</v>
      </c>
      <c r="E18" s="17">
        <f t="shared" si="0"/>
        <v>62</v>
      </c>
      <c r="F18" s="17">
        <f t="shared" si="1"/>
        <v>4</v>
      </c>
      <c r="G18" s="17">
        <f t="shared" si="2"/>
        <v>0</v>
      </c>
      <c r="H18">
        <f t="shared" si="3"/>
        <v>3</v>
      </c>
      <c r="I18" s="17" t="str">
        <f t="shared" si="4"/>
        <v>403</v>
      </c>
      <c r="J18" s="25"/>
      <c r="N18" s="26">
        <v>45213</v>
      </c>
    </row>
    <row r="19" spans="1:14" x14ac:dyDescent="0.25">
      <c r="A19" s="13" t="s">
        <v>1217</v>
      </c>
      <c r="B19" s="26">
        <v>45240</v>
      </c>
      <c r="C19">
        <v>2</v>
      </c>
      <c r="D19" s="23">
        <v>19000</v>
      </c>
      <c r="E19" s="17">
        <f t="shared" si="0"/>
        <v>50</v>
      </c>
      <c r="F19" s="17">
        <f t="shared" si="1"/>
        <v>4</v>
      </c>
      <c r="G19" s="17">
        <f t="shared" si="2"/>
        <v>2</v>
      </c>
      <c r="H19">
        <f t="shared" si="3"/>
        <v>2</v>
      </c>
      <c r="I19" s="17" t="str">
        <f t="shared" si="4"/>
        <v>422</v>
      </c>
      <c r="J19" s="25"/>
      <c r="N19" s="26">
        <v>45254</v>
      </c>
    </row>
    <row r="20" spans="1:14" x14ac:dyDescent="0.25">
      <c r="A20" s="13" t="s">
        <v>35</v>
      </c>
      <c r="B20" s="26">
        <v>45213</v>
      </c>
      <c r="C20">
        <v>4</v>
      </c>
      <c r="D20" s="23">
        <v>590000</v>
      </c>
      <c r="E20" s="17">
        <f t="shared" si="0"/>
        <v>47</v>
      </c>
      <c r="F20" s="17">
        <f t="shared" si="1"/>
        <v>4</v>
      </c>
      <c r="G20" s="17">
        <f t="shared" si="2"/>
        <v>3</v>
      </c>
      <c r="H20">
        <f t="shared" si="3"/>
        <v>5</v>
      </c>
      <c r="I20" s="17" t="str">
        <f t="shared" si="4"/>
        <v>435</v>
      </c>
      <c r="J20" s="25"/>
      <c r="N20" s="26">
        <v>45255</v>
      </c>
    </row>
    <row r="21" spans="1:14" x14ac:dyDescent="0.25">
      <c r="A21" s="13" t="s">
        <v>42</v>
      </c>
      <c r="B21" s="26">
        <v>45254</v>
      </c>
      <c r="C21">
        <v>7</v>
      </c>
      <c r="D21" s="23">
        <v>1971276</v>
      </c>
      <c r="E21" s="17">
        <f t="shared" si="0"/>
        <v>6</v>
      </c>
      <c r="F21" s="17">
        <f t="shared" si="1"/>
        <v>1</v>
      </c>
      <c r="G21" s="17">
        <f t="shared" si="2"/>
        <v>4</v>
      </c>
      <c r="H21">
        <f t="shared" si="3"/>
        <v>5</v>
      </c>
      <c r="I21" s="17" t="str">
        <f t="shared" si="4"/>
        <v>145</v>
      </c>
      <c r="J21" s="25"/>
      <c r="N21" s="26">
        <v>45220</v>
      </c>
    </row>
    <row r="22" spans="1:14" x14ac:dyDescent="0.25">
      <c r="A22" s="13" t="s">
        <v>1068</v>
      </c>
      <c r="B22" s="26">
        <v>45255</v>
      </c>
      <c r="C22">
        <v>15</v>
      </c>
      <c r="D22" s="23">
        <v>693916</v>
      </c>
      <c r="E22" s="17">
        <f t="shared" si="0"/>
        <v>5</v>
      </c>
      <c r="F22" s="17">
        <f t="shared" si="1"/>
        <v>1</v>
      </c>
      <c r="G22" s="17">
        <f t="shared" si="2"/>
        <v>5</v>
      </c>
      <c r="H22">
        <f t="shared" si="3"/>
        <v>5</v>
      </c>
      <c r="I22" s="17" t="str">
        <f t="shared" si="4"/>
        <v>155</v>
      </c>
      <c r="J22" s="25"/>
      <c r="N22" s="26">
        <v>45184</v>
      </c>
    </row>
    <row r="23" spans="1:14" x14ac:dyDescent="0.25">
      <c r="A23" s="13" t="s">
        <v>821</v>
      </c>
      <c r="B23" s="26">
        <v>45220</v>
      </c>
      <c r="C23">
        <v>3</v>
      </c>
      <c r="D23" s="23">
        <v>54000</v>
      </c>
      <c r="E23" s="17">
        <f t="shared" si="0"/>
        <v>40</v>
      </c>
      <c r="F23" s="17">
        <f t="shared" si="1"/>
        <v>4</v>
      </c>
      <c r="G23" s="17">
        <f t="shared" si="2"/>
        <v>2</v>
      </c>
      <c r="H23">
        <f t="shared" si="3"/>
        <v>2</v>
      </c>
      <c r="I23" s="17" t="str">
        <f t="shared" si="4"/>
        <v>422</v>
      </c>
      <c r="J23" s="25"/>
      <c r="N23" s="26">
        <v>44996</v>
      </c>
    </row>
    <row r="24" spans="1:14" x14ac:dyDescent="0.25">
      <c r="A24" s="13" t="s">
        <v>373</v>
      </c>
      <c r="B24" s="26">
        <v>45184</v>
      </c>
      <c r="C24">
        <v>1</v>
      </c>
      <c r="D24" s="23">
        <v>0</v>
      </c>
      <c r="E24" s="17">
        <f t="shared" si="0"/>
        <v>76</v>
      </c>
      <c r="F24" s="17">
        <f t="shared" si="1"/>
        <v>5</v>
      </c>
      <c r="G24" s="17">
        <f t="shared" si="2"/>
        <v>0</v>
      </c>
      <c r="H24">
        <f t="shared" si="3"/>
        <v>1</v>
      </c>
      <c r="I24" s="17" t="str">
        <f t="shared" si="4"/>
        <v>501</v>
      </c>
      <c r="J24" s="25"/>
      <c r="N24" s="26">
        <v>45220</v>
      </c>
    </row>
    <row r="25" spans="1:14" x14ac:dyDescent="0.25">
      <c r="A25" s="13" t="s">
        <v>1123</v>
      </c>
      <c r="B25" s="26">
        <v>45233</v>
      </c>
      <c r="C25">
        <v>4</v>
      </c>
      <c r="D25" s="23">
        <v>62500</v>
      </c>
      <c r="E25" s="17">
        <f t="shared" si="0"/>
        <v>264</v>
      </c>
      <c r="F25" s="17">
        <f t="shared" si="1"/>
        <v>5</v>
      </c>
      <c r="G25" s="17">
        <f t="shared" si="2"/>
        <v>3</v>
      </c>
      <c r="H25">
        <f t="shared" si="3"/>
        <v>3</v>
      </c>
      <c r="I25" s="17" t="str">
        <f t="shared" si="4"/>
        <v>533</v>
      </c>
      <c r="J25" s="25"/>
      <c r="N25" s="26">
        <v>45255</v>
      </c>
    </row>
    <row r="26" spans="1:14" x14ac:dyDescent="0.25">
      <c r="A26" s="13" t="s">
        <v>932</v>
      </c>
      <c r="B26" s="26">
        <v>45220</v>
      </c>
      <c r="C26">
        <v>3</v>
      </c>
      <c r="D26" s="23">
        <v>145200</v>
      </c>
      <c r="E26" s="17">
        <f t="shared" si="0"/>
        <v>40</v>
      </c>
      <c r="F26" s="17">
        <f t="shared" si="1"/>
        <v>4</v>
      </c>
      <c r="G26" s="17">
        <f t="shared" si="2"/>
        <v>2</v>
      </c>
      <c r="H26">
        <f t="shared" si="3"/>
        <v>4</v>
      </c>
      <c r="I26" s="17" t="str">
        <f t="shared" si="4"/>
        <v>424</v>
      </c>
      <c r="J26" s="25"/>
      <c r="N26" s="26">
        <v>45027</v>
      </c>
    </row>
    <row r="27" spans="1:14" x14ac:dyDescent="0.25">
      <c r="A27" s="13" t="s">
        <v>1400</v>
      </c>
      <c r="B27" s="26">
        <v>45255</v>
      </c>
      <c r="C27">
        <v>1</v>
      </c>
      <c r="D27" s="23">
        <v>69000</v>
      </c>
      <c r="E27" s="17">
        <f t="shared" si="0"/>
        <v>5</v>
      </c>
      <c r="F27" s="17">
        <f t="shared" si="1"/>
        <v>1</v>
      </c>
      <c r="G27" s="17">
        <f t="shared" si="2"/>
        <v>0</v>
      </c>
      <c r="H27">
        <f t="shared" si="3"/>
        <v>3</v>
      </c>
      <c r="I27" s="17" t="str">
        <f t="shared" si="4"/>
        <v>103</v>
      </c>
      <c r="J27" s="25"/>
      <c r="N27" s="26">
        <v>45260</v>
      </c>
    </row>
    <row r="28" spans="1:14" x14ac:dyDescent="0.25">
      <c r="A28" s="13" t="s">
        <v>724</v>
      </c>
      <c r="B28" s="26">
        <v>45234</v>
      </c>
      <c r="C28">
        <v>3</v>
      </c>
      <c r="D28" s="23">
        <v>50200</v>
      </c>
      <c r="E28" s="17">
        <f t="shared" si="0"/>
        <v>233</v>
      </c>
      <c r="F28" s="17">
        <f t="shared" si="1"/>
        <v>5</v>
      </c>
      <c r="G28" s="17">
        <f t="shared" si="2"/>
        <v>2</v>
      </c>
      <c r="H28">
        <f t="shared" si="3"/>
        <v>2</v>
      </c>
      <c r="I28" s="17" t="str">
        <f t="shared" si="4"/>
        <v>522</v>
      </c>
      <c r="J28" s="25"/>
      <c r="N28" s="26">
        <v>45117</v>
      </c>
    </row>
    <row r="29" spans="1:14" x14ac:dyDescent="0.25">
      <c r="A29" s="13" t="s">
        <v>663</v>
      </c>
      <c r="B29" s="26">
        <v>45260</v>
      </c>
      <c r="C29">
        <v>7</v>
      </c>
      <c r="D29" s="23">
        <v>202000</v>
      </c>
      <c r="E29" s="17">
        <f t="shared" si="0"/>
        <v>0</v>
      </c>
      <c r="F29" s="17">
        <f t="shared" si="1"/>
        <v>1</v>
      </c>
      <c r="G29" s="17">
        <f t="shared" si="2"/>
        <v>4</v>
      </c>
      <c r="H29">
        <f t="shared" si="3"/>
        <v>4</v>
      </c>
      <c r="I29" s="17" t="str">
        <f t="shared" si="4"/>
        <v>144</v>
      </c>
      <c r="J29" s="25"/>
      <c r="N29" s="26">
        <v>45243</v>
      </c>
    </row>
    <row r="30" spans="1:14" x14ac:dyDescent="0.25">
      <c r="A30" s="13" t="s">
        <v>818</v>
      </c>
      <c r="B30" s="26">
        <v>45206</v>
      </c>
      <c r="C30">
        <v>2</v>
      </c>
      <c r="D30" s="23">
        <v>0</v>
      </c>
      <c r="E30" s="17">
        <f t="shared" si="0"/>
        <v>143</v>
      </c>
      <c r="F30" s="17">
        <f t="shared" si="1"/>
        <v>5</v>
      </c>
      <c r="G30" s="17">
        <f t="shared" si="2"/>
        <v>2</v>
      </c>
      <c r="H30">
        <f t="shared" si="3"/>
        <v>1</v>
      </c>
      <c r="I30" s="17" t="str">
        <f t="shared" si="4"/>
        <v>521</v>
      </c>
      <c r="J30" s="25"/>
      <c r="N30" s="26">
        <v>45255</v>
      </c>
    </row>
    <row r="31" spans="1:14" x14ac:dyDescent="0.25">
      <c r="A31" s="13" t="s">
        <v>1057</v>
      </c>
      <c r="B31" s="26">
        <v>45243</v>
      </c>
      <c r="C31">
        <v>3</v>
      </c>
      <c r="D31" s="23">
        <v>16000</v>
      </c>
      <c r="E31" s="17">
        <f t="shared" si="0"/>
        <v>17</v>
      </c>
      <c r="F31" s="17">
        <f t="shared" si="1"/>
        <v>2</v>
      </c>
      <c r="G31" s="17">
        <f t="shared" si="2"/>
        <v>2</v>
      </c>
      <c r="H31">
        <f t="shared" si="3"/>
        <v>1</v>
      </c>
      <c r="I31" s="17" t="str">
        <f t="shared" si="4"/>
        <v>221</v>
      </c>
      <c r="J31" s="25"/>
      <c r="N31" s="26">
        <v>45243</v>
      </c>
    </row>
    <row r="32" spans="1:14" x14ac:dyDescent="0.25">
      <c r="A32" s="13" t="s">
        <v>428</v>
      </c>
      <c r="B32" s="26">
        <v>45255</v>
      </c>
      <c r="C32">
        <v>7</v>
      </c>
      <c r="D32" s="23">
        <v>497992</v>
      </c>
      <c r="E32" s="17">
        <f t="shared" si="0"/>
        <v>5</v>
      </c>
      <c r="F32" s="17">
        <f t="shared" si="1"/>
        <v>1</v>
      </c>
      <c r="G32" s="17">
        <f t="shared" si="2"/>
        <v>4</v>
      </c>
      <c r="H32">
        <f t="shared" si="3"/>
        <v>5</v>
      </c>
      <c r="I32" s="17" t="str">
        <f t="shared" si="4"/>
        <v>145</v>
      </c>
      <c r="J32" s="25"/>
      <c r="N32" s="26">
        <v>45185</v>
      </c>
    </row>
    <row r="33" spans="1:14" x14ac:dyDescent="0.25">
      <c r="A33" s="13" t="s">
        <v>1245</v>
      </c>
      <c r="B33" s="26">
        <v>45243</v>
      </c>
      <c r="C33">
        <v>2</v>
      </c>
      <c r="D33" s="23">
        <v>27666</v>
      </c>
      <c r="E33" s="17">
        <f t="shared" si="0"/>
        <v>17</v>
      </c>
      <c r="F33" s="17">
        <f t="shared" si="1"/>
        <v>2</v>
      </c>
      <c r="G33" s="17">
        <f t="shared" si="2"/>
        <v>2</v>
      </c>
      <c r="H33">
        <f t="shared" si="3"/>
        <v>2</v>
      </c>
      <c r="I33" s="17" t="str">
        <f t="shared" si="4"/>
        <v>222</v>
      </c>
      <c r="J33" s="25"/>
      <c r="N33" s="26">
        <v>45245</v>
      </c>
    </row>
    <row r="34" spans="1:14" x14ac:dyDescent="0.25">
      <c r="A34" s="13" t="s">
        <v>437</v>
      </c>
      <c r="B34" s="26">
        <v>45185</v>
      </c>
      <c r="C34">
        <v>1</v>
      </c>
      <c r="D34" s="23">
        <v>175400</v>
      </c>
      <c r="E34" s="17">
        <f t="shared" si="0"/>
        <v>75</v>
      </c>
      <c r="F34" s="17">
        <f t="shared" si="1"/>
        <v>4</v>
      </c>
      <c r="G34" s="17">
        <f t="shared" si="2"/>
        <v>0</v>
      </c>
      <c r="H34">
        <f t="shared" si="3"/>
        <v>4</v>
      </c>
      <c r="I34" s="17" t="str">
        <f t="shared" si="4"/>
        <v>404</v>
      </c>
      <c r="J34" s="25"/>
      <c r="N34" s="26">
        <v>45225</v>
      </c>
    </row>
    <row r="35" spans="1:14" x14ac:dyDescent="0.25">
      <c r="A35" s="13" t="s">
        <v>604</v>
      </c>
      <c r="B35" s="26">
        <v>45245</v>
      </c>
      <c r="C35">
        <v>4</v>
      </c>
      <c r="D35" s="23">
        <v>108000</v>
      </c>
      <c r="E35" s="17">
        <f t="shared" si="0"/>
        <v>15</v>
      </c>
      <c r="F35" s="17">
        <f t="shared" si="1"/>
        <v>2</v>
      </c>
      <c r="G35" s="17">
        <f t="shared" si="2"/>
        <v>3</v>
      </c>
      <c r="H35">
        <f t="shared" si="3"/>
        <v>3</v>
      </c>
      <c r="I35" s="17" t="str">
        <f t="shared" si="4"/>
        <v>233</v>
      </c>
      <c r="J35" s="25"/>
      <c r="N35" s="26">
        <v>45226</v>
      </c>
    </row>
    <row r="36" spans="1:14" x14ac:dyDescent="0.25">
      <c r="A36" s="13" t="s">
        <v>1008</v>
      </c>
      <c r="B36" s="26">
        <v>45225</v>
      </c>
      <c r="C36">
        <v>1</v>
      </c>
      <c r="D36" s="23">
        <v>69000</v>
      </c>
      <c r="E36" s="17">
        <f t="shared" si="0"/>
        <v>35</v>
      </c>
      <c r="F36" s="17">
        <f t="shared" si="1"/>
        <v>3</v>
      </c>
      <c r="G36" s="17">
        <f t="shared" si="2"/>
        <v>0</v>
      </c>
      <c r="H36">
        <f t="shared" si="3"/>
        <v>3</v>
      </c>
      <c r="I36" s="17" t="str">
        <f t="shared" si="4"/>
        <v>303</v>
      </c>
      <c r="J36" s="25"/>
      <c r="N36" s="26">
        <v>45255</v>
      </c>
    </row>
    <row r="37" spans="1:14" x14ac:dyDescent="0.25">
      <c r="A37" s="13" t="s">
        <v>1021</v>
      </c>
      <c r="B37" s="26">
        <v>45226</v>
      </c>
      <c r="C37">
        <v>1</v>
      </c>
      <c r="D37" s="23">
        <v>95200</v>
      </c>
      <c r="E37" s="17">
        <f t="shared" si="0"/>
        <v>34</v>
      </c>
      <c r="F37" s="17">
        <f t="shared" si="1"/>
        <v>3</v>
      </c>
      <c r="G37" s="17">
        <f t="shared" si="2"/>
        <v>0</v>
      </c>
      <c r="H37">
        <f t="shared" si="3"/>
        <v>3</v>
      </c>
      <c r="I37" s="17" t="str">
        <f t="shared" si="4"/>
        <v>303</v>
      </c>
      <c r="J37" s="25"/>
      <c r="N37" s="26">
        <v>45227</v>
      </c>
    </row>
    <row r="38" spans="1:14" x14ac:dyDescent="0.25">
      <c r="A38" s="13" t="s">
        <v>191</v>
      </c>
      <c r="B38" s="26">
        <v>45255</v>
      </c>
      <c r="C38">
        <v>5</v>
      </c>
      <c r="D38" s="23">
        <v>396800</v>
      </c>
      <c r="E38" s="17">
        <f t="shared" si="0"/>
        <v>5</v>
      </c>
      <c r="F38" s="17">
        <f t="shared" si="1"/>
        <v>1</v>
      </c>
      <c r="G38" s="17">
        <f t="shared" si="2"/>
        <v>4</v>
      </c>
      <c r="H38">
        <f t="shared" si="3"/>
        <v>5</v>
      </c>
      <c r="I38" s="17" t="str">
        <f t="shared" si="4"/>
        <v>145</v>
      </c>
      <c r="J38" s="25"/>
      <c r="N38" s="26">
        <v>45227</v>
      </c>
    </row>
    <row r="39" spans="1:14" x14ac:dyDescent="0.25">
      <c r="A39" s="13" t="s">
        <v>1027</v>
      </c>
      <c r="B39" s="26">
        <v>45227</v>
      </c>
      <c r="C39">
        <v>1</v>
      </c>
      <c r="D39" s="23">
        <v>27000</v>
      </c>
      <c r="E39" s="17">
        <f t="shared" si="0"/>
        <v>33</v>
      </c>
      <c r="F39" s="17">
        <f t="shared" si="1"/>
        <v>3</v>
      </c>
      <c r="G39" s="17">
        <f t="shared" si="2"/>
        <v>0</v>
      </c>
      <c r="H39">
        <f t="shared" si="3"/>
        <v>2</v>
      </c>
      <c r="I39" s="17" t="str">
        <f t="shared" si="4"/>
        <v>302</v>
      </c>
      <c r="J39" s="25"/>
      <c r="N39" s="26">
        <v>45244</v>
      </c>
    </row>
    <row r="40" spans="1:14" x14ac:dyDescent="0.25">
      <c r="A40" s="13" t="s">
        <v>1088</v>
      </c>
      <c r="B40" s="26">
        <v>45227</v>
      </c>
      <c r="C40">
        <v>4</v>
      </c>
      <c r="D40" s="23">
        <v>47571</v>
      </c>
      <c r="E40" s="17">
        <f t="shared" si="0"/>
        <v>33</v>
      </c>
      <c r="F40" s="17">
        <f t="shared" si="1"/>
        <v>3</v>
      </c>
      <c r="G40" s="17">
        <f t="shared" si="2"/>
        <v>3</v>
      </c>
      <c r="H40">
        <f t="shared" si="3"/>
        <v>2</v>
      </c>
      <c r="I40" s="17" t="str">
        <f t="shared" si="4"/>
        <v>332</v>
      </c>
      <c r="J40" s="25"/>
      <c r="N40" s="26">
        <v>45243</v>
      </c>
    </row>
    <row r="41" spans="1:14" x14ac:dyDescent="0.25">
      <c r="A41" s="13" t="s">
        <v>66</v>
      </c>
      <c r="B41" s="26">
        <v>45244</v>
      </c>
      <c r="C41">
        <v>9</v>
      </c>
      <c r="D41" s="23">
        <v>415800</v>
      </c>
      <c r="E41" s="17">
        <f t="shared" si="0"/>
        <v>16</v>
      </c>
      <c r="F41" s="17">
        <f t="shared" si="1"/>
        <v>2</v>
      </c>
      <c r="G41" s="17">
        <f t="shared" si="2"/>
        <v>5</v>
      </c>
      <c r="H41">
        <f t="shared" si="3"/>
        <v>5</v>
      </c>
      <c r="I41" s="17" t="str">
        <f t="shared" si="4"/>
        <v>255</v>
      </c>
      <c r="J41" s="25"/>
      <c r="N41" s="26">
        <v>45180</v>
      </c>
    </row>
    <row r="42" spans="1:14" x14ac:dyDescent="0.25">
      <c r="A42" s="13" t="s">
        <v>1270</v>
      </c>
      <c r="B42" s="26">
        <v>45243</v>
      </c>
      <c r="C42">
        <v>1</v>
      </c>
      <c r="D42" s="23">
        <v>0</v>
      </c>
      <c r="E42" s="17">
        <f t="shared" si="0"/>
        <v>17</v>
      </c>
      <c r="F42" s="17">
        <f t="shared" si="1"/>
        <v>2</v>
      </c>
      <c r="G42" s="17">
        <f t="shared" si="2"/>
        <v>0</v>
      </c>
      <c r="H42">
        <f t="shared" si="3"/>
        <v>1</v>
      </c>
      <c r="I42" s="17" t="str">
        <f t="shared" si="4"/>
        <v>201</v>
      </c>
      <c r="J42" s="25"/>
      <c r="N42" s="26">
        <v>45227</v>
      </c>
    </row>
    <row r="43" spans="1:14" x14ac:dyDescent="0.25">
      <c r="A43" s="13" t="s">
        <v>625</v>
      </c>
      <c r="B43" s="26">
        <v>45239</v>
      </c>
      <c r="C43">
        <v>19</v>
      </c>
      <c r="D43" s="23">
        <v>442438</v>
      </c>
      <c r="E43" s="17">
        <f t="shared" si="0"/>
        <v>80</v>
      </c>
      <c r="F43" s="17">
        <f t="shared" si="1"/>
        <v>5</v>
      </c>
      <c r="G43" s="17">
        <f t="shared" si="2"/>
        <v>5</v>
      </c>
      <c r="H43">
        <f t="shared" si="3"/>
        <v>5</v>
      </c>
      <c r="I43" s="17" t="str">
        <f t="shared" si="4"/>
        <v>555</v>
      </c>
      <c r="J43" s="25"/>
      <c r="N43" s="26">
        <v>45243</v>
      </c>
    </row>
    <row r="44" spans="1:14" x14ac:dyDescent="0.25">
      <c r="A44" s="13" t="s">
        <v>268</v>
      </c>
      <c r="B44" s="26">
        <v>45227</v>
      </c>
      <c r="C44">
        <v>6</v>
      </c>
      <c r="D44" s="23">
        <v>269000</v>
      </c>
      <c r="E44" s="17">
        <f t="shared" si="0"/>
        <v>33</v>
      </c>
      <c r="F44" s="17">
        <f t="shared" si="1"/>
        <v>3</v>
      </c>
      <c r="G44" s="17">
        <f t="shared" si="2"/>
        <v>4</v>
      </c>
      <c r="H44">
        <f t="shared" si="3"/>
        <v>4</v>
      </c>
      <c r="I44" s="17" t="str">
        <f t="shared" si="4"/>
        <v>344</v>
      </c>
      <c r="J44" s="25"/>
      <c r="N44" s="26">
        <v>45243</v>
      </c>
    </row>
    <row r="45" spans="1:14" x14ac:dyDescent="0.25">
      <c r="A45" s="13" t="s">
        <v>1266</v>
      </c>
      <c r="B45" s="26">
        <v>45243</v>
      </c>
      <c r="C45">
        <v>1</v>
      </c>
      <c r="D45" s="23">
        <v>-31200</v>
      </c>
      <c r="E45" s="17">
        <f t="shared" si="0"/>
        <v>17</v>
      </c>
      <c r="F45" s="17">
        <f t="shared" si="1"/>
        <v>2</v>
      </c>
      <c r="G45" s="17">
        <f t="shared" si="2"/>
        <v>0</v>
      </c>
      <c r="H45">
        <f t="shared" si="3"/>
        <v>1</v>
      </c>
      <c r="I45" s="17" t="str">
        <f t="shared" si="4"/>
        <v>201</v>
      </c>
      <c r="J45" s="25"/>
      <c r="N45" s="26">
        <v>45252</v>
      </c>
    </row>
    <row r="46" spans="1:14" x14ac:dyDescent="0.25">
      <c r="A46" s="13" t="s">
        <v>1244</v>
      </c>
      <c r="B46" s="26">
        <v>45243</v>
      </c>
      <c r="C46">
        <v>1</v>
      </c>
      <c r="D46" s="23">
        <v>-8000</v>
      </c>
      <c r="E46" s="17">
        <f t="shared" si="0"/>
        <v>17</v>
      </c>
      <c r="F46" s="17">
        <f t="shared" si="1"/>
        <v>2</v>
      </c>
      <c r="G46" s="17">
        <f t="shared" si="2"/>
        <v>0</v>
      </c>
      <c r="H46">
        <f t="shared" si="3"/>
        <v>1</v>
      </c>
      <c r="I46" s="17" t="str">
        <f t="shared" si="4"/>
        <v>201</v>
      </c>
      <c r="J46" s="25"/>
      <c r="N46" s="26">
        <v>45260</v>
      </c>
    </row>
    <row r="47" spans="1:14" x14ac:dyDescent="0.25">
      <c r="A47" s="13" t="s">
        <v>127</v>
      </c>
      <c r="B47" s="26">
        <v>45252</v>
      </c>
      <c r="C47">
        <v>10</v>
      </c>
      <c r="D47" s="23">
        <v>647970</v>
      </c>
      <c r="E47" s="17">
        <f t="shared" si="0"/>
        <v>8</v>
      </c>
      <c r="F47" s="17">
        <f t="shared" si="1"/>
        <v>2</v>
      </c>
      <c r="G47" s="17">
        <f t="shared" si="2"/>
        <v>5</v>
      </c>
      <c r="H47">
        <f t="shared" si="3"/>
        <v>5</v>
      </c>
      <c r="I47" s="17" t="str">
        <f t="shared" si="4"/>
        <v>255</v>
      </c>
      <c r="J47" s="25"/>
      <c r="N47" s="26">
        <v>45255</v>
      </c>
    </row>
    <row r="48" spans="1:14" x14ac:dyDescent="0.25">
      <c r="A48" s="13" t="s">
        <v>1424</v>
      </c>
      <c r="B48" s="26">
        <v>45260</v>
      </c>
      <c r="C48">
        <v>1</v>
      </c>
      <c r="D48" s="23">
        <v>23000</v>
      </c>
      <c r="E48" s="17">
        <f t="shared" si="0"/>
        <v>0</v>
      </c>
      <c r="F48" s="17">
        <f t="shared" si="1"/>
        <v>1</v>
      </c>
      <c r="G48" s="17">
        <f t="shared" si="2"/>
        <v>0</v>
      </c>
      <c r="H48">
        <f t="shared" si="3"/>
        <v>2</v>
      </c>
      <c r="I48" s="17" t="str">
        <f t="shared" si="4"/>
        <v>102</v>
      </c>
      <c r="J48" s="25"/>
      <c r="N48" s="26">
        <v>45198</v>
      </c>
    </row>
    <row r="49" spans="1:14" x14ac:dyDescent="0.25">
      <c r="A49" s="13" t="s">
        <v>420</v>
      </c>
      <c r="B49" s="26">
        <v>45255</v>
      </c>
      <c r="C49">
        <v>9</v>
      </c>
      <c r="D49" s="23">
        <v>445284</v>
      </c>
      <c r="E49" s="17">
        <f t="shared" si="0"/>
        <v>5</v>
      </c>
      <c r="F49" s="17">
        <f t="shared" si="1"/>
        <v>1</v>
      </c>
      <c r="G49" s="17">
        <f t="shared" si="2"/>
        <v>5</v>
      </c>
      <c r="H49">
        <f t="shared" si="3"/>
        <v>5</v>
      </c>
      <c r="I49" s="17" t="str">
        <f t="shared" si="4"/>
        <v>155</v>
      </c>
      <c r="J49" s="25"/>
      <c r="N49" s="26">
        <v>45260</v>
      </c>
    </row>
    <row r="50" spans="1:14" x14ac:dyDescent="0.25">
      <c r="A50" s="13" t="s">
        <v>667</v>
      </c>
      <c r="B50" s="26">
        <v>45198</v>
      </c>
      <c r="C50">
        <v>2</v>
      </c>
      <c r="D50" s="23">
        <v>48000</v>
      </c>
      <c r="E50" s="17">
        <f t="shared" si="0"/>
        <v>62</v>
      </c>
      <c r="F50" s="17">
        <f t="shared" si="1"/>
        <v>4</v>
      </c>
      <c r="G50" s="17">
        <f t="shared" si="2"/>
        <v>2</v>
      </c>
      <c r="H50">
        <f t="shared" si="3"/>
        <v>2</v>
      </c>
      <c r="I50" s="17" t="str">
        <f t="shared" si="4"/>
        <v>422</v>
      </c>
      <c r="J50" s="25"/>
      <c r="N50" s="26">
        <v>45117</v>
      </c>
    </row>
    <row r="51" spans="1:14" x14ac:dyDescent="0.25">
      <c r="A51" s="13" t="s">
        <v>1420</v>
      </c>
      <c r="B51" s="26">
        <v>45260</v>
      </c>
      <c r="C51">
        <v>1</v>
      </c>
      <c r="D51" s="23">
        <v>14000</v>
      </c>
      <c r="E51" s="17">
        <f t="shared" si="0"/>
        <v>0</v>
      </c>
      <c r="F51" s="17">
        <f t="shared" si="1"/>
        <v>1</v>
      </c>
      <c r="G51" s="17">
        <f t="shared" si="2"/>
        <v>0</v>
      </c>
      <c r="H51">
        <f t="shared" si="3"/>
        <v>1</v>
      </c>
      <c r="I51" s="17" t="str">
        <f t="shared" si="4"/>
        <v>101</v>
      </c>
      <c r="J51" s="25"/>
      <c r="N51" s="26">
        <v>45250</v>
      </c>
    </row>
    <row r="52" spans="1:14" x14ac:dyDescent="0.25">
      <c r="A52" s="13" t="s">
        <v>823</v>
      </c>
      <c r="B52" s="26">
        <v>45206</v>
      </c>
      <c r="C52">
        <v>1</v>
      </c>
      <c r="D52" s="23">
        <v>50000</v>
      </c>
      <c r="E52" s="17">
        <f t="shared" si="0"/>
        <v>143</v>
      </c>
      <c r="F52" s="17">
        <f t="shared" si="1"/>
        <v>5</v>
      </c>
      <c r="G52" s="17">
        <f t="shared" si="2"/>
        <v>0</v>
      </c>
      <c r="H52">
        <f t="shared" si="3"/>
        <v>2</v>
      </c>
      <c r="I52" s="17" t="str">
        <f t="shared" si="4"/>
        <v>502</v>
      </c>
      <c r="J52" s="25"/>
      <c r="N52" s="26">
        <v>45227</v>
      </c>
    </row>
    <row r="53" spans="1:14" x14ac:dyDescent="0.25">
      <c r="A53" s="13" t="s">
        <v>478</v>
      </c>
      <c r="B53" s="26">
        <v>45250</v>
      </c>
      <c r="C53">
        <v>5</v>
      </c>
      <c r="D53" s="23">
        <v>141888</v>
      </c>
      <c r="E53" s="17">
        <f t="shared" si="0"/>
        <v>10</v>
      </c>
      <c r="F53" s="17">
        <f t="shared" si="1"/>
        <v>2</v>
      </c>
      <c r="G53" s="17">
        <f t="shared" si="2"/>
        <v>4</v>
      </c>
      <c r="H53">
        <f t="shared" si="3"/>
        <v>4</v>
      </c>
      <c r="I53" s="17" t="str">
        <f t="shared" si="4"/>
        <v>244</v>
      </c>
      <c r="J53" s="25"/>
      <c r="N53" s="26">
        <v>45255</v>
      </c>
    </row>
    <row r="54" spans="1:14" x14ac:dyDescent="0.25">
      <c r="A54" s="13" t="s">
        <v>188</v>
      </c>
      <c r="B54" s="26">
        <v>45227</v>
      </c>
      <c r="C54">
        <v>3</v>
      </c>
      <c r="D54" s="23">
        <v>302976</v>
      </c>
      <c r="E54" s="17">
        <f t="shared" si="0"/>
        <v>33</v>
      </c>
      <c r="F54" s="17">
        <f t="shared" si="1"/>
        <v>3</v>
      </c>
      <c r="G54" s="17">
        <f t="shared" si="2"/>
        <v>2</v>
      </c>
      <c r="H54">
        <f t="shared" si="3"/>
        <v>4</v>
      </c>
      <c r="I54" s="17" t="str">
        <f t="shared" si="4"/>
        <v>324</v>
      </c>
      <c r="J54" s="25"/>
      <c r="N54" s="26">
        <v>45227</v>
      </c>
    </row>
    <row r="55" spans="1:14" x14ac:dyDescent="0.25">
      <c r="A55" s="13" t="s">
        <v>451</v>
      </c>
      <c r="B55" s="26">
        <v>45255</v>
      </c>
      <c r="C55">
        <v>10</v>
      </c>
      <c r="D55" s="23">
        <v>1014984</v>
      </c>
      <c r="E55" s="17">
        <f t="shared" si="0"/>
        <v>5</v>
      </c>
      <c r="F55" s="17">
        <f t="shared" si="1"/>
        <v>1</v>
      </c>
      <c r="G55" s="17">
        <f t="shared" si="2"/>
        <v>5</v>
      </c>
      <c r="H55">
        <f t="shared" si="3"/>
        <v>5</v>
      </c>
      <c r="I55" s="17" t="str">
        <f t="shared" si="4"/>
        <v>155</v>
      </c>
      <c r="J55" s="25"/>
      <c r="N55" s="26">
        <v>45243</v>
      </c>
    </row>
    <row r="56" spans="1:14" x14ac:dyDescent="0.25">
      <c r="A56" s="13" t="s">
        <v>1084</v>
      </c>
      <c r="B56" s="26">
        <v>45227</v>
      </c>
      <c r="C56">
        <v>4</v>
      </c>
      <c r="D56" s="23">
        <v>131000</v>
      </c>
      <c r="E56" s="17">
        <f t="shared" si="0"/>
        <v>33</v>
      </c>
      <c r="F56" s="17">
        <f t="shared" si="1"/>
        <v>3</v>
      </c>
      <c r="G56" s="17">
        <f t="shared" si="2"/>
        <v>3</v>
      </c>
      <c r="H56">
        <f t="shared" si="3"/>
        <v>3</v>
      </c>
      <c r="I56" s="17" t="str">
        <f t="shared" si="4"/>
        <v>333</v>
      </c>
      <c r="J56" s="25"/>
      <c r="N56" s="26">
        <v>45192</v>
      </c>
    </row>
    <row r="57" spans="1:14" x14ac:dyDescent="0.25">
      <c r="A57" s="13" t="s">
        <v>1271</v>
      </c>
      <c r="B57" s="26">
        <v>45243</v>
      </c>
      <c r="C57">
        <v>1</v>
      </c>
      <c r="D57" s="23">
        <v>73992</v>
      </c>
      <c r="E57" s="17">
        <f t="shared" si="0"/>
        <v>17</v>
      </c>
      <c r="F57" s="17">
        <f t="shared" si="1"/>
        <v>2</v>
      </c>
      <c r="G57" s="17">
        <f t="shared" si="2"/>
        <v>0</v>
      </c>
      <c r="H57">
        <f t="shared" si="3"/>
        <v>3</v>
      </c>
      <c r="I57" s="17" t="str">
        <f t="shared" si="4"/>
        <v>203</v>
      </c>
      <c r="J57" s="25"/>
      <c r="N57" s="26">
        <v>45198</v>
      </c>
    </row>
    <row r="58" spans="1:14" x14ac:dyDescent="0.25">
      <c r="A58" s="13" t="s">
        <v>603</v>
      </c>
      <c r="B58" s="26">
        <v>45192</v>
      </c>
      <c r="C58">
        <v>1</v>
      </c>
      <c r="D58" s="23">
        <v>46888</v>
      </c>
      <c r="E58" s="17">
        <f t="shared" si="0"/>
        <v>68</v>
      </c>
      <c r="F58" s="17">
        <f t="shared" si="1"/>
        <v>4</v>
      </c>
      <c r="G58" s="17">
        <f t="shared" si="2"/>
        <v>0</v>
      </c>
      <c r="H58">
        <f t="shared" si="3"/>
        <v>2</v>
      </c>
      <c r="I58" s="17" t="str">
        <f t="shared" si="4"/>
        <v>402</v>
      </c>
      <c r="J58" s="25"/>
      <c r="N58" s="26">
        <v>45025</v>
      </c>
    </row>
    <row r="59" spans="1:14" x14ac:dyDescent="0.25">
      <c r="A59" s="13" t="s">
        <v>374</v>
      </c>
      <c r="B59" s="26">
        <v>45198</v>
      </c>
      <c r="C59">
        <v>4</v>
      </c>
      <c r="D59" s="23">
        <v>201000</v>
      </c>
      <c r="E59" s="17">
        <f t="shared" si="0"/>
        <v>62</v>
      </c>
      <c r="F59" s="17">
        <f t="shared" si="1"/>
        <v>4</v>
      </c>
      <c r="G59" s="17">
        <f t="shared" si="2"/>
        <v>3</v>
      </c>
      <c r="H59">
        <f t="shared" si="3"/>
        <v>4</v>
      </c>
      <c r="I59" s="17" t="str">
        <f t="shared" si="4"/>
        <v>434</v>
      </c>
      <c r="J59" s="25"/>
      <c r="N59" s="26">
        <v>45255</v>
      </c>
    </row>
    <row r="60" spans="1:14" x14ac:dyDescent="0.25">
      <c r="A60" s="13" t="s">
        <v>78</v>
      </c>
      <c r="B60" s="26">
        <v>45173</v>
      </c>
      <c r="C60">
        <v>2</v>
      </c>
      <c r="D60" s="23">
        <v>170400</v>
      </c>
      <c r="E60" s="17">
        <f t="shared" si="0"/>
        <v>235</v>
      </c>
      <c r="F60" s="17">
        <f t="shared" si="1"/>
        <v>5</v>
      </c>
      <c r="G60" s="17">
        <f t="shared" si="2"/>
        <v>2</v>
      </c>
      <c r="H60">
        <f t="shared" si="3"/>
        <v>4</v>
      </c>
      <c r="I60" s="17" t="str">
        <f t="shared" si="4"/>
        <v>524</v>
      </c>
      <c r="J60" s="25"/>
      <c r="N60" s="26">
        <v>45196</v>
      </c>
    </row>
    <row r="61" spans="1:14" x14ac:dyDescent="0.25">
      <c r="A61" s="13" t="s">
        <v>1406</v>
      </c>
      <c r="B61" s="26">
        <v>45255</v>
      </c>
      <c r="C61">
        <v>5</v>
      </c>
      <c r="D61" s="23">
        <v>26000</v>
      </c>
      <c r="E61" s="17">
        <f t="shared" si="0"/>
        <v>5</v>
      </c>
      <c r="F61" s="17">
        <f t="shared" si="1"/>
        <v>1</v>
      </c>
      <c r="G61" s="17">
        <f t="shared" si="2"/>
        <v>4</v>
      </c>
      <c r="H61">
        <f t="shared" si="3"/>
        <v>2</v>
      </c>
      <c r="I61" s="17" t="str">
        <f t="shared" si="4"/>
        <v>142</v>
      </c>
      <c r="J61" s="25"/>
      <c r="N61" s="26">
        <v>45025</v>
      </c>
    </row>
    <row r="62" spans="1:14" x14ac:dyDescent="0.25">
      <c r="A62" s="13" t="s">
        <v>608</v>
      </c>
      <c r="B62" s="26">
        <v>45196</v>
      </c>
      <c r="C62">
        <v>2</v>
      </c>
      <c r="D62" s="23">
        <v>429120</v>
      </c>
      <c r="E62" s="17">
        <f t="shared" si="0"/>
        <v>64</v>
      </c>
      <c r="F62" s="17">
        <f t="shared" si="1"/>
        <v>4</v>
      </c>
      <c r="G62" s="17">
        <f t="shared" si="2"/>
        <v>2</v>
      </c>
      <c r="H62">
        <f t="shared" si="3"/>
        <v>5</v>
      </c>
      <c r="I62" s="17" t="str">
        <f t="shared" si="4"/>
        <v>425</v>
      </c>
      <c r="J62" s="25"/>
      <c r="N62" s="26">
        <v>45213</v>
      </c>
    </row>
    <row r="63" spans="1:14" x14ac:dyDescent="0.25">
      <c r="A63" s="13" t="s">
        <v>122</v>
      </c>
      <c r="B63" s="26">
        <v>45173</v>
      </c>
      <c r="C63">
        <v>1</v>
      </c>
      <c r="D63" s="23">
        <v>0</v>
      </c>
      <c r="E63" s="17">
        <f t="shared" si="0"/>
        <v>235</v>
      </c>
      <c r="F63" s="17">
        <f t="shared" si="1"/>
        <v>5</v>
      </c>
      <c r="G63" s="17">
        <f t="shared" si="2"/>
        <v>0</v>
      </c>
      <c r="H63">
        <f t="shared" si="3"/>
        <v>1</v>
      </c>
      <c r="I63" s="17" t="str">
        <f t="shared" si="4"/>
        <v>501</v>
      </c>
      <c r="J63" s="25"/>
      <c r="N63" s="26">
        <v>45088</v>
      </c>
    </row>
    <row r="64" spans="1:14" x14ac:dyDescent="0.25">
      <c r="A64" s="13" t="s">
        <v>881</v>
      </c>
      <c r="B64" s="26">
        <v>45213</v>
      </c>
      <c r="C64">
        <v>1</v>
      </c>
      <c r="D64" s="23">
        <v>20000</v>
      </c>
      <c r="E64" s="17">
        <f t="shared" si="0"/>
        <v>47</v>
      </c>
      <c r="F64" s="17">
        <f t="shared" si="1"/>
        <v>4</v>
      </c>
      <c r="G64" s="17">
        <f t="shared" si="2"/>
        <v>0</v>
      </c>
      <c r="H64">
        <f t="shared" si="3"/>
        <v>2</v>
      </c>
      <c r="I64" s="17" t="str">
        <f t="shared" si="4"/>
        <v>402</v>
      </c>
      <c r="J64" s="25"/>
      <c r="N64" s="26">
        <v>45225</v>
      </c>
    </row>
    <row r="65" spans="1:14" x14ac:dyDescent="0.25">
      <c r="A65" s="13" t="s">
        <v>553</v>
      </c>
      <c r="B65" s="26">
        <v>45236</v>
      </c>
      <c r="C65">
        <v>3</v>
      </c>
      <c r="D65" s="23">
        <v>720720</v>
      </c>
      <c r="E65" s="17">
        <f t="shared" si="0"/>
        <v>172</v>
      </c>
      <c r="F65" s="17">
        <f t="shared" si="1"/>
        <v>5</v>
      </c>
      <c r="G65" s="17">
        <f t="shared" si="2"/>
        <v>2</v>
      </c>
      <c r="H65">
        <f t="shared" si="3"/>
        <v>5</v>
      </c>
      <c r="I65" s="17" t="str">
        <f t="shared" si="4"/>
        <v>525</v>
      </c>
      <c r="J65" s="25"/>
      <c r="N65" s="26">
        <v>45226</v>
      </c>
    </row>
    <row r="66" spans="1:14" x14ac:dyDescent="0.25">
      <c r="A66" s="13" t="s">
        <v>154</v>
      </c>
      <c r="B66" s="26">
        <v>45225</v>
      </c>
      <c r="C66">
        <v>7</v>
      </c>
      <c r="D66" s="23">
        <v>473249</v>
      </c>
      <c r="E66" s="17">
        <f t="shared" si="0"/>
        <v>35</v>
      </c>
      <c r="F66" s="17">
        <f t="shared" si="1"/>
        <v>3</v>
      </c>
      <c r="G66" s="17">
        <f t="shared" si="2"/>
        <v>4</v>
      </c>
      <c r="H66">
        <f t="shared" si="3"/>
        <v>5</v>
      </c>
      <c r="I66" s="17" t="str">
        <f t="shared" si="4"/>
        <v>345</v>
      </c>
      <c r="J66" s="25"/>
      <c r="N66" s="26">
        <v>45243</v>
      </c>
    </row>
    <row r="67" spans="1:14" x14ac:dyDescent="0.25">
      <c r="A67" s="13" t="s">
        <v>1016</v>
      </c>
      <c r="B67" s="26">
        <v>45226</v>
      </c>
      <c r="C67">
        <v>2</v>
      </c>
      <c r="D67" s="23">
        <v>140000</v>
      </c>
      <c r="E67" s="17">
        <f t="shared" si="0"/>
        <v>34</v>
      </c>
      <c r="F67" s="17">
        <f t="shared" si="1"/>
        <v>3</v>
      </c>
      <c r="G67" s="17">
        <f t="shared" si="2"/>
        <v>2</v>
      </c>
      <c r="H67">
        <f t="shared" si="3"/>
        <v>4</v>
      </c>
      <c r="I67" s="17" t="str">
        <f t="shared" si="4"/>
        <v>324</v>
      </c>
      <c r="J67" s="25"/>
      <c r="N67" s="26">
        <v>45248</v>
      </c>
    </row>
    <row r="68" spans="1:14" x14ac:dyDescent="0.25">
      <c r="A68" s="13" t="s">
        <v>1259</v>
      </c>
      <c r="B68" s="26">
        <v>45243</v>
      </c>
      <c r="C68">
        <v>2</v>
      </c>
      <c r="D68" s="23">
        <v>162000</v>
      </c>
      <c r="E68" s="17">
        <f t="shared" si="0"/>
        <v>17</v>
      </c>
      <c r="F68" s="17">
        <f t="shared" si="1"/>
        <v>2</v>
      </c>
      <c r="G68" s="17">
        <f t="shared" si="2"/>
        <v>2</v>
      </c>
      <c r="H68">
        <f t="shared" si="3"/>
        <v>4</v>
      </c>
      <c r="I68" s="17" t="str">
        <f t="shared" si="4"/>
        <v>224</v>
      </c>
      <c r="J68" s="25"/>
      <c r="N68" s="26">
        <v>45027</v>
      </c>
    </row>
    <row r="69" spans="1:14" x14ac:dyDescent="0.25">
      <c r="A69" s="13" t="s">
        <v>563</v>
      </c>
      <c r="B69" s="26">
        <v>45248</v>
      </c>
      <c r="C69">
        <v>3</v>
      </c>
      <c r="D69" s="23">
        <v>231000</v>
      </c>
      <c r="E69" s="17">
        <f t="shared" si="0"/>
        <v>12</v>
      </c>
      <c r="F69" s="17">
        <f t="shared" si="1"/>
        <v>2</v>
      </c>
      <c r="G69" s="17">
        <f t="shared" si="2"/>
        <v>2</v>
      </c>
      <c r="H69">
        <f t="shared" si="3"/>
        <v>4</v>
      </c>
      <c r="I69" s="17" t="str">
        <f t="shared" si="4"/>
        <v>224</v>
      </c>
      <c r="J69" s="25"/>
      <c r="N69" s="26">
        <v>45247</v>
      </c>
    </row>
    <row r="70" spans="1:14" x14ac:dyDescent="0.25">
      <c r="A70" s="13" t="s">
        <v>1142</v>
      </c>
      <c r="B70" s="26">
        <v>45234</v>
      </c>
      <c r="C70">
        <v>2</v>
      </c>
      <c r="D70" s="23">
        <v>20000</v>
      </c>
      <c r="E70" s="17">
        <f t="shared" ref="E70:E133" si="5">IF(N68&gt;DATE(2023,11,30), 0, DATEDIF(N68, DATE(2023,11,30), "d"))</f>
        <v>233</v>
      </c>
      <c r="F70" s="17">
        <f t="shared" ref="F70:F133" si="6">ROUNDUP(_xlfn.RANK.EQ(E70, $E$5:$E$168, 1) / COUNT($E$5:$E$168) * 5, 0)</f>
        <v>5</v>
      </c>
      <c r="G70" s="17">
        <f t="shared" ref="G70:G133" si="7">ROUNDUP(_xlfn.PERCENTRANK.INC($C$5:$C$168, C70)*5, 0)</f>
        <v>2</v>
      </c>
      <c r="H70">
        <f t="shared" ref="H70:H133" si="8">ROUNDUP(_xlfn.PERCENTRANK.INC($D$5:$D$168, D70)*5, 0)</f>
        <v>2</v>
      </c>
      <c r="I70" s="17" t="str">
        <f t="shared" ref="I70:I133" si="9">F70 &amp; G70 &amp; H70</f>
        <v>522</v>
      </c>
      <c r="J70" s="25"/>
      <c r="N70" s="26">
        <v>45185</v>
      </c>
    </row>
    <row r="71" spans="1:14" x14ac:dyDescent="0.25">
      <c r="A71" s="13" t="s">
        <v>1161</v>
      </c>
      <c r="B71" s="26">
        <v>45247</v>
      </c>
      <c r="C71">
        <v>4</v>
      </c>
      <c r="D71" s="23">
        <v>34800</v>
      </c>
      <c r="E71" s="17">
        <f t="shared" si="5"/>
        <v>13</v>
      </c>
      <c r="F71" s="17">
        <f t="shared" si="6"/>
        <v>2</v>
      </c>
      <c r="G71" s="17">
        <f t="shared" si="7"/>
        <v>3</v>
      </c>
      <c r="H71">
        <f t="shared" si="8"/>
        <v>2</v>
      </c>
      <c r="I71" s="17" t="str">
        <f t="shared" si="9"/>
        <v>232</v>
      </c>
      <c r="J71" s="25"/>
      <c r="N71" s="26">
        <v>45250</v>
      </c>
    </row>
    <row r="72" spans="1:14" x14ac:dyDescent="0.25">
      <c r="A72" s="13" t="s">
        <v>440</v>
      </c>
      <c r="B72" s="26">
        <v>45185</v>
      </c>
      <c r="C72">
        <v>2</v>
      </c>
      <c r="D72" s="23">
        <v>159284</v>
      </c>
      <c r="E72" s="17">
        <f t="shared" si="5"/>
        <v>75</v>
      </c>
      <c r="F72" s="17">
        <f t="shared" si="6"/>
        <v>4</v>
      </c>
      <c r="G72" s="17">
        <f t="shared" si="7"/>
        <v>2</v>
      </c>
      <c r="H72">
        <f t="shared" si="8"/>
        <v>4</v>
      </c>
      <c r="I72" s="17" t="str">
        <f t="shared" si="9"/>
        <v>424</v>
      </c>
      <c r="J72" s="25"/>
      <c r="N72" s="26">
        <v>45027</v>
      </c>
    </row>
    <row r="73" spans="1:14" x14ac:dyDescent="0.25">
      <c r="A73" s="13" t="s">
        <v>1348</v>
      </c>
      <c r="B73" s="26">
        <v>45250</v>
      </c>
      <c r="C73">
        <v>6</v>
      </c>
      <c r="D73" s="23">
        <v>27360</v>
      </c>
      <c r="E73" s="17">
        <f t="shared" si="5"/>
        <v>10</v>
      </c>
      <c r="F73" s="17">
        <f t="shared" si="6"/>
        <v>2</v>
      </c>
      <c r="G73" s="17">
        <f t="shared" si="7"/>
        <v>4</v>
      </c>
      <c r="H73">
        <f t="shared" si="8"/>
        <v>2</v>
      </c>
      <c r="I73" s="17" t="str">
        <f t="shared" si="9"/>
        <v>242</v>
      </c>
      <c r="J73" s="25"/>
      <c r="N73" s="26">
        <v>45027</v>
      </c>
    </row>
    <row r="74" spans="1:14" x14ac:dyDescent="0.25">
      <c r="A74" s="13" t="s">
        <v>1173</v>
      </c>
      <c r="B74" s="26">
        <v>45234</v>
      </c>
      <c r="C74">
        <v>4</v>
      </c>
      <c r="D74" s="23">
        <v>63000</v>
      </c>
      <c r="E74" s="17">
        <f t="shared" si="5"/>
        <v>233</v>
      </c>
      <c r="F74" s="17">
        <f t="shared" si="6"/>
        <v>5</v>
      </c>
      <c r="G74" s="17">
        <f t="shared" si="7"/>
        <v>3</v>
      </c>
      <c r="H74">
        <f t="shared" si="8"/>
        <v>3</v>
      </c>
      <c r="I74" s="17" t="str">
        <f t="shared" si="9"/>
        <v>533</v>
      </c>
      <c r="J74" s="25"/>
      <c r="N74" s="26">
        <v>45225</v>
      </c>
    </row>
    <row r="75" spans="1:14" x14ac:dyDescent="0.25">
      <c r="A75" s="13" t="s">
        <v>1172</v>
      </c>
      <c r="B75" s="26">
        <v>45234</v>
      </c>
      <c r="C75">
        <v>2</v>
      </c>
      <c r="D75" s="23">
        <v>54000</v>
      </c>
      <c r="E75" s="17">
        <f t="shared" si="5"/>
        <v>233</v>
      </c>
      <c r="F75" s="17">
        <f t="shared" si="6"/>
        <v>5</v>
      </c>
      <c r="G75" s="17">
        <f t="shared" si="7"/>
        <v>2</v>
      </c>
      <c r="H75">
        <f t="shared" si="8"/>
        <v>2</v>
      </c>
      <c r="I75" s="17" t="str">
        <f t="shared" si="9"/>
        <v>522</v>
      </c>
      <c r="J75" s="25"/>
      <c r="N75" s="26">
        <v>45197</v>
      </c>
    </row>
    <row r="76" spans="1:14" x14ac:dyDescent="0.25">
      <c r="A76" s="13" t="s">
        <v>996</v>
      </c>
      <c r="B76" s="26">
        <v>45225</v>
      </c>
      <c r="C76">
        <v>3</v>
      </c>
      <c r="D76" s="23">
        <v>32500</v>
      </c>
      <c r="E76" s="17">
        <f t="shared" si="5"/>
        <v>35</v>
      </c>
      <c r="F76" s="17">
        <f t="shared" si="6"/>
        <v>3</v>
      </c>
      <c r="G76" s="17">
        <f t="shared" si="7"/>
        <v>2</v>
      </c>
      <c r="H76">
        <f t="shared" si="8"/>
        <v>2</v>
      </c>
      <c r="I76" s="17" t="str">
        <f t="shared" si="9"/>
        <v>322</v>
      </c>
      <c r="J76" s="25"/>
      <c r="N76" s="26">
        <v>45244</v>
      </c>
    </row>
    <row r="77" spans="1:14" x14ac:dyDescent="0.25">
      <c r="A77" s="13" t="s">
        <v>658</v>
      </c>
      <c r="B77" s="26">
        <v>45197</v>
      </c>
      <c r="C77">
        <v>2</v>
      </c>
      <c r="D77" s="23">
        <v>15000</v>
      </c>
      <c r="E77" s="17">
        <f t="shared" si="5"/>
        <v>63</v>
      </c>
      <c r="F77" s="17">
        <f t="shared" si="6"/>
        <v>4</v>
      </c>
      <c r="G77" s="17">
        <f t="shared" si="7"/>
        <v>2</v>
      </c>
      <c r="H77">
        <f t="shared" si="8"/>
        <v>1</v>
      </c>
      <c r="I77" s="17" t="str">
        <f t="shared" si="9"/>
        <v>421</v>
      </c>
      <c r="J77" s="25"/>
      <c r="N77" s="26">
        <v>45220</v>
      </c>
    </row>
    <row r="78" spans="1:14" x14ac:dyDescent="0.25">
      <c r="A78" s="13" t="s">
        <v>1276</v>
      </c>
      <c r="B78" s="26">
        <v>45244</v>
      </c>
      <c r="C78">
        <v>1</v>
      </c>
      <c r="D78" s="23">
        <v>0</v>
      </c>
      <c r="E78" s="17">
        <f t="shared" si="5"/>
        <v>16</v>
      </c>
      <c r="F78" s="17">
        <f t="shared" si="6"/>
        <v>2</v>
      </c>
      <c r="G78" s="17">
        <f t="shared" si="7"/>
        <v>0</v>
      </c>
      <c r="H78">
        <f t="shared" si="8"/>
        <v>1</v>
      </c>
      <c r="I78" s="17" t="str">
        <f t="shared" si="9"/>
        <v>201</v>
      </c>
      <c r="J78" s="25"/>
      <c r="N78" s="26">
        <v>45213</v>
      </c>
    </row>
    <row r="79" spans="1:14" x14ac:dyDescent="0.25">
      <c r="A79" s="13" t="s">
        <v>728</v>
      </c>
      <c r="B79" s="26">
        <v>45220</v>
      </c>
      <c r="C79">
        <v>5</v>
      </c>
      <c r="D79" s="23">
        <v>-308400</v>
      </c>
      <c r="E79" s="17">
        <f t="shared" si="5"/>
        <v>40</v>
      </c>
      <c r="F79" s="17">
        <f t="shared" si="6"/>
        <v>4</v>
      </c>
      <c r="G79" s="17">
        <f t="shared" si="7"/>
        <v>4</v>
      </c>
      <c r="H79">
        <f t="shared" si="8"/>
        <v>1</v>
      </c>
      <c r="I79" s="17" t="str">
        <f t="shared" si="9"/>
        <v>441</v>
      </c>
      <c r="J79" s="25"/>
      <c r="N79" s="26">
        <v>45255</v>
      </c>
    </row>
    <row r="80" spans="1:14" x14ac:dyDescent="0.25">
      <c r="A80" s="13" t="s">
        <v>900</v>
      </c>
      <c r="B80" s="26">
        <v>45213</v>
      </c>
      <c r="C80">
        <v>6</v>
      </c>
      <c r="D80" s="23">
        <v>-8309200</v>
      </c>
      <c r="E80" s="17">
        <f t="shared" si="5"/>
        <v>47</v>
      </c>
      <c r="F80" s="17">
        <f t="shared" si="6"/>
        <v>4</v>
      </c>
      <c r="G80" s="17">
        <f t="shared" si="7"/>
        <v>4</v>
      </c>
      <c r="H80">
        <f t="shared" si="8"/>
        <v>0</v>
      </c>
      <c r="I80" s="17" t="str">
        <f t="shared" si="9"/>
        <v>440</v>
      </c>
      <c r="J80" s="25"/>
      <c r="N80" s="26">
        <v>45227</v>
      </c>
    </row>
    <row r="81" spans="1:14" x14ac:dyDescent="0.25">
      <c r="A81" s="13" t="s">
        <v>176</v>
      </c>
      <c r="B81" s="26">
        <v>45255</v>
      </c>
      <c r="C81">
        <v>15</v>
      </c>
      <c r="D81" s="23">
        <v>1335960</v>
      </c>
      <c r="E81" s="17">
        <f t="shared" si="5"/>
        <v>5</v>
      </c>
      <c r="F81" s="17">
        <f t="shared" si="6"/>
        <v>1</v>
      </c>
      <c r="G81" s="17">
        <f t="shared" si="7"/>
        <v>5</v>
      </c>
      <c r="H81">
        <f t="shared" si="8"/>
        <v>5</v>
      </c>
      <c r="I81" s="17" t="str">
        <f t="shared" si="9"/>
        <v>155</v>
      </c>
      <c r="J81" s="25"/>
      <c r="N81" s="26">
        <v>45255</v>
      </c>
    </row>
    <row r="82" spans="1:14" x14ac:dyDescent="0.25">
      <c r="A82" s="13" t="s">
        <v>1061</v>
      </c>
      <c r="B82" s="26">
        <v>45227</v>
      </c>
      <c r="C82">
        <v>4</v>
      </c>
      <c r="D82" s="23">
        <v>194000</v>
      </c>
      <c r="E82" s="17">
        <f t="shared" si="5"/>
        <v>33</v>
      </c>
      <c r="F82" s="17">
        <f t="shared" si="6"/>
        <v>3</v>
      </c>
      <c r="G82" s="17">
        <f t="shared" si="7"/>
        <v>3</v>
      </c>
      <c r="H82">
        <f t="shared" si="8"/>
        <v>4</v>
      </c>
      <c r="I82" s="17" t="str">
        <f t="shared" si="9"/>
        <v>334</v>
      </c>
      <c r="J82" s="25"/>
      <c r="N82" s="26">
        <v>44996</v>
      </c>
    </row>
    <row r="83" spans="1:14" x14ac:dyDescent="0.25">
      <c r="A83" s="13" t="s">
        <v>50</v>
      </c>
      <c r="B83" s="26">
        <v>45255</v>
      </c>
      <c r="C83">
        <v>9</v>
      </c>
      <c r="D83" s="23">
        <v>-432440</v>
      </c>
      <c r="E83" s="17">
        <f t="shared" si="5"/>
        <v>5</v>
      </c>
      <c r="F83" s="17">
        <f t="shared" si="6"/>
        <v>1</v>
      </c>
      <c r="G83" s="17">
        <f t="shared" si="7"/>
        <v>5</v>
      </c>
      <c r="H83">
        <f t="shared" si="8"/>
        <v>1</v>
      </c>
      <c r="I83" s="17" t="str">
        <f t="shared" si="9"/>
        <v>151</v>
      </c>
      <c r="J83" s="25"/>
      <c r="N83" s="26">
        <v>45243</v>
      </c>
    </row>
    <row r="84" spans="1:14" x14ac:dyDescent="0.25">
      <c r="A84" s="13" t="s">
        <v>925</v>
      </c>
      <c r="B84" s="26">
        <v>45233</v>
      </c>
      <c r="C84">
        <v>8</v>
      </c>
      <c r="D84" s="23">
        <v>423651</v>
      </c>
      <c r="E84" s="17">
        <f t="shared" si="5"/>
        <v>264</v>
      </c>
      <c r="F84" s="17">
        <f t="shared" si="6"/>
        <v>5</v>
      </c>
      <c r="G84" s="17">
        <f t="shared" si="7"/>
        <v>4</v>
      </c>
      <c r="H84">
        <f t="shared" si="8"/>
        <v>5</v>
      </c>
      <c r="I84" s="17" t="str">
        <f t="shared" si="9"/>
        <v>545</v>
      </c>
      <c r="J84" s="25"/>
      <c r="N84" s="26">
        <v>45243</v>
      </c>
    </row>
    <row r="85" spans="1:14" x14ac:dyDescent="0.25">
      <c r="A85" s="13" t="s">
        <v>388</v>
      </c>
      <c r="B85" s="26">
        <v>45243</v>
      </c>
      <c r="C85">
        <v>21</v>
      </c>
      <c r="D85" s="23">
        <v>151214</v>
      </c>
      <c r="E85" s="17">
        <f t="shared" si="5"/>
        <v>17</v>
      </c>
      <c r="F85" s="17">
        <f t="shared" si="6"/>
        <v>2</v>
      </c>
      <c r="G85" s="17">
        <f t="shared" si="7"/>
        <v>5</v>
      </c>
      <c r="H85">
        <f t="shared" si="8"/>
        <v>4</v>
      </c>
      <c r="I85" s="17" t="str">
        <f t="shared" si="9"/>
        <v>254</v>
      </c>
      <c r="J85" s="25"/>
      <c r="N85" s="26">
        <v>45227</v>
      </c>
    </row>
    <row r="86" spans="1:14" x14ac:dyDescent="0.25">
      <c r="A86" s="13" t="s">
        <v>76</v>
      </c>
      <c r="B86" s="26">
        <v>45243</v>
      </c>
      <c r="C86">
        <v>4</v>
      </c>
      <c r="D86" s="23">
        <v>-54064</v>
      </c>
      <c r="E86" s="17">
        <f t="shared" si="5"/>
        <v>17</v>
      </c>
      <c r="F86" s="17">
        <f t="shared" si="6"/>
        <v>2</v>
      </c>
      <c r="G86" s="17">
        <f t="shared" si="7"/>
        <v>3</v>
      </c>
      <c r="H86">
        <f t="shared" si="8"/>
        <v>1</v>
      </c>
      <c r="I86" s="17" t="str">
        <f t="shared" si="9"/>
        <v>231</v>
      </c>
      <c r="J86" s="25"/>
      <c r="N86" s="26">
        <v>45210</v>
      </c>
    </row>
    <row r="87" spans="1:14" x14ac:dyDescent="0.25">
      <c r="A87" s="13" t="s">
        <v>1058</v>
      </c>
      <c r="B87" s="26">
        <v>45227</v>
      </c>
      <c r="C87">
        <v>3</v>
      </c>
      <c r="D87" s="23">
        <v>150000</v>
      </c>
      <c r="E87" s="17">
        <f t="shared" si="5"/>
        <v>33</v>
      </c>
      <c r="F87" s="17">
        <f t="shared" si="6"/>
        <v>3</v>
      </c>
      <c r="G87" s="17">
        <f t="shared" si="7"/>
        <v>2</v>
      </c>
      <c r="H87">
        <f t="shared" si="8"/>
        <v>4</v>
      </c>
      <c r="I87" s="17" t="str">
        <f t="shared" si="9"/>
        <v>324</v>
      </c>
      <c r="J87" s="25"/>
      <c r="N87" s="26">
        <v>45197</v>
      </c>
    </row>
    <row r="88" spans="1:14" x14ac:dyDescent="0.25">
      <c r="A88" s="13" t="s">
        <v>1224</v>
      </c>
      <c r="B88" s="26">
        <v>45240</v>
      </c>
      <c r="C88">
        <v>1</v>
      </c>
      <c r="D88" s="23">
        <v>39600</v>
      </c>
      <c r="E88" s="17">
        <f t="shared" si="5"/>
        <v>50</v>
      </c>
      <c r="F88" s="17">
        <f t="shared" si="6"/>
        <v>4</v>
      </c>
      <c r="G88" s="17">
        <f t="shared" si="7"/>
        <v>0</v>
      </c>
      <c r="H88">
        <f t="shared" si="8"/>
        <v>2</v>
      </c>
      <c r="I88" s="17" t="str">
        <f t="shared" si="9"/>
        <v>402</v>
      </c>
      <c r="J88" s="25"/>
      <c r="N88" s="26">
        <v>45185</v>
      </c>
    </row>
    <row r="89" spans="1:14" x14ac:dyDescent="0.25">
      <c r="A89" s="13" t="s">
        <v>648</v>
      </c>
      <c r="B89" s="26">
        <v>45197</v>
      </c>
      <c r="C89">
        <v>3</v>
      </c>
      <c r="D89" s="23">
        <v>20830</v>
      </c>
      <c r="E89" s="17">
        <f t="shared" si="5"/>
        <v>63</v>
      </c>
      <c r="F89" s="17">
        <f t="shared" si="6"/>
        <v>4</v>
      </c>
      <c r="G89" s="17">
        <f t="shared" si="7"/>
        <v>2</v>
      </c>
      <c r="H89">
        <f t="shared" si="8"/>
        <v>2</v>
      </c>
      <c r="I89" s="17" t="str">
        <f t="shared" si="9"/>
        <v>422</v>
      </c>
      <c r="J89" s="25"/>
      <c r="N89" s="26">
        <v>45244</v>
      </c>
    </row>
    <row r="90" spans="1:14" x14ac:dyDescent="0.25">
      <c r="A90" s="13" t="s">
        <v>505</v>
      </c>
      <c r="B90" s="26">
        <v>45185</v>
      </c>
      <c r="C90">
        <v>11</v>
      </c>
      <c r="D90" s="23">
        <v>-1333000</v>
      </c>
      <c r="E90" s="17">
        <f t="shared" si="5"/>
        <v>75</v>
      </c>
      <c r="F90" s="17">
        <f t="shared" si="6"/>
        <v>4</v>
      </c>
      <c r="G90" s="17">
        <f t="shared" si="7"/>
        <v>5</v>
      </c>
      <c r="H90">
        <f t="shared" si="8"/>
        <v>1</v>
      </c>
      <c r="I90" s="17" t="str">
        <f t="shared" si="9"/>
        <v>451</v>
      </c>
      <c r="J90" s="25"/>
      <c r="N90" s="26">
        <v>45255</v>
      </c>
    </row>
    <row r="91" spans="1:14" x14ac:dyDescent="0.25">
      <c r="A91" s="13" t="s">
        <v>1277</v>
      </c>
      <c r="B91" s="26">
        <v>45244</v>
      </c>
      <c r="C91">
        <v>2</v>
      </c>
      <c r="D91" s="23">
        <v>104000</v>
      </c>
      <c r="E91" s="17">
        <f t="shared" si="5"/>
        <v>16</v>
      </c>
      <c r="F91" s="17">
        <f t="shared" si="6"/>
        <v>2</v>
      </c>
      <c r="G91" s="17">
        <f t="shared" si="7"/>
        <v>2</v>
      </c>
      <c r="H91">
        <f t="shared" si="8"/>
        <v>3</v>
      </c>
      <c r="I91" s="17" t="str">
        <f t="shared" si="9"/>
        <v>223</v>
      </c>
      <c r="J91" s="25"/>
      <c r="N91" s="26">
        <v>45180</v>
      </c>
    </row>
    <row r="92" spans="1:14" x14ac:dyDescent="0.25">
      <c r="A92" s="13" t="s">
        <v>578</v>
      </c>
      <c r="B92" s="26">
        <v>45255</v>
      </c>
      <c r="C92">
        <v>10</v>
      </c>
      <c r="D92" s="23">
        <v>500972</v>
      </c>
      <c r="E92" s="17">
        <f t="shared" si="5"/>
        <v>5</v>
      </c>
      <c r="F92" s="17">
        <f t="shared" si="6"/>
        <v>1</v>
      </c>
      <c r="G92" s="17">
        <f t="shared" si="7"/>
        <v>5</v>
      </c>
      <c r="H92">
        <f t="shared" si="8"/>
        <v>5</v>
      </c>
      <c r="I92" s="17" t="str">
        <f t="shared" si="9"/>
        <v>155</v>
      </c>
      <c r="J92" s="25"/>
      <c r="N92" s="26">
        <v>45260</v>
      </c>
    </row>
    <row r="93" spans="1:14" x14ac:dyDescent="0.25">
      <c r="A93" s="13" t="s">
        <v>654</v>
      </c>
      <c r="B93" s="26">
        <v>45239</v>
      </c>
      <c r="C93">
        <v>21</v>
      </c>
      <c r="D93" s="23">
        <v>595272</v>
      </c>
      <c r="E93" s="17">
        <f t="shared" si="5"/>
        <v>80</v>
      </c>
      <c r="F93" s="17">
        <f t="shared" si="6"/>
        <v>5</v>
      </c>
      <c r="G93" s="17">
        <f t="shared" si="7"/>
        <v>5</v>
      </c>
      <c r="H93">
        <f t="shared" si="8"/>
        <v>5</v>
      </c>
      <c r="I93" s="17" t="str">
        <f t="shared" si="9"/>
        <v>555</v>
      </c>
      <c r="J93" s="25"/>
      <c r="N93" s="26">
        <v>45243</v>
      </c>
    </row>
    <row r="94" spans="1:14" x14ac:dyDescent="0.25">
      <c r="A94" s="13" t="s">
        <v>1361</v>
      </c>
      <c r="B94" s="26">
        <v>45260</v>
      </c>
      <c r="C94">
        <v>5</v>
      </c>
      <c r="D94" s="23">
        <v>249000</v>
      </c>
      <c r="E94" s="17">
        <f t="shared" si="5"/>
        <v>0</v>
      </c>
      <c r="F94" s="17">
        <f t="shared" si="6"/>
        <v>1</v>
      </c>
      <c r="G94" s="17">
        <f t="shared" si="7"/>
        <v>4</v>
      </c>
      <c r="H94">
        <f t="shared" si="8"/>
        <v>4</v>
      </c>
      <c r="I94" s="17" t="str">
        <f t="shared" si="9"/>
        <v>144</v>
      </c>
      <c r="J94" s="25"/>
      <c r="N94" s="26">
        <v>45258</v>
      </c>
    </row>
    <row r="95" spans="1:14" x14ac:dyDescent="0.25">
      <c r="A95" s="13" t="s">
        <v>1272</v>
      </c>
      <c r="B95" s="26">
        <v>45243</v>
      </c>
      <c r="C95">
        <v>1</v>
      </c>
      <c r="D95" s="23">
        <v>65000</v>
      </c>
      <c r="E95" s="17">
        <f t="shared" si="5"/>
        <v>17</v>
      </c>
      <c r="F95" s="17">
        <f t="shared" si="6"/>
        <v>2</v>
      </c>
      <c r="G95" s="17">
        <f t="shared" si="7"/>
        <v>0</v>
      </c>
      <c r="H95">
        <f t="shared" si="8"/>
        <v>3</v>
      </c>
      <c r="I95" s="17" t="str">
        <f t="shared" si="9"/>
        <v>203</v>
      </c>
      <c r="J95" s="25"/>
      <c r="N95" s="26">
        <v>45248</v>
      </c>
    </row>
    <row r="96" spans="1:14" x14ac:dyDescent="0.25">
      <c r="A96" s="13" t="s">
        <v>1214</v>
      </c>
      <c r="B96" s="26">
        <v>45258</v>
      </c>
      <c r="C96">
        <v>5</v>
      </c>
      <c r="D96" s="23">
        <v>1205000</v>
      </c>
      <c r="E96" s="17">
        <f t="shared" si="5"/>
        <v>2</v>
      </c>
      <c r="F96" s="17">
        <f t="shared" si="6"/>
        <v>1</v>
      </c>
      <c r="G96" s="17">
        <f t="shared" si="7"/>
        <v>4</v>
      </c>
      <c r="H96">
        <f t="shared" si="8"/>
        <v>5</v>
      </c>
      <c r="I96" s="17" t="str">
        <f t="shared" si="9"/>
        <v>145</v>
      </c>
      <c r="J96" s="25"/>
      <c r="N96" s="26">
        <v>45250</v>
      </c>
    </row>
    <row r="97" spans="1:14" x14ac:dyDescent="0.25">
      <c r="A97" s="13" t="s">
        <v>449</v>
      </c>
      <c r="B97" s="26">
        <v>45248</v>
      </c>
      <c r="C97">
        <v>3</v>
      </c>
      <c r="D97" s="23">
        <v>368800</v>
      </c>
      <c r="E97" s="17">
        <f t="shared" si="5"/>
        <v>12</v>
      </c>
      <c r="F97" s="17">
        <f t="shared" si="6"/>
        <v>2</v>
      </c>
      <c r="G97" s="17">
        <f t="shared" si="7"/>
        <v>2</v>
      </c>
      <c r="H97">
        <f t="shared" si="8"/>
        <v>5</v>
      </c>
      <c r="I97" s="17" t="str">
        <f t="shared" si="9"/>
        <v>225</v>
      </c>
      <c r="J97" s="25"/>
      <c r="N97" s="26">
        <v>45248</v>
      </c>
    </row>
    <row r="98" spans="1:14" x14ac:dyDescent="0.25">
      <c r="A98" s="13" t="s">
        <v>1344</v>
      </c>
      <c r="B98" s="26">
        <v>45250</v>
      </c>
      <c r="C98">
        <v>4</v>
      </c>
      <c r="D98" s="23">
        <v>27000</v>
      </c>
      <c r="E98" s="17">
        <f t="shared" si="5"/>
        <v>10</v>
      </c>
      <c r="F98" s="17">
        <f t="shared" si="6"/>
        <v>2</v>
      </c>
      <c r="G98" s="17">
        <f t="shared" si="7"/>
        <v>3</v>
      </c>
      <c r="H98">
        <f t="shared" si="8"/>
        <v>2</v>
      </c>
      <c r="I98" s="17" t="str">
        <f t="shared" si="9"/>
        <v>232</v>
      </c>
      <c r="J98" s="25"/>
      <c r="N98" s="26">
        <v>45254</v>
      </c>
    </row>
    <row r="99" spans="1:14" x14ac:dyDescent="0.25">
      <c r="A99" s="13" t="s">
        <v>1143</v>
      </c>
      <c r="B99" s="26">
        <v>45248</v>
      </c>
      <c r="C99">
        <v>12</v>
      </c>
      <c r="D99" s="23">
        <v>127000</v>
      </c>
      <c r="E99" s="17">
        <f t="shared" si="5"/>
        <v>12</v>
      </c>
      <c r="F99" s="17">
        <f t="shared" si="6"/>
        <v>2</v>
      </c>
      <c r="G99" s="17">
        <f t="shared" si="7"/>
        <v>5</v>
      </c>
      <c r="H99">
        <f t="shared" si="8"/>
        <v>3</v>
      </c>
      <c r="I99" s="17" t="str">
        <f t="shared" si="9"/>
        <v>253</v>
      </c>
      <c r="J99" s="25"/>
      <c r="N99" s="26">
        <v>45248</v>
      </c>
    </row>
    <row r="100" spans="1:14" x14ac:dyDescent="0.25">
      <c r="A100" s="13" t="s">
        <v>1215</v>
      </c>
      <c r="B100" s="26">
        <v>45254</v>
      </c>
      <c r="C100">
        <v>5</v>
      </c>
      <c r="D100" s="23">
        <v>112200</v>
      </c>
      <c r="E100" s="17">
        <f t="shared" si="5"/>
        <v>6</v>
      </c>
      <c r="F100" s="17">
        <f t="shared" si="6"/>
        <v>1</v>
      </c>
      <c r="G100" s="17">
        <f t="shared" si="7"/>
        <v>4</v>
      </c>
      <c r="H100">
        <f t="shared" si="8"/>
        <v>3</v>
      </c>
      <c r="I100" s="17" t="str">
        <f t="shared" si="9"/>
        <v>143</v>
      </c>
      <c r="J100" s="25"/>
      <c r="N100" s="26">
        <v>45255</v>
      </c>
    </row>
    <row r="101" spans="1:14" x14ac:dyDescent="0.25">
      <c r="A101" s="13" t="s">
        <v>1334</v>
      </c>
      <c r="B101" s="26">
        <v>45248</v>
      </c>
      <c r="C101">
        <v>2</v>
      </c>
      <c r="D101" s="23">
        <v>-946000</v>
      </c>
      <c r="E101" s="17">
        <f t="shared" si="5"/>
        <v>12</v>
      </c>
      <c r="F101" s="17">
        <f t="shared" si="6"/>
        <v>2</v>
      </c>
      <c r="G101" s="17">
        <f t="shared" si="7"/>
        <v>2</v>
      </c>
      <c r="H101">
        <f t="shared" si="8"/>
        <v>1</v>
      </c>
      <c r="I101" s="17" t="str">
        <f t="shared" si="9"/>
        <v>221</v>
      </c>
      <c r="J101" s="25"/>
      <c r="N101" s="26">
        <v>45226</v>
      </c>
    </row>
    <row r="102" spans="1:14" x14ac:dyDescent="0.25">
      <c r="A102" s="13" t="s">
        <v>1403</v>
      </c>
      <c r="B102" s="26">
        <v>45255</v>
      </c>
      <c r="C102">
        <v>2</v>
      </c>
      <c r="D102" s="23">
        <v>51030</v>
      </c>
      <c r="E102" s="17">
        <f t="shared" si="5"/>
        <v>5</v>
      </c>
      <c r="F102" s="17">
        <f t="shared" si="6"/>
        <v>1</v>
      </c>
      <c r="G102" s="17">
        <f t="shared" si="7"/>
        <v>2</v>
      </c>
      <c r="H102">
        <f t="shared" si="8"/>
        <v>2</v>
      </c>
      <c r="I102" s="17" t="str">
        <f t="shared" si="9"/>
        <v>122</v>
      </c>
      <c r="J102" s="25"/>
      <c r="N102" s="26">
        <v>45210</v>
      </c>
    </row>
    <row r="103" spans="1:14" x14ac:dyDescent="0.25">
      <c r="A103" s="13" t="s">
        <v>1025</v>
      </c>
      <c r="B103" s="26">
        <v>45226</v>
      </c>
      <c r="C103">
        <v>1</v>
      </c>
      <c r="D103" s="23">
        <v>-27200</v>
      </c>
      <c r="E103" s="17">
        <f t="shared" si="5"/>
        <v>34</v>
      </c>
      <c r="F103" s="17">
        <f t="shared" si="6"/>
        <v>3</v>
      </c>
      <c r="G103" s="17">
        <f t="shared" si="7"/>
        <v>0</v>
      </c>
      <c r="H103">
        <f t="shared" si="8"/>
        <v>1</v>
      </c>
      <c r="I103" s="17" t="str">
        <f t="shared" si="9"/>
        <v>301</v>
      </c>
      <c r="J103" s="25"/>
      <c r="N103" s="26">
        <v>45250</v>
      </c>
    </row>
    <row r="104" spans="1:14" x14ac:dyDescent="0.25">
      <c r="A104" s="13" t="s">
        <v>1022</v>
      </c>
      <c r="B104" s="26">
        <v>45240</v>
      </c>
      <c r="C104">
        <v>2</v>
      </c>
      <c r="D104" s="23">
        <v>60000</v>
      </c>
      <c r="E104" s="17">
        <f t="shared" si="5"/>
        <v>50</v>
      </c>
      <c r="F104" s="17">
        <f t="shared" si="6"/>
        <v>4</v>
      </c>
      <c r="G104" s="17">
        <f t="shared" si="7"/>
        <v>2</v>
      </c>
      <c r="H104">
        <f t="shared" si="8"/>
        <v>3</v>
      </c>
      <c r="I104" s="17" t="str">
        <f t="shared" si="9"/>
        <v>423</v>
      </c>
      <c r="J104" s="25"/>
      <c r="N104" s="26">
        <v>45227</v>
      </c>
    </row>
    <row r="105" spans="1:14" x14ac:dyDescent="0.25">
      <c r="A105" s="13" t="s">
        <v>1341</v>
      </c>
      <c r="B105" s="26">
        <v>45250</v>
      </c>
      <c r="C105">
        <v>3</v>
      </c>
      <c r="D105" s="23">
        <v>105360</v>
      </c>
      <c r="E105" s="17">
        <f t="shared" si="5"/>
        <v>10</v>
      </c>
      <c r="F105" s="17">
        <f t="shared" si="6"/>
        <v>2</v>
      </c>
      <c r="G105" s="17">
        <f t="shared" si="7"/>
        <v>2</v>
      </c>
      <c r="H105">
        <f t="shared" si="8"/>
        <v>3</v>
      </c>
      <c r="I105" s="17" t="str">
        <f t="shared" si="9"/>
        <v>223</v>
      </c>
      <c r="J105" s="25"/>
      <c r="N105" s="26">
        <v>45255</v>
      </c>
    </row>
    <row r="106" spans="1:14" x14ac:dyDescent="0.25">
      <c r="A106" s="13" t="s">
        <v>286</v>
      </c>
      <c r="B106" s="26">
        <v>45227</v>
      </c>
      <c r="C106">
        <v>11</v>
      </c>
      <c r="D106" s="23">
        <v>22680</v>
      </c>
      <c r="E106" s="17">
        <f t="shared" si="5"/>
        <v>33</v>
      </c>
      <c r="F106" s="17">
        <f t="shared" si="6"/>
        <v>3</v>
      </c>
      <c r="G106" s="17">
        <f t="shared" si="7"/>
        <v>5</v>
      </c>
      <c r="H106">
        <f t="shared" si="8"/>
        <v>2</v>
      </c>
      <c r="I106" s="17" t="str">
        <f t="shared" si="9"/>
        <v>352</v>
      </c>
      <c r="J106" s="25"/>
      <c r="N106" s="26">
        <v>45243</v>
      </c>
    </row>
    <row r="107" spans="1:14" x14ac:dyDescent="0.25">
      <c r="A107" s="13" t="s">
        <v>285</v>
      </c>
      <c r="B107" s="26">
        <v>45255</v>
      </c>
      <c r="C107">
        <v>9</v>
      </c>
      <c r="D107" s="23">
        <v>833690</v>
      </c>
      <c r="E107" s="17">
        <f t="shared" si="5"/>
        <v>5</v>
      </c>
      <c r="F107" s="17">
        <f t="shared" si="6"/>
        <v>1</v>
      </c>
      <c r="G107" s="17">
        <f t="shared" si="7"/>
        <v>5</v>
      </c>
      <c r="H107">
        <f t="shared" si="8"/>
        <v>5</v>
      </c>
      <c r="I107" s="17" t="str">
        <f t="shared" si="9"/>
        <v>155</v>
      </c>
      <c r="J107" s="25"/>
      <c r="N107" s="26">
        <v>45227</v>
      </c>
    </row>
    <row r="108" spans="1:14" x14ac:dyDescent="0.25">
      <c r="A108" s="13" t="s">
        <v>590</v>
      </c>
      <c r="B108" s="26">
        <v>45243</v>
      </c>
      <c r="C108">
        <v>6</v>
      </c>
      <c r="D108" s="23">
        <v>77800</v>
      </c>
      <c r="E108" s="17">
        <f t="shared" si="5"/>
        <v>17</v>
      </c>
      <c r="F108" s="17">
        <f t="shared" si="6"/>
        <v>2</v>
      </c>
      <c r="G108" s="17">
        <f t="shared" si="7"/>
        <v>4</v>
      </c>
      <c r="H108">
        <f t="shared" si="8"/>
        <v>3</v>
      </c>
      <c r="I108" s="17" t="str">
        <f t="shared" si="9"/>
        <v>243</v>
      </c>
      <c r="J108" s="25"/>
      <c r="N108" s="26">
        <v>45185</v>
      </c>
    </row>
    <row r="109" spans="1:14" x14ac:dyDescent="0.25">
      <c r="A109" s="13" t="s">
        <v>1034</v>
      </c>
      <c r="B109" s="26">
        <v>45227</v>
      </c>
      <c r="C109">
        <v>7</v>
      </c>
      <c r="D109" s="23">
        <v>-50956</v>
      </c>
      <c r="E109" s="17">
        <f t="shared" si="5"/>
        <v>33</v>
      </c>
      <c r="F109" s="17">
        <f t="shared" si="6"/>
        <v>3</v>
      </c>
      <c r="G109" s="17">
        <f t="shared" si="7"/>
        <v>4</v>
      </c>
      <c r="H109">
        <f t="shared" si="8"/>
        <v>1</v>
      </c>
      <c r="I109" s="17" t="str">
        <f t="shared" si="9"/>
        <v>341</v>
      </c>
      <c r="J109" s="25"/>
      <c r="N109" s="26">
        <v>45260</v>
      </c>
    </row>
    <row r="110" spans="1:14" x14ac:dyDescent="0.25">
      <c r="A110" s="13" t="s">
        <v>501</v>
      </c>
      <c r="B110" s="26">
        <v>45185</v>
      </c>
      <c r="C110">
        <v>1</v>
      </c>
      <c r="D110" s="23">
        <v>-22268</v>
      </c>
      <c r="E110" s="17">
        <f t="shared" si="5"/>
        <v>75</v>
      </c>
      <c r="F110" s="17">
        <f t="shared" si="6"/>
        <v>4</v>
      </c>
      <c r="G110" s="17">
        <f t="shared" si="7"/>
        <v>0</v>
      </c>
      <c r="H110">
        <f t="shared" si="8"/>
        <v>1</v>
      </c>
      <c r="I110" s="17" t="str">
        <f t="shared" si="9"/>
        <v>401</v>
      </c>
      <c r="J110" s="25"/>
      <c r="N110" s="26">
        <v>45183</v>
      </c>
    </row>
    <row r="111" spans="1:14" x14ac:dyDescent="0.25">
      <c r="A111" s="13" t="s">
        <v>1427</v>
      </c>
      <c r="B111" s="26">
        <v>45260</v>
      </c>
      <c r="C111">
        <v>5</v>
      </c>
      <c r="D111" s="23">
        <v>203600</v>
      </c>
      <c r="E111" s="17">
        <f t="shared" si="5"/>
        <v>0</v>
      </c>
      <c r="F111" s="17">
        <f t="shared" si="6"/>
        <v>1</v>
      </c>
      <c r="G111" s="17">
        <f t="shared" si="7"/>
        <v>4</v>
      </c>
      <c r="H111">
        <f t="shared" si="8"/>
        <v>4</v>
      </c>
      <c r="I111" s="17" t="str">
        <f t="shared" si="9"/>
        <v>144</v>
      </c>
      <c r="J111" s="25"/>
      <c r="N111" s="26">
        <v>45255</v>
      </c>
    </row>
    <row r="112" spans="1:14" x14ac:dyDescent="0.25">
      <c r="A112" s="13" t="s">
        <v>302</v>
      </c>
      <c r="B112" s="26">
        <v>45183</v>
      </c>
      <c r="C112">
        <v>1</v>
      </c>
      <c r="D112" s="23">
        <v>-22268</v>
      </c>
      <c r="E112" s="17">
        <f t="shared" si="5"/>
        <v>77</v>
      </c>
      <c r="F112" s="17">
        <f t="shared" si="6"/>
        <v>5</v>
      </c>
      <c r="G112" s="17">
        <f t="shared" si="7"/>
        <v>0</v>
      </c>
      <c r="H112">
        <f t="shared" si="8"/>
        <v>1</v>
      </c>
      <c r="I112" s="17" t="str">
        <f t="shared" si="9"/>
        <v>501</v>
      </c>
      <c r="J112" s="25"/>
      <c r="N112" s="26">
        <v>45185</v>
      </c>
    </row>
    <row r="113" spans="1:14" x14ac:dyDescent="0.25">
      <c r="A113" s="13" t="s">
        <v>575</v>
      </c>
      <c r="B113" s="26">
        <v>45255</v>
      </c>
      <c r="C113">
        <v>13</v>
      </c>
      <c r="D113" s="23">
        <v>477932</v>
      </c>
      <c r="E113" s="17">
        <f t="shared" si="5"/>
        <v>5</v>
      </c>
      <c r="F113" s="17">
        <f t="shared" si="6"/>
        <v>1</v>
      </c>
      <c r="G113" s="17">
        <f t="shared" si="7"/>
        <v>5</v>
      </c>
      <c r="H113">
        <f t="shared" si="8"/>
        <v>5</v>
      </c>
      <c r="I113" s="17" t="str">
        <f t="shared" si="9"/>
        <v>155</v>
      </c>
      <c r="J113" s="25"/>
      <c r="N113" s="26">
        <v>45025</v>
      </c>
    </row>
    <row r="114" spans="1:14" x14ac:dyDescent="0.25">
      <c r="A114" s="13" t="s">
        <v>406</v>
      </c>
      <c r="B114" s="26">
        <v>45185</v>
      </c>
      <c r="C114">
        <v>1</v>
      </c>
      <c r="D114" s="23">
        <v>160000</v>
      </c>
      <c r="E114" s="17">
        <f t="shared" si="5"/>
        <v>75</v>
      </c>
      <c r="F114" s="17">
        <f t="shared" si="6"/>
        <v>4</v>
      </c>
      <c r="G114" s="17">
        <f t="shared" si="7"/>
        <v>0</v>
      </c>
      <c r="H114">
        <f t="shared" si="8"/>
        <v>4</v>
      </c>
      <c r="I114" s="17" t="str">
        <f t="shared" si="9"/>
        <v>404</v>
      </c>
      <c r="J114" s="25"/>
      <c r="N114" s="26">
        <v>45088</v>
      </c>
    </row>
    <row r="115" spans="1:14" x14ac:dyDescent="0.25">
      <c r="A115" s="13" t="s">
        <v>93</v>
      </c>
      <c r="B115" s="26">
        <v>45173</v>
      </c>
      <c r="C115">
        <v>3</v>
      </c>
      <c r="D115" s="23">
        <v>6932</v>
      </c>
      <c r="E115" s="17">
        <f t="shared" si="5"/>
        <v>235</v>
      </c>
      <c r="F115" s="17">
        <f t="shared" si="6"/>
        <v>5</v>
      </c>
      <c r="G115" s="17">
        <f t="shared" si="7"/>
        <v>2</v>
      </c>
      <c r="H115">
        <f t="shared" si="8"/>
        <v>1</v>
      </c>
      <c r="I115" s="17" t="str">
        <f t="shared" si="9"/>
        <v>521</v>
      </c>
      <c r="J115" s="25"/>
      <c r="N115" s="26">
        <v>45250</v>
      </c>
    </row>
    <row r="116" spans="1:14" x14ac:dyDescent="0.25">
      <c r="A116" s="13" t="s">
        <v>166</v>
      </c>
      <c r="B116" s="26">
        <v>45236</v>
      </c>
      <c r="C116">
        <v>10</v>
      </c>
      <c r="D116" s="23">
        <v>1013184</v>
      </c>
      <c r="E116" s="17">
        <f t="shared" si="5"/>
        <v>172</v>
      </c>
      <c r="F116" s="17">
        <f t="shared" si="6"/>
        <v>5</v>
      </c>
      <c r="G116" s="17">
        <f t="shared" si="7"/>
        <v>5</v>
      </c>
      <c r="H116">
        <f t="shared" si="8"/>
        <v>5</v>
      </c>
      <c r="I116" s="17" t="str">
        <f t="shared" si="9"/>
        <v>555</v>
      </c>
      <c r="J116" s="25"/>
      <c r="N116" s="26">
        <v>45185</v>
      </c>
    </row>
    <row r="117" spans="1:14" x14ac:dyDescent="0.25">
      <c r="A117" s="13" t="s">
        <v>1338</v>
      </c>
      <c r="B117" s="26">
        <v>45250</v>
      </c>
      <c r="C117">
        <v>3</v>
      </c>
      <c r="D117" s="23">
        <v>162000</v>
      </c>
      <c r="E117" s="17">
        <f t="shared" si="5"/>
        <v>10</v>
      </c>
      <c r="F117" s="17">
        <f t="shared" si="6"/>
        <v>2</v>
      </c>
      <c r="G117" s="17">
        <f t="shared" si="7"/>
        <v>2</v>
      </c>
      <c r="H117">
        <f t="shared" si="8"/>
        <v>4</v>
      </c>
      <c r="I117" s="17" t="str">
        <f t="shared" si="9"/>
        <v>224</v>
      </c>
      <c r="J117" s="25"/>
      <c r="N117" s="26">
        <v>45255</v>
      </c>
    </row>
    <row r="118" spans="1:14" x14ac:dyDescent="0.25">
      <c r="A118" s="13" t="s">
        <v>426</v>
      </c>
      <c r="B118" s="26">
        <v>45185</v>
      </c>
      <c r="C118">
        <v>3</v>
      </c>
      <c r="D118" s="23">
        <v>-5000</v>
      </c>
      <c r="E118" s="17">
        <f t="shared" si="5"/>
        <v>75</v>
      </c>
      <c r="F118" s="17">
        <f t="shared" si="6"/>
        <v>4</v>
      </c>
      <c r="G118" s="17">
        <f t="shared" si="7"/>
        <v>2</v>
      </c>
      <c r="H118">
        <f t="shared" si="8"/>
        <v>1</v>
      </c>
      <c r="I118" s="17" t="str">
        <f t="shared" si="9"/>
        <v>421</v>
      </c>
      <c r="J118" s="25"/>
      <c r="N118" s="26">
        <v>45248</v>
      </c>
    </row>
    <row r="119" spans="1:14" x14ac:dyDescent="0.25">
      <c r="A119" s="13" t="s">
        <v>483</v>
      </c>
      <c r="B119" s="26">
        <v>45255</v>
      </c>
      <c r="C119">
        <v>17</v>
      </c>
      <c r="D119" s="23">
        <v>488419</v>
      </c>
      <c r="E119" s="17">
        <f t="shared" si="5"/>
        <v>5</v>
      </c>
      <c r="F119" s="17">
        <f t="shared" si="6"/>
        <v>1</v>
      </c>
      <c r="G119" s="17">
        <f t="shared" si="7"/>
        <v>5</v>
      </c>
      <c r="H119">
        <f t="shared" si="8"/>
        <v>5</v>
      </c>
      <c r="I119" s="17" t="str">
        <f t="shared" si="9"/>
        <v>155</v>
      </c>
      <c r="J119" s="25"/>
      <c r="N119" s="26">
        <v>45192</v>
      </c>
    </row>
    <row r="120" spans="1:14" x14ac:dyDescent="0.25">
      <c r="A120" s="13" t="s">
        <v>687</v>
      </c>
      <c r="B120" s="26">
        <v>45248</v>
      </c>
      <c r="C120">
        <v>15</v>
      </c>
      <c r="D120" s="23">
        <v>-31552</v>
      </c>
      <c r="E120" s="17">
        <f t="shared" si="5"/>
        <v>12</v>
      </c>
      <c r="F120" s="17">
        <f t="shared" si="6"/>
        <v>2</v>
      </c>
      <c r="G120" s="17">
        <f t="shared" si="7"/>
        <v>5</v>
      </c>
      <c r="H120">
        <f t="shared" si="8"/>
        <v>1</v>
      </c>
      <c r="I120" s="17" t="str">
        <f t="shared" si="9"/>
        <v>251</v>
      </c>
      <c r="J120" s="25"/>
      <c r="N120" s="26">
        <v>45212</v>
      </c>
    </row>
    <row r="121" spans="1:14" x14ac:dyDescent="0.25">
      <c r="A121" s="13" t="s">
        <v>552</v>
      </c>
      <c r="B121" s="26">
        <v>45192</v>
      </c>
      <c r="C121">
        <v>1</v>
      </c>
      <c r="D121" s="23">
        <v>-41890</v>
      </c>
      <c r="E121" s="17">
        <f t="shared" si="5"/>
        <v>68</v>
      </c>
      <c r="F121" s="17">
        <f t="shared" si="6"/>
        <v>4</v>
      </c>
      <c r="G121" s="17">
        <f t="shared" si="7"/>
        <v>0</v>
      </c>
      <c r="H121">
        <f t="shared" si="8"/>
        <v>1</v>
      </c>
      <c r="I121" s="17" t="str">
        <f t="shared" si="9"/>
        <v>401</v>
      </c>
      <c r="J121" s="25"/>
      <c r="N121" s="26">
        <v>45227</v>
      </c>
    </row>
    <row r="122" spans="1:14" x14ac:dyDescent="0.25">
      <c r="A122" s="13" t="s">
        <v>834</v>
      </c>
      <c r="B122" s="26">
        <v>45212</v>
      </c>
      <c r="C122">
        <v>5</v>
      </c>
      <c r="D122" s="23">
        <v>-7400</v>
      </c>
      <c r="E122" s="17">
        <f t="shared" si="5"/>
        <v>48</v>
      </c>
      <c r="F122" s="17">
        <f t="shared" si="6"/>
        <v>4</v>
      </c>
      <c r="G122" s="17">
        <f t="shared" si="7"/>
        <v>4</v>
      </c>
      <c r="H122">
        <f t="shared" si="8"/>
        <v>1</v>
      </c>
      <c r="I122" s="17" t="str">
        <f t="shared" si="9"/>
        <v>441</v>
      </c>
      <c r="J122" s="25"/>
      <c r="N122" s="26">
        <v>45227</v>
      </c>
    </row>
    <row r="123" spans="1:14" x14ac:dyDescent="0.25">
      <c r="A123" s="13" t="s">
        <v>1051</v>
      </c>
      <c r="B123" s="26">
        <v>45227</v>
      </c>
      <c r="C123">
        <v>1</v>
      </c>
      <c r="D123" s="23">
        <v>-6378</v>
      </c>
      <c r="E123" s="17">
        <f t="shared" si="5"/>
        <v>33</v>
      </c>
      <c r="F123" s="17">
        <f t="shared" si="6"/>
        <v>3</v>
      </c>
      <c r="G123" s="17">
        <f t="shared" si="7"/>
        <v>0</v>
      </c>
      <c r="H123">
        <f t="shared" si="8"/>
        <v>1</v>
      </c>
      <c r="I123" s="17" t="str">
        <f t="shared" si="9"/>
        <v>301</v>
      </c>
      <c r="J123" s="25"/>
      <c r="N123" s="26">
        <v>45087</v>
      </c>
    </row>
    <row r="124" spans="1:14" x14ac:dyDescent="0.25">
      <c r="A124" s="13" t="s">
        <v>1055</v>
      </c>
      <c r="B124" s="26">
        <v>45227</v>
      </c>
      <c r="C124">
        <v>1</v>
      </c>
      <c r="D124" s="23">
        <v>-25134</v>
      </c>
      <c r="E124" s="17">
        <f t="shared" si="5"/>
        <v>33</v>
      </c>
      <c r="F124" s="17">
        <f t="shared" si="6"/>
        <v>3</v>
      </c>
      <c r="G124" s="17">
        <f t="shared" si="7"/>
        <v>0</v>
      </c>
      <c r="H124">
        <f t="shared" si="8"/>
        <v>1</v>
      </c>
      <c r="I124" s="17" t="str">
        <f t="shared" si="9"/>
        <v>301</v>
      </c>
      <c r="J124" s="25"/>
      <c r="N124" s="26">
        <v>45248</v>
      </c>
    </row>
    <row r="125" spans="1:14" x14ac:dyDescent="0.25">
      <c r="A125" s="13" t="s">
        <v>772</v>
      </c>
      <c r="B125" s="26">
        <v>45205</v>
      </c>
      <c r="C125">
        <v>1</v>
      </c>
      <c r="D125" s="23">
        <v>30000</v>
      </c>
      <c r="E125" s="17">
        <f t="shared" si="5"/>
        <v>173</v>
      </c>
      <c r="F125" s="17">
        <f t="shared" si="6"/>
        <v>5</v>
      </c>
      <c r="G125" s="17">
        <f t="shared" si="7"/>
        <v>0</v>
      </c>
      <c r="H125">
        <f t="shared" si="8"/>
        <v>2</v>
      </c>
      <c r="I125" s="17" t="str">
        <f t="shared" si="9"/>
        <v>502</v>
      </c>
      <c r="J125" s="25"/>
      <c r="N125" s="26">
        <v>45248</v>
      </c>
    </row>
    <row r="126" spans="1:14" x14ac:dyDescent="0.25">
      <c r="A126" s="13" t="s">
        <v>200</v>
      </c>
      <c r="B126" s="26">
        <v>45248</v>
      </c>
      <c r="C126">
        <v>12</v>
      </c>
      <c r="D126" s="23">
        <v>538904</v>
      </c>
      <c r="E126" s="17">
        <f t="shared" si="5"/>
        <v>12</v>
      </c>
      <c r="F126" s="17">
        <f t="shared" si="6"/>
        <v>2</v>
      </c>
      <c r="G126" s="17">
        <f t="shared" si="7"/>
        <v>5</v>
      </c>
      <c r="H126">
        <f t="shared" si="8"/>
        <v>5</v>
      </c>
      <c r="I126" s="17" t="str">
        <f t="shared" si="9"/>
        <v>255</v>
      </c>
      <c r="J126" s="25"/>
      <c r="N126" s="26">
        <v>45248</v>
      </c>
    </row>
    <row r="127" spans="1:14" x14ac:dyDescent="0.25">
      <c r="A127" s="13" t="s">
        <v>410</v>
      </c>
      <c r="B127" s="26">
        <v>45248</v>
      </c>
      <c r="C127">
        <v>9</v>
      </c>
      <c r="D127" s="23">
        <v>102076</v>
      </c>
      <c r="E127" s="17">
        <f t="shared" si="5"/>
        <v>12</v>
      </c>
      <c r="F127" s="17">
        <f t="shared" si="6"/>
        <v>2</v>
      </c>
      <c r="G127" s="17">
        <f t="shared" si="7"/>
        <v>5</v>
      </c>
      <c r="H127">
        <f t="shared" si="8"/>
        <v>3</v>
      </c>
      <c r="I127" s="17" t="str">
        <f t="shared" si="9"/>
        <v>253</v>
      </c>
      <c r="J127" s="25"/>
      <c r="N127" s="26">
        <v>45227</v>
      </c>
    </row>
    <row r="128" spans="1:14" x14ac:dyDescent="0.25">
      <c r="A128" s="13" t="s">
        <v>212</v>
      </c>
      <c r="B128" s="26">
        <v>45248</v>
      </c>
      <c r="C128">
        <v>13</v>
      </c>
      <c r="D128" s="23">
        <v>346165</v>
      </c>
      <c r="E128" s="17">
        <f t="shared" si="5"/>
        <v>12</v>
      </c>
      <c r="F128" s="17">
        <f t="shared" si="6"/>
        <v>2</v>
      </c>
      <c r="G128" s="17">
        <f t="shared" si="7"/>
        <v>5</v>
      </c>
      <c r="H128">
        <f t="shared" si="8"/>
        <v>4</v>
      </c>
      <c r="I128" s="17" t="str">
        <f t="shared" si="9"/>
        <v>254</v>
      </c>
      <c r="J128" s="25"/>
      <c r="N128" s="26">
        <v>45239</v>
      </c>
    </row>
    <row r="129" spans="1:14" x14ac:dyDescent="0.25">
      <c r="A129" s="13" t="s">
        <v>1031</v>
      </c>
      <c r="B129" s="26">
        <v>45227</v>
      </c>
      <c r="C129">
        <v>1</v>
      </c>
      <c r="D129" s="23">
        <v>-12756</v>
      </c>
      <c r="E129" s="17">
        <f t="shared" si="5"/>
        <v>33</v>
      </c>
      <c r="F129" s="17">
        <f t="shared" si="6"/>
        <v>3</v>
      </c>
      <c r="G129" s="17">
        <f t="shared" si="7"/>
        <v>0</v>
      </c>
      <c r="H129">
        <f t="shared" si="8"/>
        <v>1</v>
      </c>
      <c r="I129" s="17" t="str">
        <f t="shared" si="9"/>
        <v>301</v>
      </c>
      <c r="J129" s="25"/>
      <c r="N129" s="26">
        <v>45250</v>
      </c>
    </row>
    <row r="130" spans="1:14" x14ac:dyDescent="0.25">
      <c r="A130" s="13" t="s">
        <v>239</v>
      </c>
      <c r="B130" s="26">
        <v>45180</v>
      </c>
      <c r="C130">
        <v>2</v>
      </c>
      <c r="D130" s="23">
        <v>32988</v>
      </c>
      <c r="E130" s="17">
        <f t="shared" si="5"/>
        <v>21</v>
      </c>
      <c r="F130" s="17">
        <f t="shared" si="6"/>
        <v>3</v>
      </c>
      <c r="G130" s="17">
        <f t="shared" si="7"/>
        <v>2</v>
      </c>
      <c r="H130">
        <f t="shared" si="8"/>
        <v>2</v>
      </c>
      <c r="I130" s="17" t="str">
        <f t="shared" si="9"/>
        <v>322</v>
      </c>
      <c r="J130" s="25"/>
      <c r="N130" s="26">
        <v>45260</v>
      </c>
    </row>
    <row r="131" spans="1:14" x14ac:dyDescent="0.25">
      <c r="A131" s="13" t="s">
        <v>1346</v>
      </c>
      <c r="B131" s="26">
        <v>45250</v>
      </c>
      <c r="C131">
        <v>2</v>
      </c>
      <c r="D131" s="23">
        <v>81000</v>
      </c>
      <c r="E131" s="17">
        <f t="shared" si="5"/>
        <v>10</v>
      </c>
      <c r="F131" s="17">
        <f t="shared" si="6"/>
        <v>2</v>
      </c>
      <c r="G131" s="17">
        <f t="shared" si="7"/>
        <v>2</v>
      </c>
      <c r="H131">
        <f t="shared" si="8"/>
        <v>3</v>
      </c>
      <c r="I131" s="17" t="str">
        <f t="shared" si="9"/>
        <v>223</v>
      </c>
      <c r="J131" s="25"/>
      <c r="N131" s="26">
        <v>45255</v>
      </c>
    </row>
    <row r="132" spans="1:14" x14ac:dyDescent="0.25">
      <c r="A132" s="13" t="s">
        <v>1434</v>
      </c>
      <c r="B132" s="26">
        <v>45260</v>
      </c>
      <c r="C132">
        <v>5</v>
      </c>
      <c r="D132" s="23">
        <v>29300</v>
      </c>
      <c r="E132" s="17">
        <f t="shared" si="5"/>
        <v>0</v>
      </c>
      <c r="F132" s="17">
        <f t="shared" si="6"/>
        <v>1</v>
      </c>
      <c r="G132" s="17">
        <f t="shared" si="7"/>
        <v>4</v>
      </c>
      <c r="H132">
        <f t="shared" si="8"/>
        <v>2</v>
      </c>
      <c r="I132" s="17" t="str">
        <f t="shared" si="9"/>
        <v>142</v>
      </c>
      <c r="J132" s="25"/>
      <c r="N132" s="26">
        <v>45252</v>
      </c>
    </row>
    <row r="133" spans="1:14" x14ac:dyDescent="0.25">
      <c r="A133" s="13" t="s">
        <v>525</v>
      </c>
      <c r="B133" s="26">
        <v>45255</v>
      </c>
      <c r="C133">
        <v>20</v>
      </c>
      <c r="D133" s="23">
        <v>771755</v>
      </c>
      <c r="E133" s="17">
        <f t="shared" si="5"/>
        <v>5</v>
      </c>
      <c r="F133" s="17">
        <f t="shared" si="6"/>
        <v>1</v>
      </c>
      <c r="G133" s="17">
        <f t="shared" si="7"/>
        <v>5</v>
      </c>
      <c r="H133">
        <f t="shared" si="8"/>
        <v>5</v>
      </c>
      <c r="I133" s="17" t="str">
        <f t="shared" si="9"/>
        <v>155</v>
      </c>
      <c r="J133" s="25"/>
      <c r="N133" s="26">
        <v>45220</v>
      </c>
    </row>
    <row r="134" spans="1:14" x14ac:dyDescent="0.25">
      <c r="A134" s="13" t="s">
        <v>666</v>
      </c>
      <c r="B134" s="26">
        <v>45252</v>
      </c>
      <c r="C134">
        <v>7</v>
      </c>
      <c r="D134" s="23">
        <v>1298000</v>
      </c>
      <c r="E134" s="17">
        <f t="shared" ref="E134:E170" si="10">IF(N132&gt;DATE(2023,11,30), 0, DATEDIF(N132, DATE(2023,11,30), "d"))</f>
        <v>8</v>
      </c>
      <c r="F134" s="17">
        <f t="shared" ref="F134:F170" si="11">ROUNDUP(_xlfn.RANK.EQ(E134, $E$5:$E$168, 1) / COUNT($E$5:$E$168) * 5, 0)</f>
        <v>2</v>
      </c>
      <c r="G134" s="17">
        <f t="shared" ref="G134:G170" si="12">ROUNDUP(_xlfn.PERCENTRANK.INC($C$5:$C$168, C134)*5, 0)</f>
        <v>4</v>
      </c>
      <c r="H134">
        <f t="shared" ref="H134:H169" si="13">ROUNDUP(_xlfn.PERCENTRANK.INC($D$5:$D$168, D134)*5, 0)</f>
        <v>5</v>
      </c>
      <c r="I134" s="17" t="str">
        <f t="shared" ref="I134:I169" si="14">F134 &amp; G134 &amp; H134</f>
        <v>245</v>
      </c>
      <c r="J134" s="25"/>
      <c r="N134" s="26">
        <v>45220</v>
      </c>
    </row>
    <row r="135" spans="1:14" x14ac:dyDescent="0.25">
      <c r="A135" s="13" t="s">
        <v>593</v>
      </c>
      <c r="B135" s="26">
        <v>45220</v>
      </c>
      <c r="C135">
        <v>8</v>
      </c>
      <c r="D135" s="23">
        <v>359984</v>
      </c>
      <c r="E135" s="17">
        <f t="shared" si="10"/>
        <v>40</v>
      </c>
      <c r="F135" s="17">
        <f t="shared" si="11"/>
        <v>4</v>
      </c>
      <c r="G135" s="17">
        <f t="shared" si="12"/>
        <v>4</v>
      </c>
      <c r="H135">
        <f t="shared" si="13"/>
        <v>4</v>
      </c>
      <c r="I135" s="17" t="str">
        <f t="shared" si="14"/>
        <v>444</v>
      </c>
      <c r="J135" s="25"/>
      <c r="N135" s="26">
        <v>45183</v>
      </c>
    </row>
    <row r="136" spans="1:14" x14ac:dyDescent="0.25">
      <c r="A136" s="13" t="s">
        <v>682</v>
      </c>
      <c r="B136" s="26">
        <v>45220</v>
      </c>
      <c r="C136">
        <v>3</v>
      </c>
      <c r="D136" s="23">
        <v>20000</v>
      </c>
      <c r="E136" s="17">
        <f t="shared" si="10"/>
        <v>40</v>
      </c>
      <c r="F136" s="17">
        <f t="shared" si="11"/>
        <v>4</v>
      </c>
      <c r="G136" s="17">
        <f t="shared" si="12"/>
        <v>2</v>
      </c>
      <c r="H136">
        <f t="shared" si="13"/>
        <v>2</v>
      </c>
      <c r="I136" s="17" t="str">
        <f t="shared" si="14"/>
        <v>422</v>
      </c>
      <c r="J136" s="25"/>
      <c r="N136" s="26">
        <v>45056</v>
      </c>
    </row>
    <row r="137" spans="1:14" x14ac:dyDescent="0.25">
      <c r="A137" s="13" t="s">
        <v>356</v>
      </c>
      <c r="B137" s="26">
        <v>45183</v>
      </c>
      <c r="C137">
        <v>3</v>
      </c>
      <c r="D137" s="23">
        <v>193100</v>
      </c>
      <c r="E137" s="17">
        <f t="shared" si="10"/>
        <v>77</v>
      </c>
      <c r="F137" s="17">
        <f t="shared" si="11"/>
        <v>5</v>
      </c>
      <c r="G137" s="17">
        <f t="shared" si="12"/>
        <v>2</v>
      </c>
      <c r="H137">
        <f t="shared" si="13"/>
        <v>4</v>
      </c>
      <c r="I137" s="17" t="str">
        <f t="shared" si="14"/>
        <v>524</v>
      </c>
      <c r="J137" s="25"/>
      <c r="N137" s="26">
        <v>45213</v>
      </c>
    </row>
    <row r="138" spans="1:14" x14ac:dyDescent="0.25">
      <c r="A138" s="13" t="s">
        <v>319</v>
      </c>
      <c r="B138" s="26">
        <v>45204</v>
      </c>
      <c r="C138">
        <v>6</v>
      </c>
      <c r="D138" s="23">
        <v>26250</v>
      </c>
      <c r="E138" s="17">
        <f t="shared" si="10"/>
        <v>204</v>
      </c>
      <c r="F138" s="17">
        <f t="shared" si="11"/>
        <v>5</v>
      </c>
      <c r="G138" s="17">
        <f t="shared" si="12"/>
        <v>4</v>
      </c>
      <c r="H138">
        <f t="shared" si="13"/>
        <v>2</v>
      </c>
      <c r="I138" s="17" t="str">
        <f t="shared" si="14"/>
        <v>542</v>
      </c>
      <c r="J138" s="25"/>
      <c r="N138" s="26">
        <v>45027</v>
      </c>
    </row>
    <row r="139" spans="1:14" x14ac:dyDescent="0.25">
      <c r="A139" s="13" t="s">
        <v>885</v>
      </c>
      <c r="B139" s="26">
        <v>45213</v>
      </c>
      <c r="C139">
        <v>6</v>
      </c>
      <c r="D139" s="23">
        <v>304792</v>
      </c>
      <c r="E139" s="17">
        <f t="shared" si="10"/>
        <v>47</v>
      </c>
      <c r="F139" s="17">
        <f t="shared" si="11"/>
        <v>4</v>
      </c>
      <c r="G139" s="17">
        <f t="shared" si="12"/>
        <v>4</v>
      </c>
      <c r="H139">
        <f t="shared" si="13"/>
        <v>4</v>
      </c>
      <c r="I139" s="17" t="str">
        <f t="shared" si="14"/>
        <v>444</v>
      </c>
      <c r="J139" s="25"/>
      <c r="N139" s="26">
        <v>45243</v>
      </c>
    </row>
    <row r="140" spans="1:14" x14ac:dyDescent="0.25">
      <c r="A140" s="13" t="s">
        <v>1151</v>
      </c>
      <c r="B140" s="26">
        <v>45234</v>
      </c>
      <c r="C140">
        <v>6</v>
      </c>
      <c r="D140" s="23">
        <v>96800</v>
      </c>
      <c r="E140" s="17">
        <f t="shared" si="10"/>
        <v>233</v>
      </c>
      <c r="F140" s="17">
        <f t="shared" si="11"/>
        <v>5</v>
      </c>
      <c r="G140" s="17">
        <f t="shared" si="12"/>
        <v>4</v>
      </c>
      <c r="H140">
        <f t="shared" si="13"/>
        <v>3</v>
      </c>
      <c r="I140" s="17" t="str">
        <f t="shared" si="14"/>
        <v>543</v>
      </c>
      <c r="J140" s="25"/>
      <c r="N140" s="26">
        <v>45227</v>
      </c>
    </row>
    <row r="141" spans="1:14" x14ac:dyDescent="0.25">
      <c r="A141" s="13" t="s">
        <v>433</v>
      </c>
      <c r="B141" s="26">
        <v>45243</v>
      </c>
      <c r="C141">
        <v>9</v>
      </c>
      <c r="D141" s="23">
        <v>351276</v>
      </c>
      <c r="E141" s="17">
        <f t="shared" si="10"/>
        <v>17</v>
      </c>
      <c r="F141" s="17">
        <f t="shared" si="11"/>
        <v>2</v>
      </c>
      <c r="G141" s="17">
        <f t="shared" si="12"/>
        <v>5</v>
      </c>
      <c r="H141">
        <f t="shared" si="13"/>
        <v>4</v>
      </c>
      <c r="I141" s="17" t="str">
        <f t="shared" si="14"/>
        <v>254</v>
      </c>
      <c r="J141" s="25"/>
      <c r="N141" s="26">
        <v>45255</v>
      </c>
    </row>
    <row r="142" spans="1:14" x14ac:dyDescent="0.25">
      <c r="A142" s="13" t="s">
        <v>1085</v>
      </c>
      <c r="B142" s="26">
        <v>45227</v>
      </c>
      <c r="C142">
        <v>2</v>
      </c>
      <c r="D142" s="23">
        <v>81000</v>
      </c>
      <c r="E142" s="17">
        <f t="shared" si="10"/>
        <v>33</v>
      </c>
      <c r="F142" s="17">
        <f t="shared" si="11"/>
        <v>3</v>
      </c>
      <c r="G142" s="17">
        <f t="shared" si="12"/>
        <v>2</v>
      </c>
      <c r="H142">
        <f t="shared" si="13"/>
        <v>3</v>
      </c>
      <c r="I142" s="17" t="str">
        <f t="shared" si="14"/>
        <v>323</v>
      </c>
      <c r="J142" s="25"/>
      <c r="N142" s="26">
        <v>45216</v>
      </c>
    </row>
    <row r="143" spans="1:14" x14ac:dyDescent="0.25">
      <c r="A143" s="13" t="s">
        <v>206</v>
      </c>
      <c r="B143" s="26">
        <v>45255</v>
      </c>
      <c r="C143">
        <v>8</v>
      </c>
      <c r="D143" s="23">
        <v>875856</v>
      </c>
      <c r="E143" s="17">
        <f t="shared" si="10"/>
        <v>5</v>
      </c>
      <c r="F143" s="17">
        <f t="shared" si="11"/>
        <v>1</v>
      </c>
      <c r="G143" s="17">
        <f t="shared" si="12"/>
        <v>4</v>
      </c>
      <c r="H143">
        <f t="shared" si="13"/>
        <v>5</v>
      </c>
      <c r="I143" s="17" t="str">
        <f t="shared" si="14"/>
        <v>145</v>
      </c>
      <c r="J143" s="25"/>
      <c r="N143" s="26">
        <v>45252</v>
      </c>
    </row>
    <row r="144" spans="1:14" x14ac:dyDescent="0.25">
      <c r="A144" s="13" t="s">
        <v>110</v>
      </c>
      <c r="B144" s="26">
        <v>45216</v>
      </c>
      <c r="C144">
        <v>5</v>
      </c>
      <c r="D144" s="23">
        <v>542200</v>
      </c>
      <c r="E144" s="17">
        <f t="shared" si="10"/>
        <v>44</v>
      </c>
      <c r="F144" s="17">
        <f t="shared" si="11"/>
        <v>4</v>
      </c>
      <c r="G144" s="17">
        <f t="shared" si="12"/>
        <v>4</v>
      </c>
      <c r="H144">
        <f t="shared" si="13"/>
        <v>5</v>
      </c>
      <c r="I144" s="17" t="str">
        <f t="shared" si="14"/>
        <v>445</v>
      </c>
      <c r="J144" s="25"/>
      <c r="N144" s="26">
        <v>45248</v>
      </c>
    </row>
    <row r="145" spans="1:14" x14ac:dyDescent="0.25">
      <c r="A145" s="13" t="s">
        <v>1230</v>
      </c>
      <c r="B145" s="26">
        <v>45252</v>
      </c>
      <c r="C145">
        <v>5</v>
      </c>
      <c r="D145" s="23">
        <v>211000</v>
      </c>
      <c r="E145" s="17">
        <f t="shared" si="10"/>
        <v>8</v>
      </c>
      <c r="F145" s="17">
        <f t="shared" si="11"/>
        <v>2</v>
      </c>
      <c r="G145" s="17">
        <f t="shared" si="12"/>
        <v>4</v>
      </c>
      <c r="H145">
        <f t="shared" si="13"/>
        <v>4</v>
      </c>
      <c r="I145" s="17" t="str">
        <f t="shared" si="14"/>
        <v>244</v>
      </c>
      <c r="J145" s="25"/>
      <c r="N145" s="26">
        <v>45086</v>
      </c>
    </row>
    <row r="146" spans="1:14" x14ac:dyDescent="0.25">
      <c r="A146" s="13" t="s">
        <v>797</v>
      </c>
      <c r="B146" s="26">
        <v>45248</v>
      </c>
      <c r="C146">
        <v>2</v>
      </c>
      <c r="D146" s="23">
        <v>-92000</v>
      </c>
      <c r="E146" s="17">
        <f t="shared" si="10"/>
        <v>12</v>
      </c>
      <c r="F146" s="17">
        <f t="shared" si="11"/>
        <v>2</v>
      </c>
      <c r="G146" s="17">
        <f t="shared" si="12"/>
        <v>2</v>
      </c>
      <c r="H146">
        <f t="shared" si="13"/>
        <v>1</v>
      </c>
      <c r="I146" s="17" t="str">
        <f t="shared" si="14"/>
        <v>221</v>
      </c>
      <c r="J146" s="25"/>
      <c r="N146" s="26">
        <v>45180</v>
      </c>
    </row>
    <row r="147" spans="1:14" x14ac:dyDescent="0.25">
      <c r="A147" s="13" t="s">
        <v>146</v>
      </c>
      <c r="B147" s="26">
        <v>45175</v>
      </c>
      <c r="C147">
        <v>1</v>
      </c>
      <c r="D147" s="23">
        <v>20490</v>
      </c>
      <c r="E147" s="17">
        <f t="shared" si="10"/>
        <v>174</v>
      </c>
      <c r="F147" s="17">
        <f t="shared" si="11"/>
        <v>5</v>
      </c>
      <c r="G147" s="17">
        <f t="shared" si="12"/>
        <v>0</v>
      </c>
      <c r="H147">
        <f t="shared" si="13"/>
        <v>2</v>
      </c>
      <c r="I147" s="17" t="str">
        <f t="shared" si="14"/>
        <v>502</v>
      </c>
      <c r="J147" s="25"/>
      <c r="N147" s="26">
        <v>45210</v>
      </c>
    </row>
    <row r="148" spans="1:14" x14ac:dyDescent="0.25">
      <c r="A148" s="13" t="s">
        <v>316</v>
      </c>
      <c r="B148" s="26">
        <v>45239</v>
      </c>
      <c r="C148">
        <v>10</v>
      </c>
      <c r="D148" s="23">
        <v>253242</v>
      </c>
      <c r="E148" s="17">
        <f t="shared" si="10"/>
        <v>80</v>
      </c>
      <c r="F148" s="17">
        <f t="shared" si="11"/>
        <v>5</v>
      </c>
      <c r="G148" s="17">
        <f t="shared" si="12"/>
        <v>5</v>
      </c>
      <c r="H148">
        <f t="shared" si="13"/>
        <v>4</v>
      </c>
      <c r="I148" s="17" t="str">
        <f t="shared" si="14"/>
        <v>554</v>
      </c>
      <c r="J148" s="25"/>
      <c r="N148" s="26">
        <v>45255</v>
      </c>
    </row>
    <row r="149" spans="1:14" x14ac:dyDescent="0.25">
      <c r="A149" s="13" t="s">
        <v>1227</v>
      </c>
      <c r="B149" s="26">
        <v>45240</v>
      </c>
      <c r="C149">
        <v>2</v>
      </c>
      <c r="D149" s="23">
        <v>32000</v>
      </c>
      <c r="E149" s="17">
        <f t="shared" si="10"/>
        <v>50</v>
      </c>
      <c r="F149" s="17">
        <f t="shared" si="11"/>
        <v>4</v>
      </c>
      <c r="G149" s="17">
        <f t="shared" si="12"/>
        <v>2</v>
      </c>
      <c r="H149">
        <f t="shared" si="13"/>
        <v>2</v>
      </c>
      <c r="I149" s="17" t="str">
        <f t="shared" si="14"/>
        <v>422</v>
      </c>
      <c r="J149" s="25"/>
      <c r="N149" s="26">
        <v>45185</v>
      </c>
    </row>
    <row r="150" spans="1:14" x14ac:dyDescent="0.25">
      <c r="A150" s="13" t="s">
        <v>828</v>
      </c>
      <c r="B150" s="26">
        <v>45255</v>
      </c>
      <c r="C150">
        <v>3</v>
      </c>
      <c r="D150" s="23">
        <v>244240</v>
      </c>
      <c r="E150" s="17">
        <f t="shared" si="10"/>
        <v>5</v>
      </c>
      <c r="F150" s="17">
        <f t="shared" si="11"/>
        <v>1</v>
      </c>
      <c r="G150" s="17">
        <f t="shared" si="12"/>
        <v>2</v>
      </c>
      <c r="H150">
        <f t="shared" si="13"/>
        <v>4</v>
      </c>
      <c r="I150" s="17" t="str">
        <f t="shared" si="14"/>
        <v>124</v>
      </c>
      <c r="J150" s="25"/>
      <c r="N150" s="26">
        <v>45248</v>
      </c>
    </row>
    <row r="151" spans="1:14" x14ac:dyDescent="0.25">
      <c r="A151" s="13" t="s">
        <v>524</v>
      </c>
      <c r="B151" s="26">
        <v>45185</v>
      </c>
      <c r="C151">
        <v>1</v>
      </c>
      <c r="D151" s="23">
        <v>-4800</v>
      </c>
      <c r="E151" s="17">
        <f t="shared" si="10"/>
        <v>75</v>
      </c>
      <c r="F151" s="17">
        <f t="shared" si="11"/>
        <v>4</v>
      </c>
      <c r="G151" s="17">
        <f t="shared" si="12"/>
        <v>0</v>
      </c>
      <c r="H151">
        <f t="shared" si="13"/>
        <v>1</v>
      </c>
      <c r="I151" s="17" t="str">
        <f t="shared" si="14"/>
        <v>401</v>
      </c>
      <c r="J151" s="25"/>
      <c r="N151" s="26">
        <v>45250</v>
      </c>
    </row>
    <row r="152" spans="1:14" x14ac:dyDescent="0.25">
      <c r="A152" s="13" t="s">
        <v>1326</v>
      </c>
      <c r="B152" s="26">
        <v>45248</v>
      </c>
      <c r="C152">
        <v>1</v>
      </c>
      <c r="D152" s="23">
        <v>0</v>
      </c>
      <c r="E152" s="17">
        <f t="shared" si="10"/>
        <v>12</v>
      </c>
      <c r="F152" s="17">
        <f t="shared" si="11"/>
        <v>2</v>
      </c>
      <c r="G152" s="17">
        <f t="shared" si="12"/>
        <v>0</v>
      </c>
      <c r="H152">
        <f t="shared" si="13"/>
        <v>1</v>
      </c>
      <c r="I152" s="17" t="str">
        <f t="shared" si="14"/>
        <v>201</v>
      </c>
      <c r="J152" s="25"/>
      <c r="N152" s="26">
        <v>45180</v>
      </c>
    </row>
    <row r="153" spans="1:14" x14ac:dyDescent="0.25">
      <c r="A153" s="13" t="s">
        <v>119</v>
      </c>
      <c r="B153" s="26">
        <v>45250</v>
      </c>
      <c r="C153">
        <v>27</v>
      </c>
      <c r="D153" s="23">
        <v>744794</v>
      </c>
      <c r="E153" s="17">
        <f t="shared" si="10"/>
        <v>10</v>
      </c>
      <c r="F153" s="17">
        <f t="shared" si="11"/>
        <v>2</v>
      </c>
      <c r="G153" s="17">
        <f t="shared" si="12"/>
        <v>5</v>
      </c>
      <c r="H153">
        <f t="shared" si="13"/>
        <v>5</v>
      </c>
      <c r="I153" s="17" t="str">
        <f t="shared" si="14"/>
        <v>255</v>
      </c>
      <c r="J153" s="25"/>
      <c r="N153" s="26">
        <v>45239</v>
      </c>
    </row>
    <row r="154" spans="1:14" x14ac:dyDescent="0.25">
      <c r="A154" s="13" t="s">
        <v>329</v>
      </c>
      <c r="B154" s="26">
        <v>45239</v>
      </c>
      <c r="C154">
        <v>26</v>
      </c>
      <c r="D154" s="23">
        <v>275760</v>
      </c>
      <c r="E154" s="17">
        <f t="shared" si="10"/>
        <v>80</v>
      </c>
      <c r="F154" s="17">
        <f t="shared" si="11"/>
        <v>5</v>
      </c>
      <c r="G154" s="17">
        <f t="shared" si="12"/>
        <v>5</v>
      </c>
      <c r="H154">
        <f t="shared" si="13"/>
        <v>4</v>
      </c>
      <c r="I154" s="17" t="str">
        <f t="shared" si="14"/>
        <v>554</v>
      </c>
      <c r="J154" s="25"/>
      <c r="N154" s="26">
        <v>45253</v>
      </c>
    </row>
    <row r="155" spans="1:14" x14ac:dyDescent="0.25">
      <c r="A155" s="13" t="s">
        <v>278</v>
      </c>
      <c r="B155" s="26">
        <v>45180</v>
      </c>
      <c r="C155">
        <v>1</v>
      </c>
      <c r="D155" s="23">
        <v>54000</v>
      </c>
      <c r="E155" s="17">
        <f t="shared" si="10"/>
        <v>21</v>
      </c>
      <c r="F155" s="17">
        <f t="shared" si="11"/>
        <v>3</v>
      </c>
      <c r="G155" s="17">
        <f t="shared" si="12"/>
        <v>0</v>
      </c>
      <c r="H155">
        <f t="shared" si="13"/>
        <v>2</v>
      </c>
      <c r="I155" s="17" t="str">
        <f t="shared" si="14"/>
        <v>302</v>
      </c>
      <c r="J155" s="25"/>
      <c r="N155" s="26">
        <v>45254</v>
      </c>
    </row>
    <row r="156" spans="1:14" x14ac:dyDescent="0.25">
      <c r="A156" s="13" t="s">
        <v>535</v>
      </c>
      <c r="B156" s="26">
        <v>45253</v>
      </c>
      <c r="C156">
        <v>6</v>
      </c>
      <c r="D156" s="23">
        <v>-77400</v>
      </c>
      <c r="E156" s="17">
        <f t="shared" si="10"/>
        <v>7</v>
      </c>
      <c r="F156" s="17">
        <f t="shared" si="11"/>
        <v>2</v>
      </c>
      <c r="G156" s="17">
        <f t="shared" si="12"/>
        <v>4</v>
      </c>
      <c r="H156">
        <f t="shared" si="13"/>
        <v>1</v>
      </c>
      <c r="I156" s="17" t="str">
        <f t="shared" si="14"/>
        <v>241</v>
      </c>
      <c r="J156" s="25"/>
      <c r="N156" s="26">
        <v>45212</v>
      </c>
    </row>
    <row r="157" spans="1:14" x14ac:dyDescent="0.25">
      <c r="A157" s="13" t="s">
        <v>733</v>
      </c>
      <c r="B157" s="26">
        <v>45254</v>
      </c>
      <c r="C157">
        <v>15</v>
      </c>
      <c r="D157" s="23">
        <v>-3235028</v>
      </c>
      <c r="E157" s="17">
        <f t="shared" si="10"/>
        <v>6</v>
      </c>
      <c r="F157" s="17">
        <f t="shared" si="11"/>
        <v>1</v>
      </c>
      <c r="G157" s="17">
        <f t="shared" si="12"/>
        <v>5</v>
      </c>
      <c r="H157">
        <f t="shared" si="13"/>
        <v>1</v>
      </c>
      <c r="I157" s="17" t="str">
        <f t="shared" si="14"/>
        <v>151</v>
      </c>
      <c r="J157" s="25"/>
      <c r="N157" s="26">
        <v>45250</v>
      </c>
    </row>
    <row r="158" spans="1:14" x14ac:dyDescent="0.25">
      <c r="A158" s="13" t="s">
        <v>659</v>
      </c>
      <c r="B158" s="26">
        <v>45212</v>
      </c>
      <c r="C158">
        <v>3</v>
      </c>
      <c r="D158" s="23">
        <v>33600</v>
      </c>
      <c r="E158" s="17">
        <f t="shared" si="10"/>
        <v>48</v>
      </c>
      <c r="F158" s="17">
        <f t="shared" si="11"/>
        <v>4</v>
      </c>
      <c r="G158" s="17">
        <f t="shared" si="12"/>
        <v>2</v>
      </c>
      <c r="H158">
        <f t="shared" si="13"/>
        <v>2</v>
      </c>
      <c r="I158" s="17" t="str">
        <f t="shared" si="14"/>
        <v>422</v>
      </c>
      <c r="J158" s="25"/>
      <c r="N158" s="26">
        <v>45027</v>
      </c>
    </row>
    <row r="159" spans="1:14" x14ac:dyDescent="0.25">
      <c r="A159" s="13" t="s">
        <v>1064</v>
      </c>
      <c r="B159" s="26">
        <v>45250</v>
      </c>
      <c r="C159">
        <v>7</v>
      </c>
      <c r="D159" s="23">
        <v>116800</v>
      </c>
      <c r="E159" s="17">
        <f t="shared" si="10"/>
        <v>10</v>
      </c>
      <c r="F159" s="17">
        <f t="shared" si="11"/>
        <v>2</v>
      </c>
      <c r="G159" s="17">
        <f t="shared" si="12"/>
        <v>4</v>
      </c>
      <c r="H159">
        <f t="shared" si="13"/>
        <v>3</v>
      </c>
      <c r="I159" s="17" t="str">
        <f t="shared" si="14"/>
        <v>243</v>
      </c>
      <c r="J159" s="25"/>
      <c r="N159" s="26">
        <v>45248</v>
      </c>
    </row>
    <row r="160" spans="1:14" x14ac:dyDescent="0.25">
      <c r="A160" s="13" t="s">
        <v>1174</v>
      </c>
      <c r="B160" s="26">
        <v>45234</v>
      </c>
      <c r="C160">
        <v>2</v>
      </c>
      <c r="D160" s="23">
        <v>44000</v>
      </c>
      <c r="E160" s="17">
        <f t="shared" si="10"/>
        <v>233</v>
      </c>
      <c r="F160" s="17">
        <f t="shared" si="11"/>
        <v>5</v>
      </c>
      <c r="G160" s="17">
        <f t="shared" si="12"/>
        <v>2</v>
      </c>
      <c r="H160">
        <f t="shared" si="13"/>
        <v>2</v>
      </c>
      <c r="I160" s="17" t="str">
        <f t="shared" si="14"/>
        <v>522</v>
      </c>
      <c r="J160" s="25"/>
      <c r="N160" s="26">
        <v>45087</v>
      </c>
    </row>
    <row r="161" spans="1:14" x14ac:dyDescent="0.25">
      <c r="A161" s="13" t="s">
        <v>500</v>
      </c>
      <c r="B161" s="26">
        <v>45248</v>
      </c>
      <c r="C161">
        <v>6</v>
      </c>
      <c r="D161" s="23">
        <v>358196</v>
      </c>
      <c r="E161" s="17">
        <f t="shared" si="10"/>
        <v>12</v>
      </c>
      <c r="F161" s="17">
        <f t="shared" si="11"/>
        <v>2</v>
      </c>
      <c r="G161" s="17">
        <f t="shared" si="12"/>
        <v>4</v>
      </c>
      <c r="H161">
        <f t="shared" si="13"/>
        <v>4</v>
      </c>
      <c r="I161" s="17" t="str">
        <f t="shared" si="14"/>
        <v>244</v>
      </c>
      <c r="J161" s="25"/>
      <c r="N161" s="26">
        <v>45255</v>
      </c>
    </row>
    <row r="162" spans="1:14" x14ac:dyDescent="0.25">
      <c r="A162" s="13" t="s">
        <v>769</v>
      </c>
      <c r="B162" s="26">
        <v>45205</v>
      </c>
      <c r="C162">
        <v>1</v>
      </c>
      <c r="D162" s="23">
        <v>40000</v>
      </c>
      <c r="E162" s="17">
        <f t="shared" si="10"/>
        <v>173</v>
      </c>
      <c r="F162" s="17">
        <f t="shared" si="11"/>
        <v>5</v>
      </c>
      <c r="G162" s="17">
        <f t="shared" si="12"/>
        <v>0</v>
      </c>
      <c r="H162">
        <f t="shared" si="13"/>
        <v>2</v>
      </c>
      <c r="I162" s="17" t="str">
        <f t="shared" si="14"/>
        <v>502</v>
      </c>
      <c r="J162" s="25"/>
      <c r="N162" s="26">
        <v>45117</v>
      </c>
    </row>
    <row r="163" spans="1:14" x14ac:dyDescent="0.25">
      <c r="A163" s="13" t="s">
        <v>280</v>
      </c>
      <c r="B163" s="26">
        <v>45255</v>
      </c>
      <c r="C163">
        <v>11</v>
      </c>
      <c r="D163" s="23">
        <v>306000</v>
      </c>
      <c r="E163" s="17">
        <f t="shared" si="10"/>
        <v>5</v>
      </c>
      <c r="F163" s="17">
        <f t="shared" si="11"/>
        <v>1</v>
      </c>
      <c r="G163" s="17">
        <f t="shared" si="12"/>
        <v>5</v>
      </c>
      <c r="H163">
        <f t="shared" si="13"/>
        <v>4</v>
      </c>
      <c r="I163" s="17" t="str">
        <f t="shared" si="14"/>
        <v>154</v>
      </c>
      <c r="J163" s="25"/>
      <c r="N163" s="26">
        <v>45213</v>
      </c>
    </row>
    <row r="164" spans="1:14" x14ac:dyDescent="0.25">
      <c r="A164" s="13" t="s">
        <v>801</v>
      </c>
      <c r="B164" s="26">
        <v>45206</v>
      </c>
      <c r="C164">
        <v>2</v>
      </c>
      <c r="D164" s="23">
        <v>132000</v>
      </c>
      <c r="E164" s="17">
        <f t="shared" si="10"/>
        <v>143</v>
      </c>
      <c r="F164" s="17">
        <f t="shared" si="11"/>
        <v>5</v>
      </c>
      <c r="G164" s="17">
        <f t="shared" si="12"/>
        <v>2</v>
      </c>
      <c r="H164">
        <f t="shared" si="13"/>
        <v>4</v>
      </c>
      <c r="I164" s="17" t="str">
        <f t="shared" si="14"/>
        <v>524</v>
      </c>
      <c r="J164" s="25"/>
      <c r="N164" s="26">
        <v>45243</v>
      </c>
    </row>
    <row r="165" spans="1:14" x14ac:dyDescent="0.25">
      <c r="A165" s="13" t="s">
        <v>450</v>
      </c>
      <c r="B165" s="26">
        <v>45213</v>
      </c>
      <c r="C165">
        <v>3</v>
      </c>
      <c r="D165" s="23">
        <v>211396</v>
      </c>
      <c r="E165" s="17">
        <f t="shared" si="10"/>
        <v>47</v>
      </c>
      <c r="F165" s="17">
        <f t="shared" si="11"/>
        <v>4</v>
      </c>
      <c r="G165" s="17">
        <f t="shared" si="12"/>
        <v>2</v>
      </c>
      <c r="H165">
        <f t="shared" si="13"/>
        <v>4</v>
      </c>
      <c r="I165" s="17" t="str">
        <f t="shared" si="14"/>
        <v>424</v>
      </c>
      <c r="J165" s="25"/>
      <c r="N165" s="26">
        <v>45255</v>
      </c>
    </row>
    <row r="166" spans="1:14" x14ac:dyDescent="0.25">
      <c r="A166" s="13" t="s">
        <v>1256</v>
      </c>
      <c r="B166" s="26">
        <v>45243</v>
      </c>
      <c r="C166">
        <v>2</v>
      </c>
      <c r="D166" s="23">
        <v>88000</v>
      </c>
      <c r="E166" s="17">
        <f t="shared" si="10"/>
        <v>17</v>
      </c>
      <c r="F166" s="17">
        <f t="shared" si="11"/>
        <v>2</v>
      </c>
      <c r="G166" s="17">
        <f t="shared" si="12"/>
        <v>2</v>
      </c>
      <c r="H166">
        <f t="shared" si="13"/>
        <v>3</v>
      </c>
      <c r="I166" s="17" t="str">
        <f t="shared" si="14"/>
        <v>223</v>
      </c>
      <c r="J166" s="25"/>
      <c r="N166" s="26">
        <v>45255</v>
      </c>
    </row>
    <row r="167" spans="1:14" x14ac:dyDescent="0.25">
      <c r="A167" s="13" t="s">
        <v>247</v>
      </c>
      <c r="B167" s="26">
        <v>45255</v>
      </c>
      <c r="C167">
        <v>10</v>
      </c>
      <c r="D167" s="23">
        <v>620200</v>
      </c>
      <c r="E167" s="17">
        <f t="shared" si="10"/>
        <v>5</v>
      </c>
      <c r="F167" s="17">
        <f t="shared" si="11"/>
        <v>1</v>
      </c>
      <c r="G167" s="17">
        <f t="shared" si="12"/>
        <v>5</v>
      </c>
      <c r="H167">
        <f t="shared" si="13"/>
        <v>5</v>
      </c>
      <c r="I167" s="17" t="str">
        <f t="shared" si="14"/>
        <v>155</v>
      </c>
      <c r="J167" s="25"/>
      <c r="N167" s="26"/>
    </row>
    <row r="168" spans="1:14" x14ac:dyDescent="0.25">
      <c r="A168" s="13" t="s">
        <v>20</v>
      </c>
      <c r="B168" s="26">
        <v>45255</v>
      </c>
      <c r="C168">
        <v>7</v>
      </c>
      <c r="D168" s="23">
        <v>1188000</v>
      </c>
      <c r="E168" s="17">
        <f t="shared" si="10"/>
        <v>5</v>
      </c>
      <c r="F168" s="17">
        <f t="shared" si="11"/>
        <v>1</v>
      </c>
      <c r="G168" s="17">
        <f t="shared" si="12"/>
        <v>4</v>
      </c>
      <c r="H168">
        <f t="shared" si="13"/>
        <v>5</v>
      </c>
      <c r="I168" s="17" t="str">
        <f t="shared" si="14"/>
        <v>145</v>
      </c>
      <c r="J168" s="25"/>
      <c r="N168" s="26">
        <v>45260</v>
      </c>
    </row>
    <row r="169" spans="1:14" x14ac:dyDescent="0.25">
      <c r="A169" s="10" t="s">
        <v>1440</v>
      </c>
      <c r="B169" s="27">
        <v>45260</v>
      </c>
      <c r="C169" s="16">
        <v>841</v>
      </c>
      <c r="D169" s="24">
        <v>19889659</v>
      </c>
      <c r="E169" s="17">
        <f t="shared" si="10"/>
        <v>45260</v>
      </c>
      <c r="F169" s="17"/>
      <c r="G169" s="17"/>
      <c r="I169" s="17" t="str">
        <f t="shared" si="14"/>
        <v/>
      </c>
      <c r="J169" s="25"/>
      <c r="N169" s="26"/>
    </row>
    <row r="170" spans="1:14" x14ac:dyDescent="0.25">
      <c r="E170" s="17"/>
      <c r="F170" s="17"/>
      <c r="G170" s="17"/>
      <c r="J170" s="27"/>
      <c r="N17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F619-C88F-413E-AB70-DAA603F4424B}">
  <dimension ref="A1:Q842"/>
  <sheetViews>
    <sheetView topLeftCell="A336" workbookViewId="0">
      <selection sqref="A1:Q65536"/>
    </sheetView>
  </sheetViews>
  <sheetFormatPr defaultRowHeight="13.2" x14ac:dyDescent="0.25"/>
  <cols>
    <col min="1" max="1" width="6.6640625" bestFit="1" customWidth="1"/>
    <col min="2" max="2" width="15.109375" bestFit="1" customWidth="1"/>
    <col min="3" max="3" width="65.109375" bestFit="1" customWidth="1"/>
    <col min="4" max="4" width="6.88671875" bestFit="1" customWidth="1"/>
    <col min="5" max="5" width="12" bestFit="1" customWidth="1"/>
    <col min="6" max="6" width="13.44140625" bestFit="1" customWidth="1"/>
    <col min="7" max="7" width="10.109375" bestFit="1" customWidth="1"/>
    <col min="8" max="8" width="11.44140625" bestFit="1" customWidth="1"/>
    <col min="9" max="9" width="12.77734375" bestFit="1" customWidth="1"/>
    <col min="10" max="10" width="12.21875" bestFit="1" customWidth="1"/>
    <col min="11" max="11" width="36.109375" bestFit="1" customWidth="1"/>
    <col min="12" max="12" width="8.6640625" bestFit="1" customWidth="1"/>
    <col min="13" max="13" width="9.109375" customWidth="1"/>
    <col min="14" max="14" width="16" customWidth="1"/>
    <col min="15" max="15" width="23.44140625" style="19" customWidth="1"/>
    <col min="16" max="16" width="23.88671875" customWidth="1"/>
    <col min="17" max="17" width="16.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1437</v>
      </c>
      <c r="M1" t="s">
        <v>1438</v>
      </c>
      <c r="N1" s="17" t="s">
        <v>1442</v>
      </c>
      <c r="O1" s="18" t="s">
        <v>1443</v>
      </c>
      <c r="P1" s="17" t="s">
        <v>1444</v>
      </c>
      <c r="Q1" s="17" t="s">
        <v>1445</v>
      </c>
    </row>
    <row r="2" spans="1:17" x14ac:dyDescent="0.25">
      <c r="A2">
        <v>1</v>
      </c>
      <c r="B2" t="s">
        <v>11</v>
      </c>
      <c r="C2" t="s">
        <v>12</v>
      </c>
      <c r="D2" t="s">
        <v>13</v>
      </c>
      <c r="E2">
        <v>691200</v>
      </c>
      <c r="F2">
        <v>0</v>
      </c>
      <c r="G2">
        <v>96</v>
      </c>
      <c r="H2">
        <v>1036800</v>
      </c>
      <c r="I2">
        <v>345600</v>
      </c>
      <c r="J2" s="1">
        <v>45170</v>
      </c>
      <c r="K2" t="s">
        <v>20</v>
      </c>
      <c r="L2">
        <v>9</v>
      </c>
      <c r="M2">
        <v>2023</v>
      </c>
      <c r="N2">
        <f t="shared" ref="N2:N65" si="0">I2-E2</f>
        <v>-345600</v>
      </c>
      <c r="O2" s="19">
        <f>IF(Table1_2[Tiền Nhập]&lt;&gt;0, Table1_2[Lợi Nhuận Gộp]/Table1_2[Tiền Nhập], 0)</f>
        <v>-0.5</v>
      </c>
      <c r="P2">
        <f>IF(Table1_2[SL Xuất]&gt;0, Table1_2[Tiền Xuất]/Table1_2[SL Xuất], 0)</f>
        <v>10800</v>
      </c>
      <c r="Q2">
        <f>Table1_2[SL Xuất] - Table1_2[SL Xuất KM]</f>
        <v>96</v>
      </c>
    </row>
    <row r="3" spans="1:17" x14ac:dyDescent="0.25">
      <c r="A3">
        <v>2</v>
      </c>
      <c r="B3" t="s">
        <v>21</v>
      </c>
      <c r="C3" t="s">
        <v>22</v>
      </c>
      <c r="D3" t="s">
        <v>23</v>
      </c>
      <c r="E3">
        <v>800040</v>
      </c>
      <c r="F3">
        <v>0</v>
      </c>
      <c r="G3">
        <v>60</v>
      </c>
      <c r="H3">
        <v>1100040</v>
      </c>
      <c r="I3">
        <v>300000</v>
      </c>
      <c r="J3" s="1">
        <v>45170</v>
      </c>
      <c r="K3" t="s">
        <v>20</v>
      </c>
      <c r="L3">
        <v>9</v>
      </c>
      <c r="M3">
        <v>2023</v>
      </c>
      <c r="N3">
        <f t="shared" si="0"/>
        <v>-500040</v>
      </c>
      <c r="O3" s="19">
        <f>IF(Table1_2[Tiền Nhập]&lt;&gt;0, Table1_2[Lợi Nhuận Gộp]/Table1_2[Tiền Nhập], 0)</f>
        <v>-0.62501874906254684</v>
      </c>
      <c r="P3">
        <f>IF(Table1_2[SL Xuất]&gt;0, Table1_2[Tiền Xuất]/Table1_2[SL Xuất], 0)</f>
        <v>18334</v>
      </c>
      <c r="Q3">
        <f>Table1_2[SL Xuất] - Table1_2[SL Xuất KM]</f>
        <v>60</v>
      </c>
    </row>
    <row r="4" spans="1:17" x14ac:dyDescent="0.25">
      <c r="A4">
        <v>3</v>
      </c>
      <c r="B4" t="s">
        <v>28</v>
      </c>
      <c r="C4" t="s">
        <v>29</v>
      </c>
      <c r="D4" t="s">
        <v>30</v>
      </c>
      <c r="E4">
        <v>365000</v>
      </c>
      <c r="F4">
        <v>0</v>
      </c>
      <c r="G4">
        <v>4</v>
      </c>
      <c r="H4">
        <v>480000</v>
      </c>
      <c r="I4">
        <v>115000</v>
      </c>
      <c r="J4" s="1">
        <v>45170</v>
      </c>
      <c r="K4" t="s">
        <v>35</v>
      </c>
      <c r="L4">
        <v>9</v>
      </c>
      <c r="M4">
        <v>2023</v>
      </c>
      <c r="N4">
        <f t="shared" si="0"/>
        <v>-250000</v>
      </c>
      <c r="O4" s="19">
        <f>IF(Table1_2[Tiền Nhập]&lt;&gt;0, Table1_2[Lợi Nhuận Gộp]/Table1_2[Tiền Nhập], 0)</f>
        <v>-0.68493150684931503</v>
      </c>
      <c r="P4">
        <f>IF(Table1_2[SL Xuất]&gt;0, Table1_2[Tiền Xuất]/Table1_2[SL Xuất], 0)</f>
        <v>120000</v>
      </c>
      <c r="Q4">
        <f>Table1_2[SL Xuất] - Table1_2[SL Xuất KM]</f>
        <v>4</v>
      </c>
    </row>
    <row r="5" spans="1:17" x14ac:dyDescent="0.25">
      <c r="A5">
        <v>4</v>
      </c>
      <c r="B5" t="s">
        <v>36</v>
      </c>
      <c r="C5" t="s">
        <v>37</v>
      </c>
      <c r="D5" t="s">
        <v>13</v>
      </c>
      <c r="E5">
        <v>1296000</v>
      </c>
      <c r="F5">
        <v>0</v>
      </c>
      <c r="G5">
        <v>180</v>
      </c>
      <c r="H5">
        <v>1692000</v>
      </c>
      <c r="I5">
        <v>396000</v>
      </c>
      <c r="J5" s="1">
        <v>45170</v>
      </c>
      <c r="K5" t="s">
        <v>42</v>
      </c>
      <c r="L5">
        <v>9</v>
      </c>
      <c r="M5">
        <v>2023</v>
      </c>
      <c r="N5">
        <f t="shared" si="0"/>
        <v>-900000</v>
      </c>
      <c r="O5" s="19">
        <f>IF(Table1_2[Tiền Nhập]&lt;&gt;0, Table1_2[Lợi Nhuận Gộp]/Table1_2[Tiền Nhập], 0)</f>
        <v>-0.69444444444444442</v>
      </c>
      <c r="P5">
        <f>IF(Table1_2[SL Xuất]&gt;0, Table1_2[Tiền Xuất]/Table1_2[SL Xuất], 0)</f>
        <v>9400</v>
      </c>
      <c r="Q5">
        <f>Table1_2[SL Xuất] - Table1_2[SL Xuất KM]</f>
        <v>180</v>
      </c>
    </row>
    <row r="6" spans="1:17" x14ac:dyDescent="0.25">
      <c r="A6">
        <v>5</v>
      </c>
      <c r="B6" t="s">
        <v>43</v>
      </c>
      <c r="C6" t="s">
        <v>44</v>
      </c>
      <c r="D6" t="s">
        <v>45</v>
      </c>
      <c r="E6">
        <v>46800</v>
      </c>
      <c r="F6">
        <v>0</v>
      </c>
      <c r="G6">
        <v>6</v>
      </c>
      <c r="H6">
        <v>66000</v>
      </c>
      <c r="I6">
        <v>19200</v>
      </c>
      <c r="J6" s="1">
        <v>45170</v>
      </c>
      <c r="K6" t="s">
        <v>50</v>
      </c>
      <c r="L6">
        <v>9</v>
      </c>
      <c r="M6">
        <v>2023</v>
      </c>
      <c r="N6">
        <f t="shared" si="0"/>
        <v>-27600</v>
      </c>
      <c r="O6" s="19">
        <f>IF(Table1_2[Tiền Nhập]&lt;&gt;0, Table1_2[Lợi Nhuận Gộp]/Table1_2[Tiền Nhập], 0)</f>
        <v>-0.58974358974358976</v>
      </c>
      <c r="P6">
        <f>IF(Table1_2[SL Xuất]&gt;0, Table1_2[Tiền Xuất]/Table1_2[SL Xuất], 0)</f>
        <v>11000</v>
      </c>
      <c r="Q6">
        <f>Table1_2[SL Xuất] - Table1_2[SL Xuất KM]</f>
        <v>6</v>
      </c>
    </row>
    <row r="7" spans="1:17" x14ac:dyDescent="0.25">
      <c r="A7">
        <v>6</v>
      </c>
      <c r="B7" t="s">
        <v>51</v>
      </c>
      <c r="C7" t="s">
        <v>52</v>
      </c>
      <c r="D7" t="s">
        <v>45</v>
      </c>
      <c r="E7">
        <v>46800</v>
      </c>
      <c r="F7">
        <v>0</v>
      </c>
      <c r="G7">
        <v>6</v>
      </c>
      <c r="H7">
        <v>66000</v>
      </c>
      <c r="I7">
        <v>19200</v>
      </c>
      <c r="J7" s="1">
        <v>45170</v>
      </c>
      <c r="K7" t="s">
        <v>50</v>
      </c>
      <c r="L7">
        <v>9</v>
      </c>
      <c r="M7">
        <v>2023</v>
      </c>
      <c r="N7">
        <f t="shared" si="0"/>
        <v>-27600</v>
      </c>
      <c r="O7" s="19">
        <f>IF(Table1_2[Tiền Nhập]&lt;&gt;0, Table1_2[Lợi Nhuận Gộp]/Table1_2[Tiền Nhập], 0)</f>
        <v>-0.58974358974358976</v>
      </c>
      <c r="P7">
        <f>IF(Table1_2[SL Xuất]&gt;0, Table1_2[Tiền Xuất]/Table1_2[SL Xuất], 0)</f>
        <v>11000</v>
      </c>
      <c r="Q7">
        <f>Table1_2[SL Xuất] - Table1_2[SL Xuất KM]</f>
        <v>6</v>
      </c>
    </row>
    <row r="8" spans="1:17" x14ac:dyDescent="0.25">
      <c r="A8">
        <v>7</v>
      </c>
      <c r="B8" t="s">
        <v>53</v>
      </c>
      <c r="C8" t="s">
        <v>54</v>
      </c>
      <c r="D8" t="s">
        <v>45</v>
      </c>
      <c r="E8">
        <v>46800</v>
      </c>
      <c r="F8">
        <v>0</v>
      </c>
      <c r="G8">
        <v>6</v>
      </c>
      <c r="H8">
        <v>66000</v>
      </c>
      <c r="I8">
        <v>19200</v>
      </c>
      <c r="J8" s="1">
        <v>45170</v>
      </c>
      <c r="K8" t="s">
        <v>50</v>
      </c>
      <c r="L8">
        <v>9</v>
      </c>
      <c r="M8">
        <v>2023</v>
      </c>
      <c r="N8">
        <f t="shared" si="0"/>
        <v>-27600</v>
      </c>
      <c r="O8" s="19">
        <f>IF(Table1_2[Tiền Nhập]&lt;&gt;0, Table1_2[Lợi Nhuận Gộp]/Table1_2[Tiền Nhập], 0)</f>
        <v>-0.58974358974358976</v>
      </c>
      <c r="P8">
        <f>IF(Table1_2[SL Xuất]&gt;0, Table1_2[Tiền Xuất]/Table1_2[SL Xuất], 0)</f>
        <v>11000</v>
      </c>
      <c r="Q8">
        <f>Table1_2[SL Xuất] - Table1_2[SL Xuất KM]</f>
        <v>6</v>
      </c>
    </row>
    <row r="9" spans="1:17" x14ac:dyDescent="0.25">
      <c r="A9">
        <v>8</v>
      </c>
      <c r="B9" t="s">
        <v>55</v>
      </c>
      <c r="C9" t="s">
        <v>56</v>
      </c>
      <c r="D9" t="s">
        <v>13</v>
      </c>
      <c r="E9">
        <v>340000</v>
      </c>
      <c r="F9">
        <v>5</v>
      </c>
      <c r="G9">
        <v>20</v>
      </c>
      <c r="H9">
        <v>480000</v>
      </c>
      <c r="I9">
        <v>140000</v>
      </c>
      <c r="J9" s="1">
        <v>45170</v>
      </c>
      <c r="K9" t="s">
        <v>50</v>
      </c>
      <c r="L9">
        <v>9</v>
      </c>
      <c r="M9">
        <v>2023</v>
      </c>
      <c r="N9">
        <f t="shared" si="0"/>
        <v>-200000</v>
      </c>
      <c r="O9" s="19">
        <f>IF(Table1_2[Tiền Nhập]&lt;&gt;0, Table1_2[Lợi Nhuận Gộp]/Table1_2[Tiền Nhập], 0)</f>
        <v>-0.58823529411764708</v>
      </c>
      <c r="P9">
        <f>IF(Table1_2[SL Xuất]&gt;0, Table1_2[Tiền Xuất]/Table1_2[SL Xuất], 0)</f>
        <v>24000</v>
      </c>
      <c r="Q9">
        <f>Table1_2[SL Xuất] - Table1_2[SL Xuất KM]</f>
        <v>15</v>
      </c>
    </row>
    <row r="10" spans="1:17" x14ac:dyDescent="0.25">
      <c r="A10">
        <v>9</v>
      </c>
      <c r="B10" t="s">
        <v>61</v>
      </c>
      <c r="C10" t="s">
        <v>62</v>
      </c>
      <c r="D10" t="s">
        <v>13</v>
      </c>
      <c r="E10">
        <v>0</v>
      </c>
      <c r="F10">
        <v>10</v>
      </c>
      <c r="G10">
        <v>0</v>
      </c>
      <c r="H10">
        <v>-90000</v>
      </c>
      <c r="I10">
        <v>-90000</v>
      </c>
      <c r="J10" s="1">
        <v>45173</v>
      </c>
      <c r="K10" t="s">
        <v>66</v>
      </c>
      <c r="L10">
        <v>9</v>
      </c>
      <c r="M10">
        <v>2023</v>
      </c>
      <c r="N10">
        <f t="shared" si="0"/>
        <v>-90000</v>
      </c>
      <c r="O10" s="19">
        <f>IF(Table1_2[Tiền Nhập]&lt;&gt;0, Table1_2[Lợi Nhuận Gộp]/Table1_2[Tiền Nhập], 0)</f>
        <v>0</v>
      </c>
      <c r="P10">
        <f>IF(Table1_2[SL Xuất]&gt;0, Table1_2[Tiền Xuất]/Table1_2[SL Xuất], 0)</f>
        <v>0</v>
      </c>
      <c r="Q10">
        <f>Table1_2[SL Xuất] - Table1_2[SL Xuất KM]</f>
        <v>-10</v>
      </c>
    </row>
    <row r="11" spans="1:17" x14ac:dyDescent="0.25">
      <c r="A11">
        <v>10</v>
      </c>
      <c r="B11" t="s">
        <v>67</v>
      </c>
      <c r="C11" t="s">
        <v>68</v>
      </c>
      <c r="D11" t="s">
        <v>13</v>
      </c>
      <c r="E11">
        <v>528000</v>
      </c>
      <c r="F11">
        <v>0</v>
      </c>
      <c r="G11">
        <v>48</v>
      </c>
      <c r="H11">
        <v>576000</v>
      </c>
      <c r="I11">
        <v>48000</v>
      </c>
      <c r="J11" s="1">
        <v>45173</v>
      </c>
      <c r="K11" t="s">
        <v>66</v>
      </c>
      <c r="L11">
        <v>9</v>
      </c>
      <c r="M11">
        <v>2023</v>
      </c>
      <c r="N11">
        <f t="shared" si="0"/>
        <v>-480000</v>
      </c>
      <c r="O11" s="19">
        <f>IF(Table1_2[Tiền Nhập]&lt;&gt;0, Table1_2[Lợi Nhuận Gộp]/Table1_2[Tiền Nhập], 0)</f>
        <v>-0.90909090909090906</v>
      </c>
      <c r="P11">
        <f>IF(Table1_2[SL Xuất]&gt;0, Table1_2[Tiền Xuất]/Table1_2[SL Xuất], 0)</f>
        <v>12000</v>
      </c>
      <c r="Q11">
        <f>Table1_2[SL Xuất] - Table1_2[SL Xuất KM]</f>
        <v>48</v>
      </c>
    </row>
    <row r="12" spans="1:17" x14ac:dyDescent="0.25">
      <c r="A12">
        <v>11</v>
      </c>
      <c r="B12" t="s">
        <v>67</v>
      </c>
      <c r="C12" t="s">
        <v>68</v>
      </c>
      <c r="D12" t="s">
        <v>13</v>
      </c>
      <c r="E12">
        <v>1056000</v>
      </c>
      <c r="F12">
        <v>0</v>
      </c>
      <c r="G12">
        <v>96</v>
      </c>
      <c r="H12">
        <v>960000</v>
      </c>
      <c r="I12">
        <v>-96000</v>
      </c>
      <c r="J12" s="1">
        <v>45173</v>
      </c>
      <c r="K12" t="s">
        <v>76</v>
      </c>
      <c r="L12">
        <v>9</v>
      </c>
      <c r="M12">
        <v>2023</v>
      </c>
      <c r="N12">
        <f t="shared" si="0"/>
        <v>-1152000</v>
      </c>
      <c r="O12" s="19">
        <f>IF(Table1_2[Tiền Nhập]&lt;&gt;0, Table1_2[Lợi Nhuận Gộp]/Table1_2[Tiền Nhập], 0)</f>
        <v>-1.0909090909090908</v>
      </c>
      <c r="P12">
        <f>IF(Table1_2[SL Xuất]&gt;0, Table1_2[Tiền Xuất]/Table1_2[SL Xuất], 0)</f>
        <v>10000</v>
      </c>
      <c r="Q12">
        <f>Table1_2[SL Xuất] - Table1_2[SL Xuất KM]</f>
        <v>96</v>
      </c>
    </row>
    <row r="13" spans="1:17" x14ac:dyDescent="0.25">
      <c r="A13">
        <v>12</v>
      </c>
      <c r="B13" t="s">
        <v>11</v>
      </c>
      <c r="C13" t="s">
        <v>12</v>
      </c>
      <c r="D13" t="s">
        <v>13</v>
      </c>
      <c r="E13">
        <v>345600</v>
      </c>
      <c r="F13">
        <v>0</v>
      </c>
      <c r="G13">
        <v>48</v>
      </c>
      <c r="H13">
        <v>576000</v>
      </c>
      <c r="I13">
        <v>230400</v>
      </c>
      <c r="J13" s="1">
        <v>45173</v>
      </c>
      <c r="K13" t="s">
        <v>78</v>
      </c>
      <c r="L13">
        <v>9</v>
      </c>
      <c r="M13">
        <v>2023</v>
      </c>
      <c r="N13">
        <f t="shared" si="0"/>
        <v>-115200</v>
      </c>
      <c r="O13" s="19">
        <f>IF(Table1_2[Tiền Nhập]&lt;&gt;0, Table1_2[Lợi Nhuận Gộp]/Table1_2[Tiền Nhập], 0)</f>
        <v>-0.33333333333333331</v>
      </c>
      <c r="P13">
        <f>IF(Table1_2[SL Xuất]&gt;0, Table1_2[Tiền Xuất]/Table1_2[SL Xuất], 0)</f>
        <v>12000</v>
      </c>
      <c r="Q13">
        <f>Table1_2[SL Xuất] - Table1_2[SL Xuất KM]</f>
        <v>48</v>
      </c>
    </row>
    <row r="14" spans="1:17" x14ac:dyDescent="0.25">
      <c r="A14">
        <v>13</v>
      </c>
      <c r="B14" t="s">
        <v>67</v>
      </c>
      <c r="C14" t="s">
        <v>68</v>
      </c>
      <c r="D14" t="s">
        <v>13</v>
      </c>
      <c r="E14">
        <v>0</v>
      </c>
      <c r="F14">
        <v>6</v>
      </c>
      <c r="G14">
        <v>0</v>
      </c>
      <c r="H14">
        <v>-60000</v>
      </c>
      <c r="I14">
        <v>-60000</v>
      </c>
      <c r="J14" s="1">
        <v>45173</v>
      </c>
      <c r="K14" t="s">
        <v>78</v>
      </c>
      <c r="L14">
        <v>9</v>
      </c>
      <c r="M14">
        <v>2023</v>
      </c>
      <c r="N14">
        <f t="shared" si="0"/>
        <v>-60000</v>
      </c>
      <c r="O14" s="19">
        <f>IF(Table1_2[Tiền Nhập]&lt;&gt;0, Table1_2[Lợi Nhuận Gộp]/Table1_2[Tiền Nhập], 0)</f>
        <v>0</v>
      </c>
      <c r="P14">
        <f>IF(Table1_2[SL Xuất]&gt;0, Table1_2[Tiền Xuất]/Table1_2[SL Xuất], 0)</f>
        <v>0</v>
      </c>
      <c r="Q14">
        <f>Table1_2[SL Xuất] - Table1_2[SL Xuất KM]</f>
        <v>-6</v>
      </c>
    </row>
    <row r="15" spans="1:17" x14ac:dyDescent="0.25">
      <c r="A15">
        <v>14</v>
      </c>
      <c r="B15" t="s">
        <v>80</v>
      </c>
      <c r="C15" t="s">
        <v>81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45173</v>
      </c>
      <c r="K15" t="s">
        <v>82</v>
      </c>
      <c r="L15">
        <v>9</v>
      </c>
      <c r="M15">
        <v>2023</v>
      </c>
      <c r="N15">
        <f t="shared" si="0"/>
        <v>0</v>
      </c>
      <c r="O15" s="19">
        <f>IF(Table1_2[Tiền Nhập]&lt;&gt;0, Table1_2[Lợi Nhuận Gộp]/Table1_2[Tiền Nhập], 0)</f>
        <v>0</v>
      </c>
      <c r="P15">
        <f>IF(Table1_2[SL Xuất]&gt;0, Table1_2[Tiền Xuất]/Table1_2[SL Xuất], 0)</f>
        <v>0</v>
      </c>
      <c r="Q15">
        <f>Table1_2[SL Xuất] - Table1_2[SL Xuất KM]</f>
        <v>0</v>
      </c>
    </row>
    <row r="16" spans="1:17" x14ac:dyDescent="0.25">
      <c r="A16">
        <v>15</v>
      </c>
      <c r="B16" t="s">
        <v>83</v>
      </c>
      <c r="C16" t="s">
        <v>84</v>
      </c>
      <c r="D16" t="s">
        <v>85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45173</v>
      </c>
      <c r="K16" t="s">
        <v>35</v>
      </c>
      <c r="L16">
        <v>9</v>
      </c>
      <c r="M16">
        <v>2023</v>
      </c>
      <c r="N16">
        <f t="shared" si="0"/>
        <v>0</v>
      </c>
      <c r="O16" s="19">
        <f>IF(Table1_2[Tiền Nhập]&lt;&gt;0, Table1_2[Lợi Nhuận Gộp]/Table1_2[Tiền Nhập], 0)</f>
        <v>0</v>
      </c>
      <c r="P16">
        <f>IF(Table1_2[SL Xuất]&gt;0, Table1_2[Tiền Xuất]/Table1_2[SL Xuất], 0)</f>
        <v>0</v>
      </c>
      <c r="Q16">
        <f>Table1_2[SL Xuất] - Table1_2[SL Xuất KM]</f>
        <v>0</v>
      </c>
    </row>
    <row r="17" spans="1:17" x14ac:dyDescent="0.25">
      <c r="A17">
        <v>16</v>
      </c>
      <c r="B17" t="s">
        <v>86</v>
      </c>
      <c r="C17" t="s">
        <v>87</v>
      </c>
      <c r="D17" t="s">
        <v>88</v>
      </c>
      <c r="E17">
        <v>120756</v>
      </c>
      <c r="F17">
        <v>0</v>
      </c>
      <c r="G17">
        <v>2</v>
      </c>
      <c r="H17">
        <v>112000</v>
      </c>
      <c r="I17">
        <v>-8756</v>
      </c>
      <c r="J17" s="1">
        <v>45173</v>
      </c>
      <c r="K17" t="s">
        <v>93</v>
      </c>
      <c r="L17">
        <v>9</v>
      </c>
      <c r="M17">
        <v>2023</v>
      </c>
      <c r="N17">
        <f t="shared" si="0"/>
        <v>-129512</v>
      </c>
      <c r="O17" s="19">
        <f>IF(Table1_2[Tiền Nhập]&lt;&gt;0, Table1_2[Lợi Nhuận Gộp]/Table1_2[Tiền Nhập], 0)</f>
        <v>-1.0725098545827951</v>
      </c>
      <c r="P17">
        <f>IF(Table1_2[SL Xuất]&gt;0, Table1_2[Tiền Xuất]/Table1_2[SL Xuất], 0)</f>
        <v>56000</v>
      </c>
      <c r="Q17">
        <f>Table1_2[SL Xuất] - Table1_2[SL Xuất KM]</f>
        <v>2</v>
      </c>
    </row>
    <row r="18" spans="1:17" x14ac:dyDescent="0.25">
      <c r="A18">
        <v>17</v>
      </c>
      <c r="B18" t="s">
        <v>94</v>
      </c>
      <c r="C18" t="s">
        <v>95</v>
      </c>
      <c r="D18" t="s">
        <v>45</v>
      </c>
      <c r="E18">
        <v>39312</v>
      </c>
      <c r="F18">
        <v>0</v>
      </c>
      <c r="G18">
        <v>4</v>
      </c>
      <c r="H18">
        <v>46000</v>
      </c>
      <c r="I18">
        <v>6688</v>
      </c>
      <c r="J18" s="1">
        <v>45173</v>
      </c>
      <c r="K18" t="s">
        <v>93</v>
      </c>
      <c r="L18">
        <v>9</v>
      </c>
      <c r="M18">
        <v>2023</v>
      </c>
      <c r="N18">
        <f t="shared" si="0"/>
        <v>-32624</v>
      </c>
      <c r="O18" s="19">
        <f>IF(Table1_2[Tiền Nhập]&lt;&gt;0, Table1_2[Lợi Nhuận Gộp]/Table1_2[Tiền Nhập], 0)</f>
        <v>-0.82987382987382985</v>
      </c>
      <c r="P18">
        <f>IF(Table1_2[SL Xuất]&gt;0, Table1_2[Tiền Xuất]/Table1_2[SL Xuất], 0)</f>
        <v>11500</v>
      </c>
      <c r="Q18">
        <f>Table1_2[SL Xuất] - Table1_2[SL Xuất KM]</f>
        <v>4</v>
      </c>
    </row>
    <row r="19" spans="1:17" x14ac:dyDescent="0.25">
      <c r="A19">
        <v>18</v>
      </c>
      <c r="B19" t="s">
        <v>99</v>
      </c>
      <c r="C19" t="s">
        <v>100</v>
      </c>
      <c r="D19" t="s">
        <v>88</v>
      </c>
      <c r="E19">
        <v>231000</v>
      </c>
      <c r="F19">
        <v>0</v>
      </c>
      <c r="G19">
        <v>12</v>
      </c>
      <c r="H19">
        <v>240000</v>
      </c>
      <c r="I19">
        <v>9000</v>
      </c>
      <c r="J19" s="1">
        <v>45173</v>
      </c>
      <c r="K19" t="s">
        <v>93</v>
      </c>
      <c r="L19">
        <v>9</v>
      </c>
      <c r="M19">
        <v>2023</v>
      </c>
      <c r="N19">
        <f t="shared" si="0"/>
        <v>-222000</v>
      </c>
      <c r="O19" s="19">
        <f>IF(Table1_2[Tiền Nhập]&lt;&gt;0, Table1_2[Lợi Nhuận Gộp]/Table1_2[Tiền Nhập], 0)</f>
        <v>-0.96103896103896103</v>
      </c>
      <c r="P19">
        <f>IF(Table1_2[SL Xuất]&gt;0, Table1_2[Tiền Xuất]/Table1_2[SL Xuất], 0)</f>
        <v>20000</v>
      </c>
      <c r="Q19">
        <f>Table1_2[SL Xuất] - Table1_2[SL Xuất KM]</f>
        <v>12</v>
      </c>
    </row>
    <row r="20" spans="1:17" x14ac:dyDescent="0.25">
      <c r="A20">
        <v>19</v>
      </c>
      <c r="B20" t="s">
        <v>105</v>
      </c>
      <c r="C20" t="s">
        <v>106</v>
      </c>
      <c r="D20" t="s">
        <v>107</v>
      </c>
      <c r="E20">
        <v>52800</v>
      </c>
      <c r="F20">
        <v>0</v>
      </c>
      <c r="G20">
        <v>2</v>
      </c>
      <c r="H20">
        <v>72000</v>
      </c>
      <c r="I20">
        <v>19200</v>
      </c>
      <c r="J20" s="1">
        <v>45173</v>
      </c>
      <c r="K20" t="s">
        <v>110</v>
      </c>
      <c r="L20">
        <v>9</v>
      </c>
      <c r="M20">
        <v>2023</v>
      </c>
      <c r="N20">
        <f t="shared" si="0"/>
        <v>-33600</v>
      </c>
      <c r="O20" s="19">
        <f>IF(Table1_2[Tiền Nhập]&lt;&gt;0, Table1_2[Lợi Nhuận Gộp]/Table1_2[Tiền Nhập], 0)</f>
        <v>-0.63636363636363635</v>
      </c>
      <c r="P20">
        <f>IF(Table1_2[SL Xuất]&gt;0, Table1_2[Tiền Xuất]/Table1_2[SL Xuất], 0)</f>
        <v>36000</v>
      </c>
      <c r="Q20">
        <f>Table1_2[SL Xuất] - Table1_2[SL Xuất KM]</f>
        <v>2</v>
      </c>
    </row>
    <row r="21" spans="1:17" x14ac:dyDescent="0.25">
      <c r="A21">
        <v>20</v>
      </c>
      <c r="B21" t="s">
        <v>111</v>
      </c>
      <c r="C21" t="s">
        <v>112</v>
      </c>
      <c r="D21" t="s">
        <v>13</v>
      </c>
      <c r="E21">
        <v>77000</v>
      </c>
      <c r="F21">
        <v>0</v>
      </c>
      <c r="G21">
        <v>10</v>
      </c>
      <c r="H21">
        <v>100000</v>
      </c>
      <c r="I21">
        <v>23000</v>
      </c>
      <c r="J21" s="1">
        <v>45173</v>
      </c>
      <c r="K21" t="s">
        <v>110</v>
      </c>
      <c r="L21">
        <v>9</v>
      </c>
      <c r="M21">
        <v>2023</v>
      </c>
      <c r="N21">
        <f t="shared" si="0"/>
        <v>-54000</v>
      </c>
      <c r="O21" s="19">
        <f>IF(Table1_2[Tiền Nhập]&lt;&gt;0, Table1_2[Lợi Nhuận Gộp]/Table1_2[Tiền Nhập], 0)</f>
        <v>-0.70129870129870131</v>
      </c>
      <c r="P21">
        <f>IF(Table1_2[SL Xuất]&gt;0, Table1_2[Tiền Xuất]/Table1_2[SL Xuất], 0)</f>
        <v>10000</v>
      </c>
      <c r="Q21">
        <f>Table1_2[SL Xuất] - Table1_2[SL Xuất KM]</f>
        <v>10</v>
      </c>
    </row>
    <row r="22" spans="1:17" x14ac:dyDescent="0.25">
      <c r="A22">
        <v>21</v>
      </c>
      <c r="B22" t="s">
        <v>116</v>
      </c>
      <c r="C22" t="s">
        <v>117</v>
      </c>
      <c r="D22" t="s">
        <v>13</v>
      </c>
      <c r="E22">
        <v>792000</v>
      </c>
      <c r="F22">
        <v>0</v>
      </c>
      <c r="G22">
        <v>20</v>
      </c>
      <c r="H22">
        <v>792000</v>
      </c>
      <c r="I22">
        <v>0</v>
      </c>
      <c r="J22" s="1">
        <v>45173</v>
      </c>
      <c r="K22" t="s">
        <v>119</v>
      </c>
      <c r="L22">
        <v>9</v>
      </c>
      <c r="M22">
        <v>2023</v>
      </c>
      <c r="N22">
        <f t="shared" si="0"/>
        <v>-792000</v>
      </c>
      <c r="O22" s="19">
        <f>IF(Table1_2[Tiền Nhập]&lt;&gt;0, Table1_2[Lợi Nhuận Gộp]/Table1_2[Tiền Nhập], 0)</f>
        <v>-1</v>
      </c>
      <c r="P22">
        <f>IF(Table1_2[SL Xuất]&gt;0, Table1_2[Tiền Xuất]/Table1_2[SL Xuất], 0)</f>
        <v>39600</v>
      </c>
      <c r="Q22">
        <f>Table1_2[SL Xuất] - Table1_2[SL Xuất KM]</f>
        <v>20</v>
      </c>
    </row>
    <row r="23" spans="1:17" x14ac:dyDescent="0.25">
      <c r="A23">
        <v>22</v>
      </c>
      <c r="B23" t="s">
        <v>120</v>
      </c>
      <c r="C23" t="s">
        <v>121</v>
      </c>
      <c r="D23" t="s">
        <v>45</v>
      </c>
      <c r="E23">
        <v>0</v>
      </c>
      <c r="F23">
        <v>0</v>
      </c>
      <c r="G23">
        <v>0</v>
      </c>
      <c r="H23">
        <v>0</v>
      </c>
      <c r="I23">
        <v>0</v>
      </c>
      <c r="J23" s="1">
        <v>45173</v>
      </c>
      <c r="K23" t="s">
        <v>122</v>
      </c>
      <c r="L23">
        <v>9</v>
      </c>
      <c r="M23">
        <v>2023</v>
      </c>
      <c r="N23">
        <f t="shared" si="0"/>
        <v>0</v>
      </c>
      <c r="O23" s="19">
        <f>IF(Table1_2[Tiền Nhập]&lt;&gt;0, Table1_2[Lợi Nhuận Gộp]/Table1_2[Tiền Nhập], 0)</f>
        <v>0</v>
      </c>
      <c r="P23">
        <f>IF(Table1_2[SL Xuất]&gt;0, Table1_2[Tiền Xuất]/Table1_2[SL Xuất], 0)</f>
        <v>0</v>
      </c>
      <c r="Q23">
        <f>Table1_2[SL Xuất] - Table1_2[SL Xuất KM]</f>
        <v>0</v>
      </c>
    </row>
    <row r="24" spans="1:17" x14ac:dyDescent="0.25">
      <c r="A24">
        <v>23</v>
      </c>
      <c r="B24" t="s">
        <v>123</v>
      </c>
      <c r="C24" t="s">
        <v>124</v>
      </c>
      <c r="D24" t="s">
        <v>45</v>
      </c>
      <c r="E24">
        <v>0</v>
      </c>
      <c r="F24">
        <v>1</v>
      </c>
      <c r="G24">
        <v>0</v>
      </c>
      <c r="H24">
        <v>-233000</v>
      </c>
      <c r="I24">
        <v>-233000</v>
      </c>
      <c r="J24" s="1">
        <v>45173</v>
      </c>
      <c r="K24" t="s">
        <v>127</v>
      </c>
      <c r="L24">
        <v>9</v>
      </c>
      <c r="M24">
        <v>2023</v>
      </c>
      <c r="N24">
        <f t="shared" si="0"/>
        <v>-233000</v>
      </c>
      <c r="O24" s="19">
        <f>IF(Table1_2[Tiền Nhập]&lt;&gt;0, Table1_2[Lợi Nhuận Gộp]/Table1_2[Tiền Nhập], 0)</f>
        <v>0</v>
      </c>
      <c r="P24">
        <f>IF(Table1_2[SL Xuất]&gt;0, Table1_2[Tiền Xuất]/Table1_2[SL Xuất], 0)</f>
        <v>0</v>
      </c>
      <c r="Q24">
        <f>Table1_2[SL Xuất] - Table1_2[SL Xuất KM]</f>
        <v>-1</v>
      </c>
    </row>
    <row r="25" spans="1:17" x14ac:dyDescent="0.25">
      <c r="A25">
        <v>24</v>
      </c>
      <c r="B25" t="s">
        <v>128</v>
      </c>
      <c r="C25" t="s">
        <v>129</v>
      </c>
      <c r="D25" t="s">
        <v>13</v>
      </c>
      <c r="E25">
        <v>570000</v>
      </c>
      <c r="F25">
        <v>0</v>
      </c>
      <c r="G25">
        <v>60</v>
      </c>
      <c r="H25">
        <v>1080000</v>
      </c>
      <c r="I25">
        <v>510000</v>
      </c>
      <c r="J25" s="1">
        <v>45173</v>
      </c>
      <c r="K25" t="s">
        <v>127</v>
      </c>
      <c r="L25">
        <v>9</v>
      </c>
      <c r="M25">
        <v>2023</v>
      </c>
      <c r="N25">
        <f t="shared" si="0"/>
        <v>-60000</v>
      </c>
      <c r="O25" s="19">
        <f>IF(Table1_2[Tiền Nhập]&lt;&gt;0, Table1_2[Lợi Nhuận Gộp]/Table1_2[Tiền Nhập], 0)</f>
        <v>-0.10526315789473684</v>
      </c>
      <c r="P25">
        <f>IF(Table1_2[SL Xuất]&gt;0, Table1_2[Tiền Xuất]/Table1_2[SL Xuất], 0)</f>
        <v>18000</v>
      </c>
      <c r="Q25">
        <f>Table1_2[SL Xuất] - Table1_2[SL Xuất KM]</f>
        <v>60</v>
      </c>
    </row>
    <row r="26" spans="1:17" x14ac:dyDescent="0.25">
      <c r="A26">
        <v>25</v>
      </c>
      <c r="B26" t="s">
        <v>133</v>
      </c>
      <c r="C26" t="s">
        <v>134</v>
      </c>
      <c r="D26" t="s">
        <v>13</v>
      </c>
      <c r="E26">
        <v>200010</v>
      </c>
      <c r="F26">
        <v>0</v>
      </c>
      <c r="G26">
        <v>30</v>
      </c>
      <c r="H26">
        <v>240000</v>
      </c>
      <c r="I26">
        <v>39990</v>
      </c>
      <c r="J26" s="1">
        <v>45173</v>
      </c>
      <c r="K26" t="s">
        <v>127</v>
      </c>
      <c r="L26">
        <v>9</v>
      </c>
      <c r="M26">
        <v>2023</v>
      </c>
      <c r="N26">
        <f t="shared" si="0"/>
        <v>-160020</v>
      </c>
      <c r="O26" s="19">
        <f>IF(Table1_2[Tiền Nhập]&lt;&gt;0, Table1_2[Lợi Nhuận Gộp]/Table1_2[Tiền Nhập], 0)</f>
        <v>-0.80005999700014996</v>
      </c>
      <c r="P26">
        <f>IF(Table1_2[SL Xuất]&gt;0, Table1_2[Tiền Xuất]/Table1_2[SL Xuất], 0)</f>
        <v>8000</v>
      </c>
      <c r="Q26">
        <f>Table1_2[SL Xuất] - Table1_2[SL Xuất KM]</f>
        <v>30</v>
      </c>
    </row>
    <row r="27" spans="1:17" x14ac:dyDescent="0.25">
      <c r="A27">
        <v>26</v>
      </c>
      <c r="B27" t="s">
        <v>83</v>
      </c>
      <c r="C27" t="s">
        <v>84</v>
      </c>
      <c r="D27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 s="1">
        <v>45173</v>
      </c>
      <c r="K27" t="s">
        <v>127</v>
      </c>
      <c r="L27">
        <v>9</v>
      </c>
      <c r="M27">
        <v>2023</v>
      </c>
      <c r="N27">
        <f t="shared" si="0"/>
        <v>0</v>
      </c>
      <c r="O27" s="19">
        <f>IF(Table1_2[Tiền Nhập]&lt;&gt;0, Table1_2[Lợi Nhuận Gộp]/Table1_2[Tiền Nhập], 0)</f>
        <v>0</v>
      </c>
      <c r="P27">
        <f>IF(Table1_2[SL Xuất]&gt;0, Table1_2[Tiền Xuất]/Table1_2[SL Xuất], 0)</f>
        <v>0</v>
      </c>
      <c r="Q27">
        <f>Table1_2[SL Xuất] - Table1_2[SL Xuất KM]</f>
        <v>0</v>
      </c>
    </row>
    <row r="28" spans="1:17" x14ac:dyDescent="0.25">
      <c r="A28">
        <v>27</v>
      </c>
      <c r="B28" t="s">
        <v>138</v>
      </c>
      <c r="C28" t="s">
        <v>139</v>
      </c>
      <c r="D28" t="s">
        <v>30</v>
      </c>
      <c r="E28">
        <v>340000</v>
      </c>
      <c r="F28">
        <v>0</v>
      </c>
      <c r="G28">
        <v>4</v>
      </c>
      <c r="H28">
        <v>520000</v>
      </c>
      <c r="I28">
        <v>180000</v>
      </c>
      <c r="J28" s="1">
        <v>45174</v>
      </c>
      <c r="K28" t="s">
        <v>110</v>
      </c>
      <c r="L28">
        <v>9</v>
      </c>
      <c r="M28">
        <v>2023</v>
      </c>
      <c r="N28">
        <f t="shared" si="0"/>
        <v>-160000</v>
      </c>
      <c r="O28" s="19">
        <f>IF(Table1_2[Tiền Nhập]&lt;&gt;0, Table1_2[Lợi Nhuận Gộp]/Table1_2[Tiền Nhập], 0)</f>
        <v>-0.47058823529411764</v>
      </c>
      <c r="P28">
        <f>IF(Table1_2[SL Xuất]&gt;0, Table1_2[Tiền Xuất]/Table1_2[SL Xuất], 0)</f>
        <v>130000</v>
      </c>
      <c r="Q28">
        <f>Table1_2[SL Xuất] - Table1_2[SL Xuất KM]</f>
        <v>4</v>
      </c>
    </row>
    <row r="29" spans="1:17" x14ac:dyDescent="0.25">
      <c r="A29">
        <v>28</v>
      </c>
      <c r="B29" t="s">
        <v>133</v>
      </c>
      <c r="C29" t="s">
        <v>134</v>
      </c>
      <c r="D29" t="s">
        <v>13</v>
      </c>
      <c r="E29">
        <v>200010</v>
      </c>
      <c r="F29">
        <v>0</v>
      </c>
      <c r="G29">
        <v>30</v>
      </c>
      <c r="H29">
        <v>220500</v>
      </c>
      <c r="I29">
        <v>20490</v>
      </c>
      <c r="J29" s="1">
        <v>45175</v>
      </c>
      <c r="K29" t="s">
        <v>146</v>
      </c>
      <c r="L29">
        <v>9</v>
      </c>
      <c r="M29">
        <v>2023</v>
      </c>
      <c r="N29">
        <f t="shared" si="0"/>
        <v>-179520</v>
      </c>
      <c r="O29" s="19">
        <f>IF(Table1_2[Tiền Nhập]&lt;&gt;0, Table1_2[Lợi Nhuận Gộp]/Table1_2[Tiền Nhập], 0)</f>
        <v>-0.89755512224388778</v>
      </c>
      <c r="P29">
        <f>IF(Table1_2[SL Xuất]&gt;0, Table1_2[Tiền Xuất]/Table1_2[SL Xuất], 0)</f>
        <v>7350</v>
      </c>
      <c r="Q29">
        <f>Table1_2[SL Xuất] - Table1_2[SL Xuất KM]</f>
        <v>30</v>
      </c>
    </row>
    <row r="30" spans="1:17" x14ac:dyDescent="0.25">
      <c r="A30">
        <v>29</v>
      </c>
      <c r="B30" t="s">
        <v>147</v>
      </c>
      <c r="C30" t="s">
        <v>148</v>
      </c>
      <c r="D30" t="s">
        <v>149</v>
      </c>
      <c r="E30">
        <v>165000</v>
      </c>
      <c r="F30">
        <v>0</v>
      </c>
      <c r="G30">
        <v>30</v>
      </c>
      <c r="H30">
        <v>195000</v>
      </c>
      <c r="I30">
        <v>30000</v>
      </c>
      <c r="J30" s="1">
        <v>45176</v>
      </c>
      <c r="K30" t="s">
        <v>154</v>
      </c>
      <c r="L30">
        <v>9</v>
      </c>
      <c r="M30">
        <v>2023</v>
      </c>
      <c r="N30">
        <f t="shared" si="0"/>
        <v>-135000</v>
      </c>
      <c r="O30" s="19">
        <f>IF(Table1_2[Tiền Nhập]&lt;&gt;0, Table1_2[Lợi Nhuận Gộp]/Table1_2[Tiền Nhập], 0)</f>
        <v>-0.81818181818181823</v>
      </c>
      <c r="P30">
        <f>IF(Table1_2[SL Xuất]&gt;0, Table1_2[Tiền Xuất]/Table1_2[SL Xuất], 0)</f>
        <v>6500</v>
      </c>
      <c r="Q30">
        <f>Table1_2[SL Xuất] - Table1_2[SL Xuất KM]</f>
        <v>30</v>
      </c>
    </row>
    <row r="31" spans="1:17" x14ac:dyDescent="0.25">
      <c r="A31">
        <v>30</v>
      </c>
      <c r="B31" t="s">
        <v>155</v>
      </c>
      <c r="C31" t="s">
        <v>156</v>
      </c>
      <c r="D31" t="s">
        <v>149</v>
      </c>
      <c r="E31">
        <v>165000</v>
      </c>
      <c r="F31">
        <v>0</v>
      </c>
      <c r="G31">
        <v>30</v>
      </c>
      <c r="H31">
        <v>195000</v>
      </c>
      <c r="I31">
        <v>30000</v>
      </c>
      <c r="J31" s="1">
        <v>45176</v>
      </c>
      <c r="K31" t="s">
        <v>154</v>
      </c>
      <c r="L31">
        <v>9</v>
      </c>
      <c r="M31">
        <v>2023</v>
      </c>
      <c r="N31">
        <f t="shared" si="0"/>
        <v>-135000</v>
      </c>
      <c r="O31" s="19">
        <f>IF(Table1_2[Tiền Nhập]&lt;&gt;0, Table1_2[Lợi Nhuận Gộp]/Table1_2[Tiền Nhập], 0)</f>
        <v>-0.81818181818181823</v>
      </c>
      <c r="P31">
        <f>IF(Table1_2[SL Xuất]&gt;0, Table1_2[Tiền Xuất]/Table1_2[SL Xuất], 0)</f>
        <v>6500</v>
      </c>
      <c r="Q31">
        <f>Table1_2[SL Xuất] - Table1_2[SL Xuất KM]</f>
        <v>30</v>
      </c>
    </row>
    <row r="32" spans="1:17" x14ac:dyDescent="0.25">
      <c r="A32">
        <v>31</v>
      </c>
      <c r="B32" t="s">
        <v>157</v>
      </c>
      <c r="C32" t="s">
        <v>158</v>
      </c>
      <c r="D32" t="s">
        <v>88</v>
      </c>
      <c r="E32">
        <v>240000</v>
      </c>
      <c r="F32">
        <v>0</v>
      </c>
      <c r="G32">
        <v>1</v>
      </c>
      <c r="H32">
        <v>250000</v>
      </c>
      <c r="I32">
        <v>10000</v>
      </c>
      <c r="J32" s="1">
        <v>45176</v>
      </c>
      <c r="K32" t="s">
        <v>154</v>
      </c>
      <c r="L32">
        <v>9</v>
      </c>
      <c r="M32">
        <v>2023</v>
      </c>
      <c r="N32">
        <f t="shared" si="0"/>
        <v>-230000</v>
      </c>
      <c r="O32" s="19">
        <f>IF(Table1_2[Tiền Nhập]&lt;&gt;0, Table1_2[Lợi Nhuận Gộp]/Table1_2[Tiền Nhập], 0)</f>
        <v>-0.95833333333333337</v>
      </c>
      <c r="P32">
        <f>IF(Table1_2[SL Xuất]&gt;0, Table1_2[Tiền Xuất]/Table1_2[SL Xuất], 0)</f>
        <v>250000</v>
      </c>
      <c r="Q32">
        <f>Table1_2[SL Xuất] - Table1_2[SL Xuất KM]</f>
        <v>1</v>
      </c>
    </row>
    <row r="33" spans="1:17" x14ac:dyDescent="0.25">
      <c r="A33">
        <v>32</v>
      </c>
      <c r="B33" t="s">
        <v>161</v>
      </c>
      <c r="C33" t="s">
        <v>162</v>
      </c>
      <c r="D33" t="s">
        <v>88</v>
      </c>
      <c r="E33">
        <v>240000</v>
      </c>
      <c r="F33">
        <v>0</v>
      </c>
      <c r="G33">
        <v>1</v>
      </c>
      <c r="H33">
        <v>250000</v>
      </c>
      <c r="I33">
        <v>10000</v>
      </c>
      <c r="J33" s="1">
        <v>45176</v>
      </c>
      <c r="K33" t="s">
        <v>154</v>
      </c>
      <c r="L33">
        <v>9</v>
      </c>
      <c r="M33">
        <v>2023</v>
      </c>
      <c r="N33">
        <f t="shared" si="0"/>
        <v>-230000</v>
      </c>
      <c r="O33" s="19">
        <f>IF(Table1_2[Tiền Nhập]&lt;&gt;0, Table1_2[Lợi Nhuận Gộp]/Table1_2[Tiền Nhập], 0)</f>
        <v>-0.95833333333333337</v>
      </c>
      <c r="P33">
        <f>IF(Table1_2[SL Xuất]&gt;0, Table1_2[Tiền Xuất]/Table1_2[SL Xuất], 0)</f>
        <v>250000</v>
      </c>
      <c r="Q33">
        <f>Table1_2[SL Xuất] - Table1_2[SL Xuất KM]</f>
        <v>1</v>
      </c>
    </row>
    <row r="34" spans="1:17" x14ac:dyDescent="0.25">
      <c r="A34">
        <v>33</v>
      </c>
      <c r="B34" t="s">
        <v>163</v>
      </c>
      <c r="C34" t="s">
        <v>164</v>
      </c>
      <c r="D34" t="s">
        <v>45</v>
      </c>
      <c r="E34">
        <v>0</v>
      </c>
      <c r="F34">
        <v>0</v>
      </c>
      <c r="G34">
        <v>0</v>
      </c>
      <c r="H34">
        <v>0</v>
      </c>
      <c r="I34">
        <v>0</v>
      </c>
      <c r="J34" s="1">
        <v>45180</v>
      </c>
      <c r="K34" t="s">
        <v>166</v>
      </c>
      <c r="L34">
        <v>9</v>
      </c>
      <c r="M34">
        <v>2023</v>
      </c>
      <c r="N34">
        <f t="shared" si="0"/>
        <v>0</v>
      </c>
      <c r="O34" s="19">
        <f>IF(Table1_2[Tiền Nhập]&lt;&gt;0, Table1_2[Lợi Nhuận Gộp]/Table1_2[Tiền Nhập], 0)</f>
        <v>0</v>
      </c>
      <c r="P34">
        <f>IF(Table1_2[SL Xuất]&gt;0, Table1_2[Tiền Xuất]/Table1_2[SL Xuất], 0)</f>
        <v>0</v>
      </c>
      <c r="Q34">
        <f>Table1_2[SL Xuất] - Table1_2[SL Xuất KM]</f>
        <v>0</v>
      </c>
    </row>
    <row r="35" spans="1:17" x14ac:dyDescent="0.25">
      <c r="A35">
        <v>34</v>
      </c>
      <c r="B35" t="s">
        <v>167</v>
      </c>
      <c r="C35" t="s">
        <v>168</v>
      </c>
      <c r="D35" t="s">
        <v>45</v>
      </c>
      <c r="E35">
        <v>0</v>
      </c>
      <c r="F35">
        <v>0</v>
      </c>
      <c r="G35">
        <v>0</v>
      </c>
      <c r="H35">
        <v>0</v>
      </c>
      <c r="I35">
        <v>0</v>
      </c>
      <c r="J35" s="1">
        <v>45180</v>
      </c>
      <c r="K35" t="s">
        <v>166</v>
      </c>
      <c r="L35">
        <v>9</v>
      </c>
      <c r="M35">
        <v>2023</v>
      </c>
      <c r="N35">
        <f t="shared" si="0"/>
        <v>0</v>
      </c>
      <c r="O35" s="19">
        <f>IF(Table1_2[Tiền Nhập]&lt;&gt;0, Table1_2[Lợi Nhuận Gộp]/Table1_2[Tiền Nhập], 0)</f>
        <v>0</v>
      </c>
      <c r="P35">
        <f>IF(Table1_2[SL Xuất]&gt;0, Table1_2[Tiền Xuất]/Table1_2[SL Xuất], 0)</f>
        <v>0</v>
      </c>
      <c r="Q35">
        <f>Table1_2[SL Xuất] - Table1_2[SL Xuất KM]</f>
        <v>0</v>
      </c>
    </row>
    <row r="36" spans="1:17" x14ac:dyDescent="0.25">
      <c r="A36">
        <v>35</v>
      </c>
      <c r="B36" t="s">
        <v>169</v>
      </c>
      <c r="C36" t="s">
        <v>170</v>
      </c>
      <c r="D36" t="s">
        <v>88</v>
      </c>
      <c r="E36">
        <v>768000</v>
      </c>
      <c r="F36">
        <v>1</v>
      </c>
      <c r="G36">
        <v>4</v>
      </c>
      <c r="H36">
        <v>960000</v>
      </c>
      <c r="I36">
        <v>192000</v>
      </c>
      <c r="J36" s="1">
        <v>45180</v>
      </c>
      <c r="K36" t="s">
        <v>166</v>
      </c>
      <c r="L36">
        <v>9</v>
      </c>
      <c r="M36">
        <v>2023</v>
      </c>
      <c r="N36">
        <f t="shared" si="0"/>
        <v>-576000</v>
      </c>
      <c r="O36" s="19">
        <f>IF(Table1_2[Tiền Nhập]&lt;&gt;0, Table1_2[Lợi Nhuận Gộp]/Table1_2[Tiền Nhập], 0)</f>
        <v>-0.75</v>
      </c>
      <c r="P36">
        <f>IF(Table1_2[SL Xuất]&gt;0, Table1_2[Tiền Xuất]/Table1_2[SL Xuất], 0)</f>
        <v>240000</v>
      </c>
      <c r="Q36">
        <f>Table1_2[SL Xuất] - Table1_2[SL Xuất KM]</f>
        <v>3</v>
      </c>
    </row>
    <row r="37" spans="1:17" x14ac:dyDescent="0.25">
      <c r="A37">
        <v>36</v>
      </c>
      <c r="B37" t="s">
        <v>11</v>
      </c>
      <c r="C37" t="s">
        <v>12</v>
      </c>
      <c r="D37" t="s">
        <v>13</v>
      </c>
      <c r="E37">
        <v>345600</v>
      </c>
      <c r="F37">
        <v>4</v>
      </c>
      <c r="G37">
        <v>48</v>
      </c>
      <c r="H37">
        <v>576000</v>
      </c>
      <c r="I37">
        <v>230400</v>
      </c>
      <c r="J37" s="1">
        <v>45180</v>
      </c>
      <c r="K37" t="s">
        <v>166</v>
      </c>
      <c r="L37">
        <v>9</v>
      </c>
      <c r="M37">
        <v>2023</v>
      </c>
      <c r="N37">
        <f t="shared" si="0"/>
        <v>-115200</v>
      </c>
      <c r="O37" s="19">
        <f>IF(Table1_2[Tiền Nhập]&lt;&gt;0, Table1_2[Lợi Nhuận Gộp]/Table1_2[Tiền Nhập], 0)</f>
        <v>-0.33333333333333331</v>
      </c>
      <c r="P37">
        <f>IF(Table1_2[SL Xuất]&gt;0, Table1_2[Tiền Xuất]/Table1_2[SL Xuất], 0)</f>
        <v>12000</v>
      </c>
      <c r="Q37">
        <f>Table1_2[SL Xuất] - Table1_2[SL Xuất KM]</f>
        <v>44</v>
      </c>
    </row>
    <row r="38" spans="1:17" x14ac:dyDescent="0.25">
      <c r="A38">
        <v>37</v>
      </c>
      <c r="B38" t="s">
        <v>173</v>
      </c>
      <c r="C38" t="s">
        <v>174</v>
      </c>
      <c r="D38" t="s">
        <v>30</v>
      </c>
      <c r="E38">
        <v>0</v>
      </c>
      <c r="F38">
        <v>4</v>
      </c>
      <c r="G38">
        <v>0</v>
      </c>
      <c r="H38">
        <v>-600000</v>
      </c>
      <c r="I38">
        <v>-600000</v>
      </c>
      <c r="J38" s="1">
        <v>45180</v>
      </c>
      <c r="K38" t="s">
        <v>176</v>
      </c>
      <c r="L38">
        <v>9</v>
      </c>
      <c r="M38">
        <v>2023</v>
      </c>
      <c r="N38">
        <f t="shared" si="0"/>
        <v>-600000</v>
      </c>
      <c r="O38" s="19">
        <f>IF(Table1_2[Tiền Nhập]&lt;&gt;0, Table1_2[Lợi Nhuận Gộp]/Table1_2[Tiền Nhập], 0)</f>
        <v>0</v>
      </c>
      <c r="P38">
        <f>IF(Table1_2[SL Xuất]&gt;0, Table1_2[Tiền Xuất]/Table1_2[SL Xuất], 0)</f>
        <v>0</v>
      </c>
      <c r="Q38">
        <f>Table1_2[SL Xuất] - Table1_2[SL Xuất KM]</f>
        <v>-4</v>
      </c>
    </row>
    <row r="39" spans="1:17" x14ac:dyDescent="0.25">
      <c r="A39">
        <v>38</v>
      </c>
      <c r="B39" t="s">
        <v>177</v>
      </c>
      <c r="C39" t="s">
        <v>178</v>
      </c>
      <c r="D39" t="s">
        <v>30</v>
      </c>
      <c r="E39">
        <v>920000</v>
      </c>
      <c r="F39">
        <v>0</v>
      </c>
      <c r="G39">
        <v>8</v>
      </c>
      <c r="H39">
        <v>1800000</v>
      </c>
      <c r="I39">
        <v>880000</v>
      </c>
      <c r="J39" s="1">
        <v>45180</v>
      </c>
      <c r="K39" t="s">
        <v>176</v>
      </c>
      <c r="L39">
        <v>9</v>
      </c>
      <c r="M39">
        <v>2023</v>
      </c>
      <c r="N39">
        <f t="shared" si="0"/>
        <v>-40000</v>
      </c>
      <c r="O39" s="19">
        <f>IF(Table1_2[Tiền Nhập]&lt;&gt;0, Table1_2[Lợi Nhuận Gộp]/Table1_2[Tiền Nhập], 0)</f>
        <v>-4.3478260869565216E-2</v>
      </c>
      <c r="P39">
        <f>IF(Table1_2[SL Xuất]&gt;0, Table1_2[Tiền Xuất]/Table1_2[SL Xuất], 0)</f>
        <v>225000</v>
      </c>
      <c r="Q39">
        <f>Table1_2[SL Xuất] - Table1_2[SL Xuất KM]</f>
        <v>8</v>
      </c>
    </row>
    <row r="40" spans="1:17" x14ac:dyDescent="0.25">
      <c r="A40">
        <v>39</v>
      </c>
      <c r="B40" t="s">
        <v>183</v>
      </c>
      <c r="C40" t="s">
        <v>184</v>
      </c>
      <c r="D40" t="s">
        <v>23</v>
      </c>
      <c r="E40">
        <v>190008</v>
      </c>
      <c r="F40">
        <v>0</v>
      </c>
      <c r="G40">
        <v>12</v>
      </c>
      <c r="H40">
        <v>276000</v>
      </c>
      <c r="I40">
        <v>85992</v>
      </c>
      <c r="J40" s="1">
        <v>45180</v>
      </c>
      <c r="K40" t="s">
        <v>188</v>
      </c>
      <c r="L40">
        <v>9</v>
      </c>
      <c r="M40">
        <v>2023</v>
      </c>
      <c r="N40">
        <f t="shared" si="0"/>
        <v>-104016</v>
      </c>
      <c r="O40" s="19">
        <f>IF(Table1_2[Tiền Nhập]&lt;&gt;0, Table1_2[Lợi Nhuận Gộp]/Table1_2[Tiền Nhập], 0)</f>
        <v>-0.54742958191234048</v>
      </c>
      <c r="P40">
        <f>IF(Table1_2[SL Xuất]&gt;0, Table1_2[Tiền Xuất]/Table1_2[SL Xuất], 0)</f>
        <v>23000</v>
      </c>
      <c r="Q40">
        <f>Table1_2[SL Xuất] - Table1_2[SL Xuất KM]</f>
        <v>12</v>
      </c>
    </row>
    <row r="41" spans="1:17" x14ac:dyDescent="0.25">
      <c r="A41">
        <v>40</v>
      </c>
      <c r="B41" t="s">
        <v>11</v>
      </c>
      <c r="C41" t="s">
        <v>12</v>
      </c>
      <c r="D41" t="s">
        <v>13</v>
      </c>
      <c r="E41">
        <v>345600</v>
      </c>
      <c r="F41">
        <v>4</v>
      </c>
      <c r="G41">
        <v>48</v>
      </c>
      <c r="H41">
        <v>532000</v>
      </c>
      <c r="I41">
        <v>186400</v>
      </c>
      <c r="J41" s="1">
        <v>45180</v>
      </c>
      <c r="K41" t="s">
        <v>191</v>
      </c>
      <c r="L41">
        <v>9</v>
      </c>
      <c r="M41">
        <v>2023</v>
      </c>
      <c r="N41">
        <f t="shared" si="0"/>
        <v>-159200</v>
      </c>
      <c r="O41" s="19">
        <f>IF(Table1_2[Tiền Nhập]&lt;&gt;0, Table1_2[Lợi Nhuận Gộp]/Table1_2[Tiền Nhập], 0)</f>
        <v>-0.46064814814814814</v>
      </c>
      <c r="P41">
        <f>IF(Table1_2[SL Xuất]&gt;0, Table1_2[Tiền Xuất]/Table1_2[SL Xuất], 0)</f>
        <v>11083.333333333334</v>
      </c>
      <c r="Q41">
        <f>Table1_2[SL Xuất] - Table1_2[SL Xuất KM]</f>
        <v>44</v>
      </c>
    </row>
    <row r="42" spans="1:17" x14ac:dyDescent="0.25">
      <c r="A42">
        <v>41</v>
      </c>
      <c r="B42" t="s">
        <v>192</v>
      </c>
      <c r="C42" t="s">
        <v>193</v>
      </c>
      <c r="D42" t="s">
        <v>194</v>
      </c>
      <c r="E42">
        <v>735000</v>
      </c>
      <c r="F42">
        <v>24</v>
      </c>
      <c r="G42">
        <v>120</v>
      </c>
      <c r="H42">
        <v>750000</v>
      </c>
      <c r="I42">
        <v>15000</v>
      </c>
      <c r="J42" s="1">
        <v>45180</v>
      </c>
      <c r="K42" t="s">
        <v>200</v>
      </c>
      <c r="L42">
        <v>9</v>
      </c>
      <c r="M42">
        <v>2023</v>
      </c>
      <c r="N42">
        <f t="shared" si="0"/>
        <v>-720000</v>
      </c>
      <c r="O42" s="19">
        <f>IF(Table1_2[Tiền Nhập]&lt;&gt;0, Table1_2[Lợi Nhuận Gộp]/Table1_2[Tiền Nhập], 0)</f>
        <v>-0.97959183673469385</v>
      </c>
      <c r="P42">
        <f>IF(Table1_2[SL Xuất]&gt;0, Table1_2[Tiền Xuất]/Table1_2[SL Xuất], 0)</f>
        <v>6250</v>
      </c>
      <c r="Q42">
        <f>Table1_2[SL Xuất] - Table1_2[SL Xuất KM]</f>
        <v>96</v>
      </c>
    </row>
    <row r="43" spans="1:17" x14ac:dyDescent="0.25">
      <c r="A43">
        <v>42</v>
      </c>
      <c r="B43" t="s">
        <v>201</v>
      </c>
      <c r="C43" t="s">
        <v>202</v>
      </c>
      <c r="D43" t="s">
        <v>23</v>
      </c>
      <c r="E43">
        <v>90000</v>
      </c>
      <c r="F43">
        <v>2</v>
      </c>
      <c r="G43">
        <v>12</v>
      </c>
      <c r="H43">
        <v>132000</v>
      </c>
      <c r="I43">
        <v>42000</v>
      </c>
      <c r="J43" s="1">
        <v>45180</v>
      </c>
      <c r="K43" t="s">
        <v>206</v>
      </c>
      <c r="L43">
        <v>9</v>
      </c>
      <c r="M43">
        <v>2023</v>
      </c>
      <c r="N43">
        <f t="shared" si="0"/>
        <v>-48000</v>
      </c>
      <c r="O43" s="19">
        <f>IF(Table1_2[Tiền Nhập]&lt;&gt;0, Table1_2[Lợi Nhuận Gộp]/Table1_2[Tiền Nhập], 0)</f>
        <v>-0.53333333333333333</v>
      </c>
      <c r="P43">
        <f>IF(Table1_2[SL Xuất]&gt;0, Table1_2[Tiền Xuất]/Table1_2[SL Xuất], 0)</f>
        <v>11000</v>
      </c>
      <c r="Q43">
        <f>Table1_2[SL Xuất] - Table1_2[SL Xuất KM]</f>
        <v>10</v>
      </c>
    </row>
    <row r="44" spans="1:17" x14ac:dyDescent="0.25">
      <c r="A44">
        <v>43</v>
      </c>
      <c r="B44" t="s">
        <v>207</v>
      </c>
      <c r="C44" t="s">
        <v>208</v>
      </c>
      <c r="D44" t="s">
        <v>23</v>
      </c>
      <c r="E44">
        <v>0</v>
      </c>
      <c r="F44">
        <v>0</v>
      </c>
      <c r="G44">
        <v>0</v>
      </c>
      <c r="H44">
        <v>0</v>
      </c>
      <c r="I44">
        <v>0</v>
      </c>
      <c r="J44" s="1">
        <v>45180</v>
      </c>
      <c r="K44" t="s">
        <v>206</v>
      </c>
      <c r="L44">
        <v>9</v>
      </c>
      <c r="M44">
        <v>2023</v>
      </c>
      <c r="N44">
        <f t="shared" si="0"/>
        <v>0</v>
      </c>
      <c r="O44" s="19">
        <f>IF(Table1_2[Tiền Nhập]&lt;&gt;0, Table1_2[Lợi Nhuận Gộp]/Table1_2[Tiền Nhập], 0)</f>
        <v>0</v>
      </c>
      <c r="P44">
        <f>IF(Table1_2[SL Xuất]&gt;0, Table1_2[Tiền Xuất]/Table1_2[SL Xuất], 0)</f>
        <v>0</v>
      </c>
      <c r="Q44">
        <f>Table1_2[SL Xuất] - Table1_2[SL Xuất KM]</f>
        <v>0</v>
      </c>
    </row>
    <row r="45" spans="1:17" x14ac:dyDescent="0.25">
      <c r="A45">
        <v>44</v>
      </c>
      <c r="B45" t="s">
        <v>209</v>
      </c>
      <c r="C45" t="s">
        <v>210</v>
      </c>
      <c r="D45" t="s">
        <v>149</v>
      </c>
      <c r="E45">
        <v>84000</v>
      </c>
      <c r="F45">
        <v>0</v>
      </c>
      <c r="G45">
        <v>6</v>
      </c>
      <c r="H45">
        <v>84000</v>
      </c>
      <c r="I45">
        <v>0</v>
      </c>
      <c r="J45" s="1">
        <v>45180</v>
      </c>
      <c r="K45" t="s">
        <v>212</v>
      </c>
      <c r="L45">
        <v>9</v>
      </c>
      <c r="M45">
        <v>2023</v>
      </c>
      <c r="N45">
        <f t="shared" si="0"/>
        <v>-84000</v>
      </c>
      <c r="O45" s="19">
        <f>IF(Table1_2[Tiền Nhập]&lt;&gt;0, Table1_2[Lợi Nhuận Gộp]/Table1_2[Tiền Nhập], 0)</f>
        <v>-1</v>
      </c>
      <c r="P45">
        <f>IF(Table1_2[SL Xuất]&gt;0, Table1_2[Tiền Xuất]/Table1_2[SL Xuất], 0)</f>
        <v>14000</v>
      </c>
      <c r="Q45">
        <f>Table1_2[SL Xuất] - Table1_2[SL Xuất KM]</f>
        <v>6</v>
      </c>
    </row>
    <row r="46" spans="1:17" x14ac:dyDescent="0.25">
      <c r="A46">
        <v>45</v>
      </c>
      <c r="B46" t="s">
        <v>213</v>
      </c>
      <c r="C46" t="s">
        <v>214</v>
      </c>
      <c r="D46" t="s">
        <v>45</v>
      </c>
      <c r="E46">
        <v>290000</v>
      </c>
      <c r="F46">
        <v>1</v>
      </c>
      <c r="G46">
        <v>10</v>
      </c>
      <c r="H46">
        <v>355000</v>
      </c>
      <c r="I46">
        <v>65000</v>
      </c>
      <c r="J46" s="1">
        <v>45180</v>
      </c>
      <c r="K46" t="s">
        <v>212</v>
      </c>
      <c r="L46">
        <v>9</v>
      </c>
      <c r="M46">
        <v>2023</v>
      </c>
      <c r="N46">
        <f t="shared" si="0"/>
        <v>-225000</v>
      </c>
      <c r="O46" s="19">
        <f>IF(Table1_2[Tiền Nhập]&lt;&gt;0, Table1_2[Lợi Nhuận Gộp]/Table1_2[Tiền Nhập], 0)</f>
        <v>-0.77586206896551724</v>
      </c>
      <c r="P46">
        <f>IF(Table1_2[SL Xuất]&gt;0, Table1_2[Tiền Xuất]/Table1_2[SL Xuất], 0)</f>
        <v>35500</v>
      </c>
      <c r="Q46">
        <f>Table1_2[SL Xuất] - Table1_2[SL Xuất KM]</f>
        <v>9</v>
      </c>
    </row>
    <row r="47" spans="1:17" x14ac:dyDescent="0.25">
      <c r="A47">
        <v>46</v>
      </c>
      <c r="B47" t="s">
        <v>218</v>
      </c>
      <c r="C47" t="s">
        <v>219</v>
      </c>
      <c r="D47" t="s">
        <v>220</v>
      </c>
      <c r="E47">
        <v>52500</v>
      </c>
      <c r="F47">
        <v>0</v>
      </c>
      <c r="G47">
        <v>2</v>
      </c>
      <c r="H47">
        <v>60000</v>
      </c>
      <c r="I47">
        <v>7500</v>
      </c>
      <c r="J47" s="1">
        <v>45180</v>
      </c>
      <c r="K47" t="s">
        <v>212</v>
      </c>
      <c r="L47">
        <v>9</v>
      </c>
      <c r="M47">
        <v>2023</v>
      </c>
      <c r="N47">
        <f t="shared" si="0"/>
        <v>-45000</v>
      </c>
      <c r="O47" s="19">
        <f>IF(Table1_2[Tiền Nhập]&lt;&gt;0, Table1_2[Lợi Nhuận Gộp]/Table1_2[Tiền Nhập], 0)</f>
        <v>-0.8571428571428571</v>
      </c>
      <c r="P47">
        <f>IF(Table1_2[SL Xuất]&gt;0, Table1_2[Tiền Xuất]/Table1_2[SL Xuất], 0)</f>
        <v>30000</v>
      </c>
      <c r="Q47">
        <f>Table1_2[SL Xuất] - Table1_2[SL Xuất KM]</f>
        <v>2</v>
      </c>
    </row>
    <row r="48" spans="1:17" x14ac:dyDescent="0.25">
      <c r="A48">
        <v>47</v>
      </c>
      <c r="B48" t="s">
        <v>224</v>
      </c>
      <c r="C48" t="s">
        <v>225</v>
      </c>
      <c r="D48" t="s">
        <v>13</v>
      </c>
      <c r="E48">
        <v>120835</v>
      </c>
      <c r="F48">
        <v>0</v>
      </c>
      <c r="G48">
        <v>5</v>
      </c>
      <c r="H48">
        <v>125000</v>
      </c>
      <c r="I48">
        <v>4165</v>
      </c>
      <c r="J48" s="1">
        <v>45180</v>
      </c>
      <c r="K48" t="s">
        <v>212</v>
      </c>
      <c r="L48">
        <v>9</v>
      </c>
      <c r="M48">
        <v>2023</v>
      </c>
      <c r="N48">
        <f t="shared" si="0"/>
        <v>-116670</v>
      </c>
      <c r="O48" s="19">
        <f>IF(Table1_2[Tiền Nhập]&lt;&gt;0, Table1_2[Lợi Nhuận Gộp]/Table1_2[Tiền Nhập], 0)</f>
        <v>-0.96553150991020809</v>
      </c>
      <c r="P48">
        <f>IF(Table1_2[SL Xuất]&gt;0, Table1_2[Tiền Xuất]/Table1_2[SL Xuất], 0)</f>
        <v>25000</v>
      </c>
      <c r="Q48">
        <f>Table1_2[SL Xuất] - Table1_2[SL Xuất KM]</f>
        <v>5</v>
      </c>
    </row>
    <row r="49" spans="1:17" x14ac:dyDescent="0.25">
      <c r="A49">
        <v>48</v>
      </c>
      <c r="B49" t="s">
        <v>111</v>
      </c>
      <c r="C49" t="s">
        <v>112</v>
      </c>
      <c r="D49" t="s">
        <v>13</v>
      </c>
      <c r="E49">
        <v>77000</v>
      </c>
      <c r="F49">
        <v>0</v>
      </c>
      <c r="G49">
        <v>10</v>
      </c>
      <c r="H49">
        <v>100000</v>
      </c>
      <c r="I49">
        <v>23000</v>
      </c>
      <c r="J49" s="1">
        <v>45180</v>
      </c>
      <c r="K49" t="s">
        <v>212</v>
      </c>
      <c r="L49">
        <v>9</v>
      </c>
      <c r="M49">
        <v>2023</v>
      </c>
      <c r="N49">
        <f t="shared" si="0"/>
        <v>-54000</v>
      </c>
      <c r="O49" s="19">
        <f>IF(Table1_2[Tiền Nhập]&lt;&gt;0, Table1_2[Lợi Nhuận Gộp]/Table1_2[Tiền Nhập], 0)</f>
        <v>-0.70129870129870131</v>
      </c>
      <c r="P49">
        <f>IF(Table1_2[SL Xuất]&gt;0, Table1_2[Tiền Xuất]/Table1_2[SL Xuất], 0)</f>
        <v>10000</v>
      </c>
      <c r="Q49">
        <f>Table1_2[SL Xuất] - Table1_2[SL Xuất KM]</f>
        <v>10</v>
      </c>
    </row>
    <row r="50" spans="1:17" x14ac:dyDescent="0.25">
      <c r="A50">
        <v>49</v>
      </c>
      <c r="B50" t="s">
        <v>229</v>
      </c>
      <c r="C50" t="s">
        <v>230</v>
      </c>
      <c r="D50" t="s">
        <v>23</v>
      </c>
      <c r="E50">
        <v>59000</v>
      </c>
      <c r="F50">
        <v>0</v>
      </c>
      <c r="G50">
        <v>2</v>
      </c>
      <c r="H50">
        <v>80000</v>
      </c>
      <c r="I50">
        <v>21000</v>
      </c>
      <c r="J50" s="1">
        <v>45180</v>
      </c>
      <c r="K50" t="s">
        <v>212</v>
      </c>
      <c r="L50">
        <v>9</v>
      </c>
      <c r="M50">
        <v>2023</v>
      </c>
      <c r="N50">
        <f t="shared" si="0"/>
        <v>-38000</v>
      </c>
      <c r="O50" s="19">
        <f>IF(Table1_2[Tiền Nhập]&lt;&gt;0, Table1_2[Lợi Nhuận Gộp]/Table1_2[Tiền Nhập], 0)</f>
        <v>-0.64406779661016944</v>
      </c>
      <c r="P50">
        <f>IF(Table1_2[SL Xuất]&gt;0, Table1_2[Tiền Xuất]/Table1_2[SL Xuất], 0)</f>
        <v>40000</v>
      </c>
      <c r="Q50">
        <f>Table1_2[SL Xuất] - Table1_2[SL Xuất KM]</f>
        <v>2</v>
      </c>
    </row>
    <row r="51" spans="1:17" x14ac:dyDescent="0.25">
      <c r="A51">
        <v>50</v>
      </c>
      <c r="B51" t="s">
        <v>234</v>
      </c>
      <c r="C51" t="s">
        <v>235</v>
      </c>
      <c r="D51" t="s">
        <v>88</v>
      </c>
      <c r="E51">
        <v>388512</v>
      </c>
      <c r="F51">
        <v>6</v>
      </c>
      <c r="G51">
        <v>24</v>
      </c>
      <c r="H51">
        <v>384000</v>
      </c>
      <c r="I51">
        <v>-4512</v>
      </c>
      <c r="J51" s="1">
        <v>45180</v>
      </c>
      <c r="K51" t="s">
        <v>239</v>
      </c>
      <c r="L51">
        <v>9</v>
      </c>
      <c r="M51">
        <v>2023</v>
      </c>
      <c r="N51">
        <f t="shared" si="0"/>
        <v>-393024</v>
      </c>
      <c r="O51" s="19">
        <f>IF(Table1_2[Tiền Nhập]&lt;&gt;0, Table1_2[Lợi Nhuận Gộp]/Table1_2[Tiền Nhập], 0)</f>
        <v>-1.0116135408944897</v>
      </c>
      <c r="P51">
        <f>IF(Table1_2[SL Xuất]&gt;0, Table1_2[Tiền Xuất]/Table1_2[SL Xuất], 0)</f>
        <v>16000</v>
      </c>
      <c r="Q51">
        <f>Table1_2[SL Xuất] - Table1_2[SL Xuất KM]</f>
        <v>18</v>
      </c>
    </row>
    <row r="52" spans="1:17" x14ac:dyDescent="0.25">
      <c r="A52">
        <v>51</v>
      </c>
      <c r="B52" t="s">
        <v>240</v>
      </c>
      <c r="C52" t="s">
        <v>241</v>
      </c>
      <c r="D52" t="s">
        <v>88</v>
      </c>
      <c r="E52">
        <v>178500</v>
      </c>
      <c r="F52">
        <v>0</v>
      </c>
      <c r="G52">
        <v>12</v>
      </c>
      <c r="H52">
        <v>216000</v>
      </c>
      <c r="I52">
        <v>37500</v>
      </c>
      <c r="J52" s="1">
        <v>45180</v>
      </c>
      <c r="K52" t="s">
        <v>239</v>
      </c>
      <c r="L52">
        <v>9</v>
      </c>
      <c r="M52">
        <v>2023</v>
      </c>
      <c r="N52">
        <f t="shared" si="0"/>
        <v>-141000</v>
      </c>
      <c r="O52" s="19">
        <f>IF(Table1_2[Tiền Nhập]&lt;&gt;0, Table1_2[Lợi Nhuận Gộp]/Table1_2[Tiền Nhập], 0)</f>
        <v>-0.78991596638655459</v>
      </c>
      <c r="P52">
        <f>IF(Table1_2[SL Xuất]&gt;0, Table1_2[Tiền Xuất]/Table1_2[SL Xuất], 0)</f>
        <v>18000</v>
      </c>
      <c r="Q52">
        <f>Table1_2[SL Xuất] - Table1_2[SL Xuất KM]</f>
        <v>12</v>
      </c>
    </row>
    <row r="53" spans="1:17" x14ac:dyDescent="0.25">
      <c r="A53">
        <v>52</v>
      </c>
      <c r="B53" t="s">
        <v>245</v>
      </c>
      <c r="C53" t="s">
        <v>246</v>
      </c>
      <c r="D53" t="s">
        <v>88</v>
      </c>
      <c r="E53">
        <v>0</v>
      </c>
      <c r="F53">
        <v>1</v>
      </c>
      <c r="G53">
        <v>0</v>
      </c>
      <c r="H53">
        <v>0</v>
      </c>
      <c r="I53">
        <v>0</v>
      </c>
      <c r="J53" s="1">
        <v>45180</v>
      </c>
      <c r="K53" t="s">
        <v>247</v>
      </c>
      <c r="L53">
        <v>9</v>
      </c>
      <c r="M53">
        <v>2023</v>
      </c>
      <c r="N53">
        <f t="shared" si="0"/>
        <v>0</v>
      </c>
      <c r="O53" s="19">
        <f>IF(Table1_2[Tiền Nhập]&lt;&gt;0, Table1_2[Lợi Nhuận Gộp]/Table1_2[Tiền Nhập], 0)</f>
        <v>0</v>
      </c>
      <c r="P53">
        <f>IF(Table1_2[SL Xuất]&gt;0, Table1_2[Tiền Xuất]/Table1_2[SL Xuất], 0)</f>
        <v>0</v>
      </c>
      <c r="Q53">
        <f>Table1_2[SL Xuất] - Table1_2[SL Xuất KM]</f>
        <v>-1</v>
      </c>
    </row>
    <row r="54" spans="1:17" x14ac:dyDescent="0.25">
      <c r="A54">
        <v>53</v>
      </c>
      <c r="B54" t="s">
        <v>248</v>
      </c>
      <c r="C54" t="s">
        <v>249</v>
      </c>
      <c r="D54" t="s">
        <v>250</v>
      </c>
      <c r="E54">
        <v>0</v>
      </c>
      <c r="F54">
        <v>0</v>
      </c>
      <c r="G54">
        <v>0</v>
      </c>
      <c r="H54">
        <v>0</v>
      </c>
      <c r="I54">
        <v>0</v>
      </c>
      <c r="J54" s="1">
        <v>45180</v>
      </c>
      <c r="K54" t="s">
        <v>247</v>
      </c>
      <c r="L54">
        <v>9</v>
      </c>
      <c r="M54">
        <v>2023</v>
      </c>
      <c r="N54">
        <f t="shared" si="0"/>
        <v>0</v>
      </c>
      <c r="O54" s="19">
        <f>IF(Table1_2[Tiền Nhập]&lt;&gt;0, Table1_2[Lợi Nhuận Gộp]/Table1_2[Tiền Nhập], 0)</f>
        <v>0</v>
      </c>
      <c r="P54">
        <f>IF(Table1_2[SL Xuất]&gt;0, Table1_2[Tiền Xuất]/Table1_2[SL Xuất], 0)</f>
        <v>0</v>
      </c>
      <c r="Q54">
        <f>Table1_2[SL Xuất] - Table1_2[SL Xuất KM]</f>
        <v>0</v>
      </c>
    </row>
    <row r="55" spans="1:17" x14ac:dyDescent="0.25">
      <c r="A55">
        <v>54</v>
      </c>
      <c r="B55" t="s">
        <v>251</v>
      </c>
      <c r="C55" t="s">
        <v>252</v>
      </c>
      <c r="D55" t="s">
        <v>88</v>
      </c>
      <c r="E55">
        <v>95000</v>
      </c>
      <c r="F55">
        <v>0</v>
      </c>
      <c r="G55">
        <v>1</v>
      </c>
      <c r="H55">
        <v>218000</v>
      </c>
      <c r="I55">
        <v>123000</v>
      </c>
      <c r="J55" s="1">
        <v>45180</v>
      </c>
      <c r="K55" t="s">
        <v>247</v>
      </c>
      <c r="L55">
        <v>9</v>
      </c>
      <c r="M55">
        <v>2023</v>
      </c>
      <c r="N55">
        <f t="shared" si="0"/>
        <v>28000</v>
      </c>
      <c r="O55" s="19">
        <f>IF(Table1_2[Tiền Nhập]&lt;&gt;0, Table1_2[Lợi Nhuận Gộp]/Table1_2[Tiền Nhập], 0)</f>
        <v>0.29473684210526313</v>
      </c>
      <c r="P55">
        <f>IF(Table1_2[SL Xuất]&gt;0, Table1_2[Tiền Xuất]/Table1_2[SL Xuất], 0)</f>
        <v>218000</v>
      </c>
      <c r="Q55">
        <f>Table1_2[SL Xuất] - Table1_2[SL Xuất KM]</f>
        <v>1</v>
      </c>
    </row>
    <row r="56" spans="1:17" x14ac:dyDescent="0.25">
      <c r="A56">
        <v>55</v>
      </c>
      <c r="B56" t="s">
        <v>256</v>
      </c>
      <c r="C56" t="s">
        <v>257</v>
      </c>
      <c r="D56" t="s">
        <v>88</v>
      </c>
      <c r="E56">
        <v>100000</v>
      </c>
      <c r="F56">
        <v>1</v>
      </c>
      <c r="G56">
        <v>1</v>
      </c>
      <c r="H56">
        <v>218000</v>
      </c>
      <c r="I56">
        <v>118000</v>
      </c>
      <c r="J56" s="1">
        <v>45180</v>
      </c>
      <c r="K56" t="s">
        <v>247</v>
      </c>
      <c r="L56">
        <v>9</v>
      </c>
      <c r="M56">
        <v>2023</v>
      </c>
      <c r="N56">
        <f t="shared" si="0"/>
        <v>18000</v>
      </c>
      <c r="O56" s="19">
        <f>IF(Table1_2[Tiền Nhập]&lt;&gt;0, Table1_2[Lợi Nhuận Gộp]/Table1_2[Tiền Nhập], 0)</f>
        <v>0.18</v>
      </c>
      <c r="P56">
        <f>IF(Table1_2[SL Xuất]&gt;0, Table1_2[Tiền Xuất]/Table1_2[SL Xuất], 0)</f>
        <v>218000</v>
      </c>
      <c r="Q56">
        <f>Table1_2[SL Xuất] - Table1_2[SL Xuất KM]</f>
        <v>0</v>
      </c>
    </row>
    <row r="57" spans="1:17" x14ac:dyDescent="0.25">
      <c r="A57">
        <v>56</v>
      </c>
      <c r="B57" t="s">
        <v>259</v>
      </c>
      <c r="C57" t="s">
        <v>260</v>
      </c>
      <c r="D57" t="s">
        <v>88</v>
      </c>
      <c r="E57">
        <v>100000</v>
      </c>
      <c r="F57">
        <v>0</v>
      </c>
      <c r="G57">
        <v>1</v>
      </c>
      <c r="H57">
        <v>218000</v>
      </c>
      <c r="I57">
        <v>118000</v>
      </c>
      <c r="J57" s="1">
        <v>45180</v>
      </c>
      <c r="K57" t="s">
        <v>247</v>
      </c>
      <c r="L57">
        <v>9</v>
      </c>
      <c r="M57">
        <v>2023</v>
      </c>
      <c r="N57">
        <f t="shared" si="0"/>
        <v>18000</v>
      </c>
      <c r="O57" s="19">
        <f>IF(Table1_2[Tiền Nhập]&lt;&gt;0, Table1_2[Lợi Nhuận Gộp]/Table1_2[Tiền Nhập], 0)</f>
        <v>0.18</v>
      </c>
      <c r="P57">
        <f>IF(Table1_2[SL Xuất]&gt;0, Table1_2[Tiền Xuất]/Table1_2[SL Xuất], 0)</f>
        <v>218000</v>
      </c>
      <c r="Q57">
        <f>Table1_2[SL Xuất] - Table1_2[SL Xuất KM]</f>
        <v>1</v>
      </c>
    </row>
    <row r="58" spans="1:17" x14ac:dyDescent="0.25">
      <c r="A58">
        <v>57</v>
      </c>
      <c r="B58" t="s">
        <v>261</v>
      </c>
      <c r="C58" t="s">
        <v>262</v>
      </c>
      <c r="D58" t="s">
        <v>88</v>
      </c>
      <c r="E58">
        <v>100000</v>
      </c>
      <c r="F58">
        <v>0</v>
      </c>
      <c r="G58">
        <v>1</v>
      </c>
      <c r="H58">
        <v>218000</v>
      </c>
      <c r="I58">
        <v>118000</v>
      </c>
      <c r="J58" s="1">
        <v>45180</v>
      </c>
      <c r="K58" t="s">
        <v>247</v>
      </c>
      <c r="L58">
        <v>9</v>
      </c>
      <c r="M58">
        <v>2023</v>
      </c>
      <c r="N58">
        <f t="shared" si="0"/>
        <v>18000</v>
      </c>
      <c r="O58" s="19">
        <f>IF(Table1_2[Tiền Nhập]&lt;&gt;0, Table1_2[Lợi Nhuận Gộp]/Table1_2[Tiền Nhập], 0)</f>
        <v>0.18</v>
      </c>
      <c r="P58">
        <f>IF(Table1_2[SL Xuất]&gt;0, Table1_2[Tiền Xuất]/Table1_2[SL Xuất], 0)</f>
        <v>218000</v>
      </c>
      <c r="Q58">
        <f>Table1_2[SL Xuất] - Table1_2[SL Xuất KM]</f>
        <v>1</v>
      </c>
    </row>
    <row r="59" spans="1:17" x14ac:dyDescent="0.25">
      <c r="A59">
        <v>58</v>
      </c>
      <c r="B59" t="s">
        <v>55</v>
      </c>
      <c r="C59" t="s">
        <v>56</v>
      </c>
      <c r="D59" t="s">
        <v>13</v>
      </c>
      <c r="E59">
        <v>102000</v>
      </c>
      <c r="F59">
        <v>0</v>
      </c>
      <c r="G59">
        <v>6</v>
      </c>
      <c r="H59">
        <v>144000</v>
      </c>
      <c r="I59">
        <v>42000</v>
      </c>
      <c r="J59" s="1">
        <v>45180</v>
      </c>
      <c r="K59" t="s">
        <v>247</v>
      </c>
      <c r="L59">
        <v>9</v>
      </c>
      <c r="M59">
        <v>2023</v>
      </c>
      <c r="N59">
        <f t="shared" si="0"/>
        <v>-60000</v>
      </c>
      <c r="O59" s="19">
        <f>IF(Table1_2[Tiền Nhập]&lt;&gt;0, Table1_2[Lợi Nhuận Gộp]/Table1_2[Tiền Nhập], 0)</f>
        <v>-0.58823529411764708</v>
      </c>
      <c r="P59">
        <f>IF(Table1_2[SL Xuất]&gt;0, Table1_2[Tiền Xuất]/Table1_2[SL Xuất], 0)</f>
        <v>24000</v>
      </c>
      <c r="Q59">
        <f>Table1_2[SL Xuất] - Table1_2[SL Xuất KM]</f>
        <v>6</v>
      </c>
    </row>
    <row r="60" spans="1:17" x14ac:dyDescent="0.25">
      <c r="A60">
        <v>59</v>
      </c>
      <c r="B60" t="s">
        <v>128</v>
      </c>
      <c r="C60" t="s">
        <v>129</v>
      </c>
      <c r="D60" t="s">
        <v>13</v>
      </c>
      <c r="E60">
        <v>285000</v>
      </c>
      <c r="F60">
        <v>0</v>
      </c>
      <c r="G60">
        <v>30</v>
      </c>
      <c r="H60">
        <v>420000</v>
      </c>
      <c r="I60">
        <v>135000</v>
      </c>
      <c r="J60" s="1">
        <v>45180</v>
      </c>
      <c r="K60" t="s">
        <v>268</v>
      </c>
      <c r="L60">
        <v>9</v>
      </c>
      <c r="M60">
        <v>2023</v>
      </c>
      <c r="N60">
        <f t="shared" si="0"/>
        <v>-150000</v>
      </c>
      <c r="O60" s="19">
        <f>IF(Table1_2[Tiền Nhập]&lt;&gt;0, Table1_2[Lợi Nhuận Gộp]/Table1_2[Tiền Nhập], 0)</f>
        <v>-0.52631578947368418</v>
      </c>
      <c r="P60">
        <f>IF(Table1_2[SL Xuất]&gt;0, Table1_2[Tiền Xuất]/Table1_2[SL Xuất], 0)</f>
        <v>14000</v>
      </c>
      <c r="Q60">
        <f>Table1_2[SL Xuất] - Table1_2[SL Xuất KM]</f>
        <v>30</v>
      </c>
    </row>
    <row r="61" spans="1:17" x14ac:dyDescent="0.25">
      <c r="A61">
        <v>60</v>
      </c>
      <c r="B61" t="s">
        <v>269</v>
      </c>
      <c r="C61" t="s">
        <v>270</v>
      </c>
      <c r="D61" t="s">
        <v>13</v>
      </c>
      <c r="E61">
        <v>80000</v>
      </c>
      <c r="F61">
        <v>0</v>
      </c>
      <c r="G61">
        <v>20</v>
      </c>
      <c r="H61">
        <v>130000</v>
      </c>
      <c r="I61">
        <v>50000</v>
      </c>
      <c r="J61" s="1">
        <v>45180</v>
      </c>
      <c r="K61" t="s">
        <v>268</v>
      </c>
      <c r="L61">
        <v>9</v>
      </c>
      <c r="M61">
        <v>2023</v>
      </c>
      <c r="N61">
        <f t="shared" si="0"/>
        <v>-30000</v>
      </c>
      <c r="O61" s="19">
        <f>IF(Table1_2[Tiền Nhập]&lt;&gt;0, Table1_2[Lợi Nhuận Gộp]/Table1_2[Tiền Nhập], 0)</f>
        <v>-0.375</v>
      </c>
      <c r="P61">
        <f>IF(Table1_2[SL Xuất]&gt;0, Table1_2[Tiền Xuất]/Table1_2[SL Xuất], 0)</f>
        <v>6500</v>
      </c>
      <c r="Q61">
        <f>Table1_2[SL Xuất] - Table1_2[SL Xuất KM]</f>
        <v>20</v>
      </c>
    </row>
    <row r="62" spans="1:17" x14ac:dyDescent="0.25">
      <c r="A62">
        <v>61</v>
      </c>
      <c r="B62" t="s">
        <v>273</v>
      </c>
      <c r="C62" t="s">
        <v>274</v>
      </c>
      <c r="D62" t="s">
        <v>13</v>
      </c>
      <c r="E62">
        <v>270000</v>
      </c>
      <c r="F62">
        <v>0</v>
      </c>
      <c r="G62">
        <v>40</v>
      </c>
      <c r="H62">
        <v>300000</v>
      </c>
      <c r="I62">
        <v>30000</v>
      </c>
      <c r="J62" s="1">
        <v>45180</v>
      </c>
      <c r="K62" t="s">
        <v>268</v>
      </c>
      <c r="L62">
        <v>9</v>
      </c>
      <c r="M62">
        <v>2023</v>
      </c>
      <c r="N62">
        <f t="shared" si="0"/>
        <v>-240000</v>
      </c>
      <c r="O62" s="19">
        <f>IF(Table1_2[Tiền Nhập]&lt;&gt;0, Table1_2[Lợi Nhuận Gộp]/Table1_2[Tiền Nhập], 0)</f>
        <v>-0.88888888888888884</v>
      </c>
      <c r="P62">
        <f>IF(Table1_2[SL Xuất]&gt;0, Table1_2[Tiền Xuất]/Table1_2[SL Xuất], 0)</f>
        <v>7500</v>
      </c>
      <c r="Q62">
        <f>Table1_2[SL Xuất] - Table1_2[SL Xuất KM]</f>
        <v>40</v>
      </c>
    </row>
    <row r="63" spans="1:17" x14ac:dyDescent="0.25">
      <c r="A63">
        <v>62</v>
      </c>
      <c r="B63" t="s">
        <v>207</v>
      </c>
      <c r="C63" t="s">
        <v>208</v>
      </c>
      <c r="D63" t="s">
        <v>23</v>
      </c>
      <c r="E63">
        <v>90000</v>
      </c>
      <c r="F63">
        <v>0</v>
      </c>
      <c r="G63">
        <v>6</v>
      </c>
      <c r="H63">
        <v>144000</v>
      </c>
      <c r="I63">
        <v>54000</v>
      </c>
      <c r="J63" s="1">
        <v>45180</v>
      </c>
      <c r="K63" t="s">
        <v>278</v>
      </c>
      <c r="L63">
        <v>9</v>
      </c>
      <c r="M63">
        <v>2023</v>
      </c>
      <c r="N63">
        <f t="shared" si="0"/>
        <v>-36000</v>
      </c>
      <c r="O63" s="19">
        <f>IF(Table1_2[Tiền Nhập]&lt;&gt;0, Table1_2[Lợi Nhuận Gộp]/Table1_2[Tiền Nhập], 0)</f>
        <v>-0.4</v>
      </c>
      <c r="P63">
        <f>IF(Table1_2[SL Xuất]&gt;0, Table1_2[Tiền Xuất]/Table1_2[SL Xuất], 0)</f>
        <v>24000</v>
      </c>
      <c r="Q63">
        <f>Table1_2[SL Xuất] - Table1_2[SL Xuất KM]</f>
        <v>6</v>
      </c>
    </row>
    <row r="64" spans="1:17" x14ac:dyDescent="0.25">
      <c r="A64">
        <v>63</v>
      </c>
      <c r="B64" t="s">
        <v>147</v>
      </c>
      <c r="C64" t="s">
        <v>148</v>
      </c>
      <c r="D64" t="s">
        <v>149</v>
      </c>
      <c r="E64">
        <v>0</v>
      </c>
      <c r="F64">
        <v>0</v>
      </c>
      <c r="G64">
        <v>0</v>
      </c>
      <c r="H64">
        <v>0</v>
      </c>
      <c r="I64">
        <v>0</v>
      </c>
      <c r="J64" s="1">
        <v>45181</v>
      </c>
      <c r="K64" t="s">
        <v>280</v>
      </c>
      <c r="L64">
        <v>9</v>
      </c>
      <c r="M64">
        <v>2023</v>
      </c>
      <c r="N64">
        <f t="shared" si="0"/>
        <v>0</v>
      </c>
      <c r="O64" s="19">
        <f>IF(Table1_2[Tiền Nhập]&lt;&gt;0, Table1_2[Lợi Nhuận Gộp]/Table1_2[Tiền Nhập], 0)</f>
        <v>0</v>
      </c>
      <c r="P64">
        <f>IF(Table1_2[SL Xuất]&gt;0, Table1_2[Tiền Xuất]/Table1_2[SL Xuất], 0)</f>
        <v>0</v>
      </c>
      <c r="Q64">
        <f>Table1_2[SL Xuất] - Table1_2[SL Xuất KM]</f>
        <v>0</v>
      </c>
    </row>
    <row r="65" spans="1:17" x14ac:dyDescent="0.25">
      <c r="A65">
        <v>64</v>
      </c>
      <c r="B65" t="s">
        <v>155</v>
      </c>
      <c r="C65" t="s">
        <v>156</v>
      </c>
      <c r="D65" t="s">
        <v>149</v>
      </c>
      <c r="E65">
        <v>0</v>
      </c>
      <c r="F65">
        <v>0</v>
      </c>
      <c r="G65">
        <v>0</v>
      </c>
      <c r="H65">
        <v>0</v>
      </c>
      <c r="I65">
        <v>0</v>
      </c>
      <c r="J65" s="1">
        <v>45181</v>
      </c>
      <c r="K65" t="s">
        <v>280</v>
      </c>
      <c r="L65">
        <v>9</v>
      </c>
      <c r="M65">
        <v>2023</v>
      </c>
      <c r="N65">
        <f t="shared" si="0"/>
        <v>0</v>
      </c>
      <c r="O65" s="19">
        <f>IF(Table1_2[Tiền Nhập]&lt;&gt;0, Table1_2[Lợi Nhuận Gộp]/Table1_2[Tiền Nhập], 0)</f>
        <v>0</v>
      </c>
      <c r="P65">
        <f>IF(Table1_2[SL Xuất]&gt;0, Table1_2[Tiền Xuất]/Table1_2[SL Xuất], 0)</f>
        <v>0</v>
      </c>
      <c r="Q65">
        <f>Table1_2[SL Xuất] - Table1_2[SL Xuất KM]</f>
        <v>0</v>
      </c>
    </row>
    <row r="66" spans="1:17" x14ac:dyDescent="0.25">
      <c r="A66">
        <v>65</v>
      </c>
      <c r="B66" t="s">
        <v>281</v>
      </c>
      <c r="C66" t="s">
        <v>282</v>
      </c>
      <c r="D66" t="s">
        <v>85</v>
      </c>
      <c r="E66">
        <v>0</v>
      </c>
      <c r="F66">
        <v>0</v>
      </c>
      <c r="G66">
        <v>0</v>
      </c>
      <c r="H66">
        <v>0</v>
      </c>
      <c r="I66">
        <v>0</v>
      </c>
      <c r="J66" s="1">
        <v>45181</v>
      </c>
      <c r="K66" t="s">
        <v>280</v>
      </c>
      <c r="L66">
        <v>9</v>
      </c>
      <c r="M66">
        <v>2023</v>
      </c>
      <c r="N66">
        <f t="shared" ref="N66:N129" si="1">I66-E66</f>
        <v>0</v>
      </c>
      <c r="O66" s="19">
        <f>IF(Table1_2[Tiền Nhập]&lt;&gt;0, Table1_2[Lợi Nhuận Gộp]/Table1_2[Tiền Nhập], 0)</f>
        <v>0</v>
      </c>
      <c r="P66">
        <f>IF(Table1_2[SL Xuất]&gt;0, Table1_2[Tiền Xuất]/Table1_2[SL Xuất], 0)</f>
        <v>0</v>
      </c>
      <c r="Q66">
        <f>Table1_2[SL Xuất] - Table1_2[SL Xuất KM]</f>
        <v>0</v>
      </c>
    </row>
    <row r="67" spans="1:17" x14ac:dyDescent="0.25">
      <c r="A67">
        <v>66</v>
      </c>
      <c r="B67" t="s">
        <v>55</v>
      </c>
      <c r="C67" t="s">
        <v>56</v>
      </c>
      <c r="D67" t="s">
        <v>13</v>
      </c>
      <c r="E67">
        <v>340000</v>
      </c>
      <c r="F67">
        <v>0</v>
      </c>
      <c r="G67">
        <v>20</v>
      </c>
      <c r="H67">
        <v>500000</v>
      </c>
      <c r="I67">
        <v>160000</v>
      </c>
      <c r="J67" s="1">
        <v>45181</v>
      </c>
      <c r="K67" t="s">
        <v>285</v>
      </c>
      <c r="L67">
        <v>9</v>
      </c>
      <c r="M67">
        <v>2023</v>
      </c>
      <c r="N67">
        <f t="shared" si="1"/>
        <v>-180000</v>
      </c>
      <c r="O67" s="19">
        <f>IF(Table1_2[Tiền Nhập]&lt;&gt;0, Table1_2[Lợi Nhuận Gộp]/Table1_2[Tiền Nhập], 0)</f>
        <v>-0.52941176470588236</v>
      </c>
      <c r="P67">
        <f>IF(Table1_2[SL Xuất]&gt;0, Table1_2[Tiền Xuất]/Table1_2[SL Xuất], 0)</f>
        <v>25000</v>
      </c>
      <c r="Q67">
        <f>Table1_2[SL Xuất] - Table1_2[SL Xuất KM]</f>
        <v>20</v>
      </c>
    </row>
    <row r="68" spans="1:17" x14ac:dyDescent="0.25">
      <c r="A68">
        <v>67</v>
      </c>
      <c r="B68" t="s">
        <v>281</v>
      </c>
      <c r="C68" t="s">
        <v>282</v>
      </c>
      <c r="D68" t="s">
        <v>85</v>
      </c>
      <c r="E68">
        <v>0</v>
      </c>
      <c r="F68">
        <v>0</v>
      </c>
      <c r="G68">
        <v>0</v>
      </c>
      <c r="H68">
        <v>0</v>
      </c>
      <c r="I68">
        <v>0</v>
      </c>
      <c r="J68" s="1">
        <v>45181</v>
      </c>
      <c r="K68" t="s">
        <v>286</v>
      </c>
      <c r="L68">
        <v>9</v>
      </c>
      <c r="M68">
        <v>2023</v>
      </c>
      <c r="N68">
        <f t="shared" si="1"/>
        <v>0</v>
      </c>
      <c r="O68" s="19">
        <f>IF(Table1_2[Tiền Nhập]&lt;&gt;0, Table1_2[Lợi Nhuận Gộp]/Table1_2[Tiền Nhập], 0)</f>
        <v>0</v>
      </c>
      <c r="P68">
        <f>IF(Table1_2[SL Xuất]&gt;0, Table1_2[Tiền Xuất]/Table1_2[SL Xuất], 0)</f>
        <v>0</v>
      </c>
      <c r="Q68">
        <f>Table1_2[SL Xuất] - Table1_2[SL Xuất KM]</f>
        <v>0</v>
      </c>
    </row>
    <row r="69" spans="1:17" x14ac:dyDescent="0.25">
      <c r="A69">
        <v>68</v>
      </c>
      <c r="B69" t="s">
        <v>287</v>
      </c>
      <c r="C69" t="s">
        <v>288</v>
      </c>
      <c r="D69" t="s">
        <v>88</v>
      </c>
      <c r="E69">
        <v>43500</v>
      </c>
      <c r="F69">
        <v>0</v>
      </c>
      <c r="G69">
        <v>3</v>
      </c>
      <c r="H69">
        <v>42000</v>
      </c>
      <c r="I69">
        <v>-1500</v>
      </c>
      <c r="J69" s="1">
        <v>45181</v>
      </c>
      <c r="K69" t="s">
        <v>286</v>
      </c>
      <c r="L69">
        <v>9</v>
      </c>
      <c r="M69">
        <v>2023</v>
      </c>
      <c r="N69">
        <f t="shared" si="1"/>
        <v>-45000</v>
      </c>
      <c r="O69" s="19">
        <f>IF(Table1_2[Tiền Nhập]&lt;&gt;0, Table1_2[Lợi Nhuận Gộp]/Table1_2[Tiền Nhập], 0)</f>
        <v>-1.0344827586206897</v>
      </c>
      <c r="P69">
        <f>IF(Table1_2[SL Xuất]&gt;0, Table1_2[Tiền Xuất]/Table1_2[SL Xuất], 0)</f>
        <v>14000</v>
      </c>
      <c r="Q69">
        <f>Table1_2[SL Xuất] - Table1_2[SL Xuất KM]</f>
        <v>3</v>
      </c>
    </row>
    <row r="70" spans="1:17" x14ac:dyDescent="0.25">
      <c r="A70">
        <v>69</v>
      </c>
      <c r="B70" t="s">
        <v>292</v>
      </c>
      <c r="C70" t="s">
        <v>293</v>
      </c>
      <c r="D70" t="s">
        <v>88</v>
      </c>
      <c r="E70">
        <v>58000</v>
      </c>
      <c r="F70">
        <v>0</v>
      </c>
      <c r="G70">
        <v>4</v>
      </c>
      <c r="H70">
        <v>56000</v>
      </c>
      <c r="I70">
        <v>-2000</v>
      </c>
      <c r="J70" s="1">
        <v>45181</v>
      </c>
      <c r="K70" t="s">
        <v>286</v>
      </c>
      <c r="L70">
        <v>9</v>
      </c>
      <c r="M70">
        <v>2023</v>
      </c>
      <c r="N70">
        <f t="shared" si="1"/>
        <v>-60000</v>
      </c>
      <c r="O70" s="19">
        <f>IF(Table1_2[Tiền Nhập]&lt;&gt;0, Table1_2[Lợi Nhuận Gộp]/Table1_2[Tiền Nhập], 0)</f>
        <v>-1.0344827586206897</v>
      </c>
      <c r="P70">
        <f>IF(Table1_2[SL Xuất]&gt;0, Table1_2[Tiền Xuất]/Table1_2[SL Xuất], 0)</f>
        <v>14000</v>
      </c>
      <c r="Q70">
        <f>Table1_2[SL Xuất] - Table1_2[SL Xuất KM]</f>
        <v>4</v>
      </c>
    </row>
    <row r="71" spans="1:17" x14ac:dyDescent="0.25">
      <c r="A71">
        <v>70</v>
      </c>
      <c r="B71" t="s">
        <v>297</v>
      </c>
      <c r="C71" t="s">
        <v>298</v>
      </c>
      <c r="D71" t="s">
        <v>88</v>
      </c>
      <c r="E71">
        <v>43500</v>
      </c>
      <c r="F71">
        <v>0</v>
      </c>
      <c r="G71">
        <v>3</v>
      </c>
      <c r="H71">
        <v>42000</v>
      </c>
      <c r="I71">
        <v>-1500</v>
      </c>
      <c r="J71" s="1">
        <v>45181</v>
      </c>
      <c r="K71" t="s">
        <v>286</v>
      </c>
      <c r="L71">
        <v>9</v>
      </c>
      <c r="M71">
        <v>2023</v>
      </c>
      <c r="N71">
        <f t="shared" si="1"/>
        <v>-45000</v>
      </c>
      <c r="O71" s="19">
        <f>IF(Table1_2[Tiền Nhập]&lt;&gt;0, Table1_2[Lợi Nhuận Gộp]/Table1_2[Tiền Nhập], 0)</f>
        <v>-1.0344827586206897</v>
      </c>
      <c r="P71">
        <f>IF(Table1_2[SL Xuất]&gt;0, Table1_2[Tiền Xuất]/Table1_2[SL Xuất], 0)</f>
        <v>14000</v>
      </c>
      <c r="Q71">
        <f>Table1_2[SL Xuất] - Table1_2[SL Xuất KM]</f>
        <v>3</v>
      </c>
    </row>
    <row r="72" spans="1:17" x14ac:dyDescent="0.25">
      <c r="A72">
        <v>71</v>
      </c>
      <c r="B72" t="s">
        <v>86</v>
      </c>
      <c r="C72" t="s">
        <v>87</v>
      </c>
      <c r="D72" t="s">
        <v>88</v>
      </c>
      <c r="E72">
        <v>362268</v>
      </c>
      <c r="F72">
        <v>1</v>
      </c>
      <c r="G72">
        <v>6</v>
      </c>
      <c r="H72">
        <v>340000</v>
      </c>
      <c r="I72">
        <v>-22268</v>
      </c>
      <c r="J72" s="1">
        <v>45183</v>
      </c>
      <c r="K72" t="s">
        <v>302</v>
      </c>
      <c r="L72">
        <v>9</v>
      </c>
      <c r="M72">
        <v>2023</v>
      </c>
      <c r="N72">
        <f t="shared" si="1"/>
        <v>-384536</v>
      </c>
      <c r="O72" s="19">
        <f>IF(Table1_2[Tiền Nhập]&lt;&gt;0, Table1_2[Lợi Nhuận Gộp]/Table1_2[Tiền Nhập], 0)</f>
        <v>-1.0614683052325902</v>
      </c>
      <c r="P72">
        <f>IF(Table1_2[SL Xuất]&gt;0, Table1_2[Tiền Xuất]/Table1_2[SL Xuất], 0)</f>
        <v>56666.666666666664</v>
      </c>
      <c r="Q72">
        <f>Table1_2[SL Xuất] - Table1_2[SL Xuất KM]</f>
        <v>5</v>
      </c>
    </row>
    <row r="73" spans="1:17" x14ac:dyDescent="0.25">
      <c r="A73">
        <v>72</v>
      </c>
      <c r="B73" t="s">
        <v>80</v>
      </c>
      <c r="C73" t="s">
        <v>81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 s="1">
        <v>45183</v>
      </c>
      <c r="K73" t="s">
        <v>303</v>
      </c>
      <c r="L73">
        <v>9</v>
      </c>
      <c r="M73">
        <v>2023</v>
      </c>
      <c r="N73">
        <f t="shared" si="1"/>
        <v>0</v>
      </c>
      <c r="O73" s="19">
        <f>IF(Table1_2[Tiền Nhập]&lt;&gt;0, Table1_2[Lợi Nhuận Gộp]/Table1_2[Tiền Nhập], 0)</f>
        <v>0</v>
      </c>
      <c r="P73">
        <f>IF(Table1_2[SL Xuất]&gt;0, Table1_2[Tiền Xuất]/Table1_2[SL Xuất], 0)</f>
        <v>0</v>
      </c>
      <c r="Q73">
        <f>Table1_2[SL Xuất] - Table1_2[SL Xuất KM]</f>
        <v>0</v>
      </c>
    </row>
    <row r="74" spans="1:17" x14ac:dyDescent="0.25">
      <c r="A74">
        <v>73</v>
      </c>
      <c r="B74" t="s">
        <v>304</v>
      </c>
      <c r="C74" t="s">
        <v>305</v>
      </c>
      <c r="D74" t="s">
        <v>13</v>
      </c>
      <c r="E74">
        <v>305000</v>
      </c>
      <c r="F74">
        <v>0</v>
      </c>
      <c r="G74">
        <v>4</v>
      </c>
      <c r="H74">
        <v>424000</v>
      </c>
      <c r="I74">
        <v>119000</v>
      </c>
      <c r="J74" s="1">
        <v>45183</v>
      </c>
      <c r="K74" t="s">
        <v>303</v>
      </c>
      <c r="L74">
        <v>9</v>
      </c>
      <c r="M74">
        <v>2023</v>
      </c>
      <c r="N74">
        <f t="shared" si="1"/>
        <v>-186000</v>
      </c>
      <c r="O74" s="19">
        <f>IF(Table1_2[Tiền Nhập]&lt;&gt;0, Table1_2[Lợi Nhuận Gộp]/Table1_2[Tiền Nhập], 0)</f>
        <v>-0.60983606557377046</v>
      </c>
      <c r="P74">
        <f>IF(Table1_2[SL Xuất]&gt;0, Table1_2[Tiền Xuất]/Table1_2[SL Xuất], 0)</f>
        <v>106000</v>
      </c>
      <c r="Q74">
        <f>Table1_2[SL Xuất] - Table1_2[SL Xuất KM]</f>
        <v>4</v>
      </c>
    </row>
    <row r="75" spans="1:17" x14ac:dyDescent="0.25">
      <c r="A75">
        <v>74</v>
      </c>
      <c r="B75" t="s">
        <v>309</v>
      </c>
      <c r="C75" t="s">
        <v>310</v>
      </c>
      <c r="D75" t="s">
        <v>88</v>
      </c>
      <c r="E75">
        <v>294000</v>
      </c>
      <c r="F75">
        <v>1</v>
      </c>
      <c r="G75">
        <v>6</v>
      </c>
      <c r="H75">
        <v>310000</v>
      </c>
      <c r="I75">
        <v>16000</v>
      </c>
      <c r="J75" s="1">
        <v>45183</v>
      </c>
      <c r="K75" t="s">
        <v>303</v>
      </c>
      <c r="L75">
        <v>9</v>
      </c>
      <c r="M75">
        <v>2023</v>
      </c>
      <c r="N75">
        <f t="shared" si="1"/>
        <v>-278000</v>
      </c>
      <c r="O75" s="19">
        <f>IF(Table1_2[Tiền Nhập]&lt;&gt;0, Table1_2[Lợi Nhuận Gộp]/Table1_2[Tiền Nhập], 0)</f>
        <v>-0.94557823129251706</v>
      </c>
      <c r="P75">
        <f>IF(Table1_2[SL Xuất]&gt;0, Table1_2[Tiền Xuất]/Table1_2[SL Xuất], 0)</f>
        <v>51666.666666666664</v>
      </c>
      <c r="Q75">
        <f>Table1_2[SL Xuất] - Table1_2[SL Xuất KM]</f>
        <v>5</v>
      </c>
    </row>
    <row r="76" spans="1:17" x14ac:dyDescent="0.25">
      <c r="A76">
        <v>75</v>
      </c>
      <c r="B76" t="s">
        <v>314</v>
      </c>
      <c r="C76" t="s">
        <v>315</v>
      </c>
      <c r="D76" t="s">
        <v>13</v>
      </c>
      <c r="E76">
        <v>144000</v>
      </c>
      <c r="F76">
        <v>0</v>
      </c>
      <c r="G76">
        <v>24</v>
      </c>
      <c r="H76">
        <v>192000</v>
      </c>
      <c r="I76">
        <v>48000</v>
      </c>
      <c r="J76" s="1">
        <v>45183</v>
      </c>
      <c r="K76" t="s">
        <v>316</v>
      </c>
      <c r="L76">
        <v>9</v>
      </c>
      <c r="M76">
        <v>2023</v>
      </c>
      <c r="N76">
        <f t="shared" si="1"/>
        <v>-96000</v>
      </c>
      <c r="O76" s="19">
        <f>IF(Table1_2[Tiền Nhập]&lt;&gt;0, Table1_2[Lợi Nhuận Gộp]/Table1_2[Tiền Nhập], 0)</f>
        <v>-0.66666666666666663</v>
      </c>
      <c r="P76">
        <f>IF(Table1_2[SL Xuất]&gt;0, Table1_2[Tiền Xuất]/Table1_2[SL Xuất], 0)</f>
        <v>8000</v>
      </c>
      <c r="Q76">
        <f>Table1_2[SL Xuất] - Table1_2[SL Xuất KM]</f>
        <v>24</v>
      </c>
    </row>
    <row r="77" spans="1:17" x14ac:dyDescent="0.25">
      <c r="A77">
        <v>76</v>
      </c>
      <c r="B77" t="s">
        <v>317</v>
      </c>
      <c r="C77" t="s">
        <v>318</v>
      </c>
      <c r="D77" t="s">
        <v>88</v>
      </c>
      <c r="E77">
        <v>0</v>
      </c>
      <c r="F77">
        <v>0</v>
      </c>
      <c r="G77">
        <v>0</v>
      </c>
      <c r="H77">
        <v>0</v>
      </c>
      <c r="I77">
        <v>0</v>
      </c>
      <c r="J77" s="1">
        <v>45183</v>
      </c>
      <c r="K77" t="s">
        <v>319</v>
      </c>
      <c r="L77">
        <v>9</v>
      </c>
      <c r="M77">
        <v>2023</v>
      </c>
      <c r="N77">
        <f t="shared" si="1"/>
        <v>0</v>
      </c>
      <c r="O77" s="19">
        <f>IF(Table1_2[Tiền Nhập]&lt;&gt;0, Table1_2[Lợi Nhuận Gộp]/Table1_2[Tiền Nhập], 0)</f>
        <v>0</v>
      </c>
      <c r="P77">
        <f>IF(Table1_2[SL Xuất]&gt;0, Table1_2[Tiền Xuất]/Table1_2[SL Xuất], 0)</f>
        <v>0</v>
      </c>
      <c r="Q77">
        <f>Table1_2[SL Xuất] - Table1_2[SL Xuất KM]</f>
        <v>0</v>
      </c>
    </row>
    <row r="78" spans="1:17" x14ac:dyDescent="0.25">
      <c r="A78">
        <v>77</v>
      </c>
      <c r="B78" t="s">
        <v>320</v>
      </c>
      <c r="C78" t="s">
        <v>321</v>
      </c>
      <c r="D78" t="s">
        <v>88</v>
      </c>
      <c r="E78">
        <v>0</v>
      </c>
      <c r="F78">
        <v>0</v>
      </c>
      <c r="G78">
        <v>0</v>
      </c>
      <c r="H78">
        <v>0</v>
      </c>
      <c r="I78">
        <v>0</v>
      </c>
      <c r="J78" s="1">
        <v>45183</v>
      </c>
      <c r="K78" t="s">
        <v>319</v>
      </c>
      <c r="L78">
        <v>9</v>
      </c>
      <c r="M78">
        <v>2023</v>
      </c>
      <c r="N78">
        <f t="shared" si="1"/>
        <v>0</v>
      </c>
      <c r="O78" s="19">
        <f>IF(Table1_2[Tiền Nhập]&lt;&gt;0, Table1_2[Lợi Nhuận Gộp]/Table1_2[Tiền Nhập], 0)</f>
        <v>0</v>
      </c>
      <c r="P78">
        <f>IF(Table1_2[SL Xuất]&gt;0, Table1_2[Tiền Xuất]/Table1_2[SL Xuất], 0)</f>
        <v>0</v>
      </c>
      <c r="Q78">
        <f>Table1_2[SL Xuất] - Table1_2[SL Xuất KM]</f>
        <v>0</v>
      </c>
    </row>
    <row r="79" spans="1:17" x14ac:dyDescent="0.25">
      <c r="A79">
        <v>78</v>
      </c>
      <c r="B79" t="s">
        <v>322</v>
      </c>
      <c r="C79" t="s">
        <v>323</v>
      </c>
      <c r="D79" t="s">
        <v>88</v>
      </c>
      <c r="E79">
        <v>0</v>
      </c>
      <c r="F79">
        <v>0</v>
      </c>
      <c r="G79">
        <v>0</v>
      </c>
      <c r="H79">
        <v>0</v>
      </c>
      <c r="I79">
        <v>0</v>
      </c>
      <c r="J79" s="1">
        <v>45183</v>
      </c>
      <c r="K79" t="s">
        <v>319</v>
      </c>
      <c r="L79">
        <v>9</v>
      </c>
      <c r="M79">
        <v>2023</v>
      </c>
      <c r="N79">
        <f t="shared" si="1"/>
        <v>0</v>
      </c>
      <c r="O79" s="19">
        <f>IF(Table1_2[Tiền Nhập]&lt;&gt;0, Table1_2[Lợi Nhuận Gộp]/Table1_2[Tiền Nhập], 0)</f>
        <v>0</v>
      </c>
      <c r="P79">
        <f>IF(Table1_2[SL Xuất]&gt;0, Table1_2[Tiền Xuất]/Table1_2[SL Xuất], 0)</f>
        <v>0</v>
      </c>
      <c r="Q79">
        <f>Table1_2[SL Xuất] - Table1_2[SL Xuất KM]</f>
        <v>0</v>
      </c>
    </row>
    <row r="80" spans="1:17" x14ac:dyDescent="0.25">
      <c r="A80">
        <v>79</v>
      </c>
      <c r="B80" t="s">
        <v>324</v>
      </c>
      <c r="C80" t="s">
        <v>325</v>
      </c>
      <c r="D80" t="s">
        <v>220</v>
      </c>
      <c r="E80">
        <v>63000</v>
      </c>
      <c r="F80">
        <v>0</v>
      </c>
      <c r="G80">
        <v>1</v>
      </c>
      <c r="H80">
        <v>69000</v>
      </c>
      <c r="I80">
        <v>6000</v>
      </c>
      <c r="J80" s="1">
        <v>45183</v>
      </c>
      <c r="K80" t="s">
        <v>329</v>
      </c>
      <c r="L80">
        <v>9</v>
      </c>
      <c r="M80">
        <v>2023</v>
      </c>
      <c r="N80">
        <f t="shared" si="1"/>
        <v>-57000</v>
      </c>
      <c r="O80" s="19">
        <f>IF(Table1_2[Tiền Nhập]&lt;&gt;0, Table1_2[Lợi Nhuận Gộp]/Table1_2[Tiền Nhập], 0)</f>
        <v>-0.90476190476190477</v>
      </c>
      <c r="P80">
        <f>IF(Table1_2[SL Xuất]&gt;0, Table1_2[Tiền Xuất]/Table1_2[SL Xuất], 0)</f>
        <v>69000</v>
      </c>
      <c r="Q80">
        <f>Table1_2[SL Xuất] - Table1_2[SL Xuất KM]</f>
        <v>1</v>
      </c>
    </row>
    <row r="81" spans="1:17" x14ac:dyDescent="0.25">
      <c r="A81">
        <v>80</v>
      </c>
      <c r="B81" t="s">
        <v>330</v>
      </c>
      <c r="C81" t="s">
        <v>331</v>
      </c>
      <c r="D81" t="s">
        <v>149</v>
      </c>
      <c r="E81">
        <v>110000</v>
      </c>
      <c r="F81">
        <v>0</v>
      </c>
      <c r="G81">
        <v>20</v>
      </c>
      <c r="H81">
        <v>130000</v>
      </c>
      <c r="I81">
        <v>20000</v>
      </c>
      <c r="J81" s="1">
        <v>45183</v>
      </c>
      <c r="K81" t="s">
        <v>329</v>
      </c>
      <c r="L81">
        <v>9</v>
      </c>
      <c r="M81">
        <v>2023</v>
      </c>
      <c r="N81">
        <f t="shared" si="1"/>
        <v>-90000</v>
      </c>
      <c r="O81" s="19">
        <f>IF(Table1_2[Tiền Nhập]&lt;&gt;0, Table1_2[Lợi Nhuận Gộp]/Table1_2[Tiền Nhập], 0)</f>
        <v>-0.81818181818181823</v>
      </c>
      <c r="P81">
        <f>IF(Table1_2[SL Xuất]&gt;0, Table1_2[Tiền Xuất]/Table1_2[SL Xuất], 0)</f>
        <v>6500</v>
      </c>
      <c r="Q81">
        <f>Table1_2[SL Xuất] - Table1_2[SL Xuất KM]</f>
        <v>20</v>
      </c>
    </row>
    <row r="82" spans="1:17" x14ac:dyDescent="0.25">
      <c r="A82">
        <v>81</v>
      </c>
      <c r="B82" t="s">
        <v>147</v>
      </c>
      <c r="C82" t="s">
        <v>148</v>
      </c>
      <c r="D82" t="s">
        <v>149</v>
      </c>
      <c r="E82">
        <v>165000</v>
      </c>
      <c r="F82">
        <v>0</v>
      </c>
      <c r="G82">
        <v>30</v>
      </c>
      <c r="H82">
        <v>195000</v>
      </c>
      <c r="I82">
        <v>30000</v>
      </c>
      <c r="J82" s="1">
        <v>45183</v>
      </c>
      <c r="K82" t="s">
        <v>329</v>
      </c>
      <c r="L82">
        <v>9</v>
      </c>
      <c r="M82">
        <v>2023</v>
      </c>
      <c r="N82">
        <f t="shared" si="1"/>
        <v>-135000</v>
      </c>
      <c r="O82" s="19">
        <f>IF(Table1_2[Tiền Nhập]&lt;&gt;0, Table1_2[Lợi Nhuận Gộp]/Table1_2[Tiền Nhập], 0)</f>
        <v>-0.81818181818181823</v>
      </c>
      <c r="P82">
        <f>IF(Table1_2[SL Xuất]&gt;0, Table1_2[Tiền Xuất]/Table1_2[SL Xuất], 0)</f>
        <v>6500</v>
      </c>
      <c r="Q82">
        <f>Table1_2[SL Xuất] - Table1_2[SL Xuất KM]</f>
        <v>30</v>
      </c>
    </row>
    <row r="83" spans="1:17" x14ac:dyDescent="0.25">
      <c r="A83">
        <v>82</v>
      </c>
      <c r="B83" t="s">
        <v>155</v>
      </c>
      <c r="C83" t="s">
        <v>156</v>
      </c>
      <c r="D83" t="s">
        <v>149</v>
      </c>
      <c r="E83">
        <v>165000</v>
      </c>
      <c r="F83">
        <v>0</v>
      </c>
      <c r="G83">
        <v>30</v>
      </c>
      <c r="H83">
        <v>195000</v>
      </c>
      <c r="I83">
        <v>30000</v>
      </c>
      <c r="J83" s="1">
        <v>45183</v>
      </c>
      <c r="K83" t="s">
        <v>329</v>
      </c>
      <c r="L83">
        <v>9</v>
      </c>
      <c r="M83">
        <v>2023</v>
      </c>
      <c r="N83">
        <f t="shared" si="1"/>
        <v>-135000</v>
      </c>
      <c r="O83" s="19">
        <f>IF(Table1_2[Tiền Nhập]&lt;&gt;0, Table1_2[Lợi Nhuận Gộp]/Table1_2[Tiền Nhập], 0)</f>
        <v>-0.81818181818181823</v>
      </c>
      <c r="P83">
        <f>IF(Table1_2[SL Xuất]&gt;0, Table1_2[Tiền Xuất]/Table1_2[SL Xuất], 0)</f>
        <v>6500</v>
      </c>
      <c r="Q83">
        <f>Table1_2[SL Xuất] - Table1_2[SL Xuất KM]</f>
        <v>30</v>
      </c>
    </row>
    <row r="84" spans="1:17" x14ac:dyDescent="0.25">
      <c r="A84">
        <v>83</v>
      </c>
      <c r="B84" t="s">
        <v>334</v>
      </c>
      <c r="C84" t="s">
        <v>335</v>
      </c>
      <c r="D84" t="s">
        <v>336</v>
      </c>
      <c r="E84">
        <v>0</v>
      </c>
      <c r="F84">
        <v>0</v>
      </c>
      <c r="G84">
        <v>0</v>
      </c>
      <c r="H84">
        <v>0</v>
      </c>
      <c r="I84">
        <v>0</v>
      </c>
      <c r="J84" s="1">
        <v>45183</v>
      </c>
      <c r="K84" t="s">
        <v>329</v>
      </c>
      <c r="L84">
        <v>9</v>
      </c>
      <c r="M84">
        <v>2023</v>
      </c>
      <c r="N84">
        <f t="shared" si="1"/>
        <v>0</v>
      </c>
      <c r="O84" s="19">
        <f>IF(Table1_2[Tiền Nhập]&lt;&gt;0, Table1_2[Lợi Nhuận Gộp]/Table1_2[Tiền Nhập], 0)</f>
        <v>0</v>
      </c>
      <c r="P84">
        <f>IF(Table1_2[SL Xuất]&gt;0, Table1_2[Tiền Xuất]/Table1_2[SL Xuất], 0)</f>
        <v>0</v>
      </c>
      <c r="Q84">
        <f>Table1_2[SL Xuất] - Table1_2[SL Xuất KM]</f>
        <v>0</v>
      </c>
    </row>
    <row r="85" spans="1:17" x14ac:dyDescent="0.25">
      <c r="A85">
        <v>84</v>
      </c>
      <c r="B85" t="s">
        <v>337</v>
      </c>
      <c r="C85" t="s">
        <v>338</v>
      </c>
      <c r="D85" t="s">
        <v>339</v>
      </c>
      <c r="E85">
        <v>820800</v>
      </c>
      <c r="F85">
        <v>0</v>
      </c>
      <c r="G85">
        <v>24</v>
      </c>
      <c r="H85">
        <v>840000</v>
      </c>
      <c r="I85">
        <v>19200</v>
      </c>
      <c r="J85" s="1">
        <v>45183</v>
      </c>
      <c r="K85" t="s">
        <v>329</v>
      </c>
      <c r="L85">
        <v>9</v>
      </c>
      <c r="M85">
        <v>2023</v>
      </c>
      <c r="N85">
        <f t="shared" si="1"/>
        <v>-801600</v>
      </c>
      <c r="O85" s="19">
        <f>IF(Table1_2[Tiền Nhập]&lt;&gt;0, Table1_2[Lợi Nhuận Gộp]/Table1_2[Tiền Nhập], 0)</f>
        <v>-0.97660818713450293</v>
      </c>
      <c r="P85">
        <f>IF(Table1_2[SL Xuất]&gt;0, Table1_2[Tiền Xuất]/Table1_2[SL Xuất], 0)</f>
        <v>35000</v>
      </c>
      <c r="Q85">
        <f>Table1_2[SL Xuất] - Table1_2[SL Xuất KM]</f>
        <v>24</v>
      </c>
    </row>
    <row r="86" spans="1:17" x14ac:dyDescent="0.25">
      <c r="A86">
        <v>85</v>
      </c>
      <c r="B86" t="s">
        <v>342</v>
      </c>
      <c r="C86" t="s">
        <v>343</v>
      </c>
      <c r="D86" t="s">
        <v>85</v>
      </c>
      <c r="E86">
        <v>138000</v>
      </c>
      <c r="F86">
        <v>0</v>
      </c>
      <c r="G86">
        <v>6</v>
      </c>
      <c r="H86">
        <v>162000</v>
      </c>
      <c r="I86">
        <v>24000</v>
      </c>
      <c r="J86" s="1">
        <v>45183</v>
      </c>
      <c r="K86" t="s">
        <v>347</v>
      </c>
      <c r="L86">
        <v>9</v>
      </c>
      <c r="M86">
        <v>2023</v>
      </c>
      <c r="N86">
        <f t="shared" si="1"/>
        <v>-114000</v>
      </c>
      <c r="O86" s="19">
        <f>IF(Table1_2[Tiền Nhập]&lt;&gt;0, Table1_2[Lợi Nhuận Gộp]/Table1_2[Tiền Nhập], 0)</f>
        <v>-0.82608695652173914</v>
      </c>
      <c r="P86">
        <f>IF(Table1_2[SL Xuất]&gt;0, Table1_2[Tiền Xuất]/Table1_2[SL Xuất], 0)</f>
        <v>27000</v>
      </c>
      <c r="Q86">
        <f>Table1_2[SL Xuất] - Table1_2[SL Xuất KM]</f>
        <v>6</v>
      </c>
    </row>
    <row r="87" spans="1:17" x14ac:dyDescent="0.25">
      <c r="A87">
        <v>86</v>
      </c>
      <c r="B87" t="s">
        <v>287</v>
      </c>
      <c r="C87" t="s">
        <v>288</v>
      </c>
      <c r="D87" t="s">
        <v>88</v>
      </c>
      <c r="E87">
        <v>72500</v>
      </c>
      <c r="F87">
        <v>0</v>
      </c>
      <c r="G87">
        <v>5</v>
      </c>
      <c r="H87">
        <v>70000</v>
      </c>
      <c r="I87">
        <v>-2500</v>
      </c>
      <c r="J87" s="1">
        <v>45183</v>
      </c>
      <c r="K87" t="s">
        <v>347</v>
      </c>
      <c r="L87">
        <v>9</v>
      </c>
      <c r="M87">
        <v>2023</v>
      </c>
      <c r="N87">
        <f t="shared" si="1"/>
        <v>-75000</v>
      </c>
      <c r="O87" s="19">
        <f>IF(Table1_2[Tiền Nhập]&lt;&gt;0, Table1_2[Lợi Nhuận Gộp]/Table1_2[Tiền Nhập], 0)</f>
        <v>-1.0344827586206897</v>
      </c>
      <c r="P87">
        <f>IF(Table1_2[SL Xuất]&gt;0, Table1_2[Tiền Xuất]/Table1_2[SL Xuất], 0)</f>
        <v>14000</v>
      </c>
      <c r="Q87">
        <f>Table1_2[SL Xuất] - Table1_2[SL Xuất KM]</f>
        <v>5</v>
      </c>
    </row>
    <row r="88" spans="1:17" x14ac:dyDescent="0.25">
      <c r="A88">
        <v>87</v>
      </c>
      <c r="B88" t="s">
        <v>292</v>
      </c>
      <c r="C88" t="s">
        <v>293</v>
      </c>
      <c r="D88" t="s">
        <v>88</v>
      </c>
      <c r="E88">
        <v>72500</v>
      </c>
      <c r="F88">
        <v>0</v>
      </c>
      <c r="G88">
        <v>5</v>
      </c>
      <c r="H88">
        <v>70000</v>
      </c>
      <c r="I88">
        <v>-2500</v>
      </c>
      <c r="J88" s="1">
        <v>45183</v>
      </c>
      <c r="K88" t="s">
        <v>347</v>
      </c>
      <c r="L88">
        <v>9</v>
      </c>
      <c r="M88">
        <v>2023</v>
      </c>
      <c r="N88">
        <f t="shared" si="1"/>
        <v>-75000</v>
      </c>
      <c r="O88" s="19">
        <f>IF(Table1_2[Tiền Nhập]&lt;&gt;0, Table1_2[Lợi Nhuận Gộp]/Table1_2[Tiền Nhập], 0)</f>
        <v>-1.0344827586206897</v>
      </c>
      <c r="P88">
        <f>IF(Table1_2[SL Xuất]&gt;0, Table1_2[Tiền Xuất]/Table1_2[SL Xuất], 0)</f>
        <v>14000</v>
      </c>
      <c r="Q88">
        <f>Table1_2[SL Xuất] - Table1_2[SL Xuất KM]</f>
        <v>5</v>
      </c>
    </row>
    <row r="89" spans="1:17" x14ac:dyDescent="0.25">
      <c r="A89">
        <v>88</v>
      </c>
      <c r="B89" t="s">
        <v>297</v>
      </c>
      <c r="C89" t="s">
        <v>298</v>
      </c>
      <c r="D89" t="s">
        <v>88</v>
      </c>
      <c r="E89">
        <v>72500</v>
      </c>
      <c r="F89">
        <v>0</v>
      </c>
      <c r="G89">
        <v>5</v>
      </c>
      <c r="H89">
        <v>70000</v>
      </c>
      <c r="I89">
        <v>-2500</v>
      </c>
      <c r="J89" s="1">
        <v>45183</v>
      </c>
      <c r="K89" t="s">
        <v>347</v>
      </c>
      <c r="L89">
        <v>9</v>
      </c>
      <c r="M89">
        <v>2023</v>
      </c>
      <c r="N89">
        <f t="shared" si="1"/>
        <v>-75000</v>
      </c>
      <c r="O89" s="19">
        <f>IF(Table1_2[Tiền Nhập]&lt;&gt;0, Table1_2[Lợi Nhuận Gộp]/Table1_2[Tiền Nhập], 0)</f>
        <v>-1.0344827586206897</v>
      </c>
      <c r="P89">
        <f>IF(Table1_2[SL Xuất]&gt;0, Table1_2[Tiền Xuất]/Table1_2[SL Xuất], 0)</f>
        <v>14000</v>
      </c>
      <c r="Q89">
        <f>Table1_2[SL Xuất] - Table1_2[SL Xuất KM]</f>
        <v>5</v>
      </c>
    </row>
    <row r="90" spans="1:17" x14ac:dyDescent="0.25">
      <c r="A90">
        <v>89</v>
      </c>
      <c r="B90" t="s">
        <v>337</v>
      </c>
      <c r="C90" t="s">
        <v>338</v>
      </c>
      <c r="D90" t="s">
        <v>339</v>
      </c>
      <c r="E90">
        <v>171000</v>
      </c>
      <c r="F90">
        <v>0</v>
      </c>
      <c r="G90">
        <v>5</v>
      </c>
      <c r="H90">
        <v>175000</v>
      </c>
      <c r="I90">
        <v>4000</v>
      </c>
      <c r="J90" s="1">
        <v>45183</v>
      </c>
      <c r="K90" t="s">
        <v>347</v>
      </c>
      <c r="L90">
        <v>9</v>
      </c>
      <c r="M90">
        <v>2023</v>
      </c>
      <c r="N90">
        <f t="shared" si="1"/>
        <v>-167000</v>
      </c>
      <c r="O90" s="19">
        <f>IF(Table1_2[Tiền Nhập]&lt;&gt;0, Table1_2[Lợi Nhuận Gộp]/Table1_2[Tiền Nhập], 0)</f>
        <v>-0.97660818713450293</v>
      </c>
      <c r="P90">
        <f>IF(Table1_2[SL Xuất]&gt;0, Table1_2[Tiền Xuất]/Table1_2[SL Xuất], 0)</f>
        <v>35000</v>
      </c>
      <c r="Q90">
        <f>Table1_2[SL Xuất] - Table1_2[SL Xuất KM]</f>
        <v>5</v>
      </c>
    </row>
    <row r="91" spans="1:17" x14ac:dyDescent="0.25">
      <c r="A91">
        <v>90</v>
      </c>
      <c r="B91" t="s">
        <v>354</v>
      </c>
      <c r="C91" t="s">
        <v>355</v>
      </c>
      <c r="D91" t="s">
        <v>13</v>
      </c>
      <c r="E91">
        <v>42000</v>
      </c>
      <c r="F91">
        <v>1</v>
      </c>
      <c r="G91">
        <v>12</v>
      </c>
      <c r="H91">
        <v>72000</v>
      </c>
      <c r="I91">
        <v>30000</v>
      </c>
      <c r="J91" s="1">
        <v>45183</v>
      </c>
      <c r="K91" t="s">
        <v>356</v>
      </c>
      <c r="L91">
        <v>9</v>
      </c>
      <c r="M91">
        <v>2023</v>
      </c>
      <c r="N91">
        <f t="shared" si="1"/>
        <v>-12000</v>
      </c>
      <c r="O91" s="19">
        <f>IF(Table1_2[Tiền Nhập]&lt;&gt;0, Table1_2[Lợi Nhuận Gộp]/Table1_2[Tiền Nhập], 0)</f>
        <v>-0.2857142857142857</v>
      </c>
      <c r="P91">
        <f>IF(Table1_2[SL Xuất]&gt;0, Table1_2[Tiền Xuất]/Table1_2[SL Xuất], 0)</f>
        <v>6000</v>
      </c>
      <c r="Q91">
        <f>Table1_2[SL Xuất] - Table1_2[SL Xuất KM]</f>
        <v>11</v>
      </c>
    </row>
    <row r="92" spans="1:17" x14ac:dyDescent="0.25">
      <c r="A92">
        <v>91</v>
      </c>
      <c r="B92" t="s">
        <v>357</v>
      </c>
      <c r="C92" t="s">
        <v>358</v>
      </c>
      <c r="D92" t="s">
        <v>13</v>
      </c>
      <c r="E92">
        <v>70400</v>
      </c>
      <c r="F92">
        <v>2</v>
      </c>
      <c r="G92">
        <v>8</v>
      </c>
      <c r="H92">
        <v>136000</v>
      </c>
      <c r="I92">
        <v>65600</v>
      </c>
      <c r="J92" s="1">
        <v>45183</v>
      </c>
      <c r="K92" t="s">
        <v>356</v>
      </c>
      <c r="L92">
        <v>9</v>
      </c>
      <c r="M92">
        <v>2023</v>
      </c>
      <c r="N92">
        <f t="shared" si="1"/>
        <v>-4800</v>
      </c>
      <c r="O92" s="19">
        <f>IF(Table1_2[Tiền Nhập]&lt;&gt;0, Table1_2[Lợi Nhuận Gộp]/Table1_2[Tiền Nhập], 0)</f>
        <v>-6.8181818181818177E-2</v>
      </c>
      <c r="P92">
        <f>IF(Table1_2[SL Xuất]&gt;0, Table1_2[Tiền Xuất]/Table1_2[SL Xuất], 0)</f>
        <v>17000</v>
      </c>
      <c r="Q92">
        <f>Table1_2[SL Xuất] - Table1_2[SL Xuất KM]</f>
        <v>6</v>
      </c>
    </row>
    <row r="93" spans="1:17" x14ac:dyDescent="0.25">
      <c r="A93">
        <v>92</v>
      </c>
      <c r="B93" t="s">
        <v>362</v>
      </c>
      <c r="C93" t="s">
        <v>363</v>
      </c>
      <c r="D93" t="s">
        <v>23</v>
      </c>
      <c r="E93">
        <v>77500</v>
      </c>
      <c r="F93">
        <v>1</v>
      </c>
      <c r="G93">
        <v>5</v>
      </c>
      <c r="H93">
        <v>175000</v>
      </c>
      <c r="I93">
        <v>97500</v>
      </c>
      <c r="J93" s="1">
        <v>45183</v>
      </c>
      <c r="K93" t="s">
        <v>356</v>
      </c>
      <c r="L93">
        <v>9</v>
      </c>
      <c r="M93">
        <v>2023</v>
      </c>
      <c r="N93">
        <f t="shared" si="1"/>
        <v>20000</v>
      </c>
      <c r="O93" s="19">
        <f>IF(Table1_2[Tiền Nhập]&lt;&gt;0, Table1_2[Lợi Nhuận Gộp]/Table1_2[Tiền Nhập], 0)</f>
        <v>0.25806451612903225</v>
      </c>
      <c r="P93">
        <f>IF(Table1_2[SL Xuất]&gt;0, Table1_2[Tiền Xuất]/Table1_2[SL Xuất], 0)</f>
        <v>35000</v>
      </c>
      <c r="Q93">
        <f>Table1_2[SL Xuất] - Table1_2[SL Xuất KM]</f>
        <v>4</v>
      </c>
    </row>
    <row r="94" spans="1:17" x14ac:dyDescent="0.25">
      <c r="A94">
        <v>93</v>
      </c>
      <c r="B94" t="s">
        <v>342</v>
      </c>
      <c r="C94" t="s">
        <v>343</v>
      </c>
      <c r="D94" t="s">
        <v>85</v>
      </c>
      <c r="E94">
        <v>46000</v>
      </c>
      <c r="F94">
        <v>0</v>
      </c>
      <c r="G94">
        <v>2</v>
      </c>
      <c r="H94">
        <v>56000</v>
      </c>
      <c r="I94">
        <v>10000</v>
      </c>
      <c r="J94" s="1">
        <v>45183</v>
      </c>
      <c r="K94" t="s">
        <v>366</v>
      </c>
      <c r="L94">
        <v>9</v>
      </c>
      <c r="M94">
        <v>2023</v>
      </c>
      <c r="N94">
        <f t="shared" si="1"/>
        <v>-36000</v>
      </c>
      <c r="O94" s="19">
        <f>IF(Table1_2[Tiền Nhập]&lt;&gt;0, Table1_2[Lợi Nhuận Gộp]/Table1_2[Tiền Nhập], 0)</f>
        <v>-0.78260869565217395</v>
      </c>
      <c r="P94">
        <f>IF(Table1_2[SL Xuất]&gt;0, Table1_2[Tiền Xuất]/Table1_2[SL Xuất], 0)</f>
        <v>28000</v>
      </c>
      <c r="Q94">
        <f>Table1_2[SL Xuất] - Table1_2[SL Xuất KM]</f>
        <v>2</v>
      </c>
    </row>
    <row r="95" spans="1:17" x14ac:dyDescent="0.25">
      <c r="A95">
        <v>94</v>
      </c>
      <c r="B95" t="s">
        <v>147</v>
      </c>
      <c r="C95" t="s">
        <v>148</v>
      </c>
      <c r="D95" t="s">
        <v>149</v>
      </c>
      <c r="E95">
        <v>110000</v>
      </c>
      <c r="F95">
        <v>0</v>
      </c>
      <c r="G95">
        <v>20</v>
      </c>
      <c r="H95">
        <v>130000</v>
      </c>
      <c r="I95">
        <v>20000</v>
      </c>
      <c r="J95" s="1">
        <v>45183</v>
      </c>
      <c r="K95" t="s">
        <v>366</v>
      </c>
      <c r="L95">
        <v>9</v>
      </c>
      <c r="M95">
        <v>2023</v>
      </c>
      <c r="N95">
        <f t="shared" si="1"/>
        <v>-90000</v>
      </c>
      <c r="O95" s="19">
        <f>IF(Table1_2[Tiền Nhập]&lt;&gt;0, Table1_2[Lợi Nhuận Gộp]/Table1_2[Tiền Nhập], 0)</f>
        <v>-0.81818181818181823</v>
      </c>
      <c r="P95">
        <f>IF(Table1_2[SL Xuất]&gt;0, Table1_2[Tiền Xuất]/Table1_2[SL Xuất], 0)</f>
        <v>6500</v>
      </c>
      <c r="Q95">
        <f>Table1_2[SL Xuất] - Table1_2[SL Xuất KM]</f>
        <v>20</v>
      </c>
    </row>
    <row r="96" spans="1:17" x14ac:dyDescent="0.25">
      <c r="A96">
        <v>95</v>
      </c>
      <c r="B96" t="s">
        <v>337</v>
      </c>
      <c r="C96" t="s">
        <v>338</v>
      </c>
      <c r="D96" t="s">
        <v>339</v>
      </c>
      <c r="E96">
        <v>171000</v>
      </c>
      <c r="F96">
        <v>0</v>
      </c>
      <c r="G96">
        <v>5</v>
      </c>
      <c r="H96">
        <v>175000</v>
      </c>
      <c r="I96">
        <v>4000</v>
      </c>
      <c r="J96" s="1">
        <v>45183</v>
      </c>
      <c r="K96" t="s">
        <v>366</v>
      </c>
      <c r="L96">
        <v>9</v>
      </c>
      <c r="M96">
        <v>2023</v>
      </c>
      <c r="N96">
        <f t="shared" si="1"/>
        <v>-167000</v>
      </c>
      <c r="O96" s="19">
        <f>IF(Table1_2[Tiền Nhập]&lt;&gt;0, Table1_2[Lợi Nhuận Gộp]/Table1_2[Tiền Nhập], 0)</f>
        <v>-0.97660818713450293</v>
      </c>
      <c r="P96">
        <f>IF(Table1_2[SL Xuất]&gt;0, Table1_2[Tiền Xuất]/Table1_2[SL Xuất], 0)</f>
        <v>35000</v>
      </c>
      <c r="Q96">
        <f>Table1_2[SL Xuất] - Table1_2[SL Xuất KM]</f>
        <v>5</v>
      </c>
    </row>
    <row r="97" spans="1:17" x14ac:dyDescent="0.25">
      <c r="A97">
        <v>96</v>
      </c>
      <c r="B97" t="s">
        <v>367</v>
      </c>
      <c r="C97" t="s">
        <v>368</v>
      </c>
      <c r="D97" t="s">
        <v>369</v>
      </c>
      <c r="E97">
        <v>163485</v>
      </c>
      <c r="F97">
        <v>0</v>
      </c>
      <c r="G97">
        <v>1</v>
      </c>
      <c r="H97">
        <v>175000</v>
      </c>
      <c r="I97">
        <v>11515</v>
      </c>
      <c r="J97" s="1">
        <v>45183</v>
      </c>
      <c r="K97" t="s">
        <v>366</v>
      </c>
      <c r="L97">
        <v>9</v>
      </c>
      <c r="M97">
        <v>2023</v>
      </c>
      <c r="N97">
        <f t="shared" si="1"/>
        <v>-151970</v>
      </c>
      <c r="O97" s="19">
        <f>IF(Table1_2[Tiền Nhập]&lt;&gt;0, Table1_2[Lợi Nhuận Gộp]/Table1_2[Tiền Nhập], 0)</f>
        <v>-0.92956540355384287</v>
      </c>
      <c r="P97">
        <f>IF(Table1_2[SL Xuất]&gt;0, Table1_2[Tiền Xuất]/Table1_2[SL Xuất], 0)</f>
        <v>175000</v>
      </c>
      <c r="Q97">
        <f>Table1_2[SL Xuất] - Table1_2[SL Xuất KM]</f>
        <v>1</v>
      </c>
    </row>
    <row r="98" spans="1:17" x14ac:dyDescent="0.25">
      <c r="A98">
        <v>97</v>
      </c>
      <c r="B98" t="s">
        <v>163</v>
      </c>
      <c r="C98" t="s">
        <v>164</v>
      </c>
      <c r="D98" t="s">
        <v>45</v>
      </c>
      <c r="E98">
        <v>0</v>
      </c>
      <c r="F98">
        <v>0</v>
      </c>
      <c r="G98">
        <v>0</v>
      </c>
      <c r="H98">
        <v>0</v>
      </c>
      <c r="I98">
        <v>0</v>
      </c>
      <c r="J98" s="1">
        <v>45184</v>
      </c>
      <c r="K98" t="s">
        <v>373</v>
      </c>
      <c r="L98">
        <v>9</v>
      </c>
      <c r="M98">
        <v>2023</v>
      </c>
      <c r="N98">
        <f t="shared" si="1"/>
        <v>0</v>
      </c>
      <c r="O98" s="19">
        <f>IF(Table1_2[Tiền Nhập]&lt;&gt;0, Table1_2[Lợi Nhuận Gộp]/Table1_2[Tiền Nhập], 0)</f>
        <v>0</v>
      </c>
      <c r="P98">
        <f>IF(Table1_2[SL Xuất]&gt;0, Table1_2[Tiền Xuất]/Table1_2[SL Xuất], 0)</f>
        <v>0</v>
      </c>
      <c r="Q98">
        <f>Table1_2[SL Xuất] - Table1_2[SL Xuất KM]</f>
        <v>0</v>
      </c>
    </row>
    <row r="99" spans="1:17" x14ac:dyDescent="0.25">
      <c r="A99">
        <v>98</v>
      </c>
      <c r="B99" t="s">
        <v>201</v>
      </c>
      <c r="C99" t="s">
        <v>202</v>
      </c>
      <c r="D99" t="s">
        <v>23</v>
      </c>
      <c r="E99">
        <v>0</v>
      </c>
      <c r="F99">
        <v>2</v>
      </c>
      <c r="G99">
        <v>0</v>
      </c>
      <c r="H99">
        <v>0</v>
      </c>
      <c r="I99">
        <v>0</v>
      </c>
      <c r="J99" s="1">
        <v>45184</v>
      </c>
      <c r="K99" t="s">
        <v>374</v>
      </c>
      <c r="L99">
        <v>9</v>
      </c>
      <c r="M99">
        <v>2023</v>
      </c>
      <c r="N99">
        <f t="shared" si="1"/>
        <v>0</v>
      </c>
      <c r="O99" s="19">
        <f>IF(Table1_2[Tiền Nhập]&lt;&gt;0, Table1_2[Lợi Nhuận Gộp]/Table1_2[Tiền Nhập], 0)</f>
        <v>0</v>
      </c>
      <c r="P99">
        <f>IF(Table1_2[SL Xuất]&gt;0, Table1_2[Tiền Xuất]/Table1_2[SL Xuất], 0)</f>
        <v>0</v>
      </c>
      <c r="Q99">
        <f>Table1_2[SL Xuất] - Table1_2[SL Xuất KM]</f>
        <v>-2</v>
      </c>
    </row>
    <row r="100" spans="1:17" x14ac:dyDescent="0.25">
      <c r="A100">
        <v>99</v>
      </c>
      <c r="B100" t="s">
        <v>375</v>
      </c>
      <c r="C100" t="s">
        <v>376</v>
      </c>
      <c r="D100" t="s">
        <v>23</v>
      </c>
      <c r="E100">
        <v>90000</v>
      </c>
      <c r="F100">
        <v>0</v>
      </c>
      <c r="G100">
        <v>30</v>
      </c>
      <c r="H100">
        <v>165000</v>
      </c>
      <c r="I100">
        <v>75000</v>
      </c>
      <c r="J100" s="1">
        <v>45184</v>
      </c>
      <c r="K100" t="s">
        <v>374</v>
      </c>
      <c r="L100">
        <v>9</v>
      </c>
      <c r="M100">
        <v>2023</v>
      </c>
      <c r="N100">
        <f t="shared" si="1"/>
        <v>-15000</v>
      </c>
      <c r="O100" s="19">
        <f>IF(Table1_2[Tiền Nhập]&lt;&gt;0, Table1_2[Lợi Nhuận Gộp]/Table1_2[Tiền Nhập], 0)</f>
        <v>-0.16666666666666666</v>
      </c>
      <c r="P100">
        <f>IF(Table1_2[SL Xuất]&gt;0, Table1_2[Tiền Xuất]/Table1_2[SL Xuất], 0)</f>
        <v>5500</v>
      </c>
      <c r="Q100">
        <f>Table1_2[SL Xuất] - Table1_2[SL Xuất KM]</f>
        <v>30</v>
      </c>
    </row>
    <row r="101" spans="1:17" x14ac:dyDescent="0.25">
      <c r="A101">
        <v>100</v>
      </c>
      <c r="B101" t="s">
        <v>378</v>
      </c>
      <c r="C101" t="s">
        <v>379</v>
      </c>
      <c r="D101" t="s">
        <v>23</v>
      </c>
      <c r="E101">
        <v>90000</v>
      </c>
      <c r="F101">
        <v>0</v>
      </c>
      <c r="G101">
        <v>24</v>
      </c>
      <c r="H101">
        <v>168000</v>
      </c>
      <c r="I101">
        <v>78000</v>
      </c>
      <c r="J101" s="1">
        <v>45184</v>
      </c>
      <c r="K101" t="s">
        <v>374</v>
      </c>
      <c r="L101">
        <v>9</v>
      </c>
      <c r="M101">
        <v>2023</v>
      </c>
      <c r="N101">
        <f t="shared" si="1"/>
        <v>-12000</v>
      </c>
      <c r="O101" s="19">
        <f>IF(Table1_2[Tiền Nhập]&lt;&gt;0, Table1_2[Lợi Nhuận Gộp]/Table1_2[Tiền Nhập], 0)</f>
        <v>-0.13333333333333333</v>
      </c>
      <c r="P101">
        <f>IF(Table1_2[SL Xuất]&gt;0, Table1_2[Tiền Xuất]/Table1_2[SL Xuất], 0)</f>
        <v>7000</v>
      </c>
      <c r="Q101">
        <f>Table1_2[SL Xuất] - Table1_2[SL Xuất KM]</f>
        <v>24</v>
      </c>
    </row>
    <row r="102" spans="1:17" x14ac:dyDescent="0.25">
      <c r="A102">
        <v>101</v>
      </c>
      <c r="B102" t="s">
        <v>382</v>
      </c>
      <c r="C102" t="s">
        <v>383</v>
      </c>
      <c r="D102" t="s">
        <v>339</v>
      </c>
      <c r="E102">
        <v>55440</v>
      </c>
      <c r="F102">
        <v>0</v>
      </c>
      <c r="G102">
        <v>2</v>
      </c>
      <c r="H102">
        <v>64000</v>
      </c>
      <c r="I102">
        <v>8560</v>
      </c>
      <c r="J102" s="1">
        <v>45185</v>
      </c>
      <c r="K102" t="s">
        <v>388</v>
      </c>
      <c r="L102">
        <v>9</v>
      </c>
      <c r="M102">
        <v>2023</v>
      </c>
      <c r="N102">
        <f t="shared" si="1"/>
        <v>-46880</v>
      </c>
      <c r="O102" s="19">
        <f>IF(Table1_2[Tiền Nhập]&lt;&gt;0, Table1_2[Lợi Nhuận Gộp]/Table1_2[Tiền Nhập], 0)</f>
        <v>-0.84559884559884557</v>
      </c>
      <c r="P102">
        <f>IF(Table1_2[SL Xuất]&gt;0, Table1_2[Tiền Xuất]/Table1_2[SL Xuất], 0)</f>
        <v>32000</v>
      </c>
      <c r="Q102">
        <f>Table1_2[SL Xuất] - Table1_2[SL Xuất KM]</f>
        <v>2</v>
      </c>
    </row>
    <row r="103" spans="1:17" x14ac:dyDescent="0.25">
      <c r="A103">
        <v>102</v>
      </c>
      <c r="B103" t="s">
        <v>389</v>
      </c>
      <c r="C103" t="s">
        <v>390</v>
      </c>
      <c r="D103" t="s">
        <v>339</v>
      </c>
      <c r="E103">
        <v>55440</v>
      </c>
      <c r="F103">
        <v>0</v>
      </c>
      <c r="G103">
        <v>2</v>
      </c>
      <c r="H103">
        <v>64000</v>
      </c>
      <c r="I103">
        <v>8560</v>
      </c>
      <c r="J103" s="1">
        <v>45185</v>
      </c>
      <c r="K103" t="s">
        <v>388</v>
      </c>
      <c r="L103">
        <v>9</v>
      </c>
      <c r="M103">
        <v>2023</v>
      </c>
      <c r="N103">
        <f t="shared" si="1"/>
        <v>-46880</v>
      </c>
      <c r="O103" s="19">
        <f>IF(Table1_2[Tiền Nhập]&lt;&gt;0, Table1_2[Lợi Nhuận Gộp]/Table1_2[Tiền Nhập], 0)</f>
        <v>-0.84559884559884557</v>
      </c>
      <c r="P103">
        <f>IF(Table1_2[SL Xuất]&gt;0, Table1_2[Tiền Xuất]/Table1_2[SL Xuất], 0)</f>
        <v>32000</v>
      </c>
      <c r="Q103">
        <f>Table1_2[SL Xuất] - Table1_2[SL Xuất KM]</f>
        <v>2</v>
      </c>
    </row>
    <row r="104" spans="1:17" x14ac:dyDescent="0.25">
      <c r="A104">
        <v>103</v>
      </c>
      <c r="B104" t="s">
        <v>391</v>
      </c>
      <c r="C104" t="s">
        <v>392</v>
      </c>
      <c r="D104" t="s">
        <v>339</v>
      </c>
      <c r="E104">
        <v>55440</v>
      </c>
      <c r="F104">
        <v>0</v>
      </c>
      <c r="G104">
        <v>2</v>
      </c>
      <c r="H104">
        <v>64000</v>
      </c>
      <c r="I104">
        <v>8560</v>
      </c>
      <c r="J104" s="1">
        <v>45185</v>
      </c>
      <c r="K104" t="s">
        <v>388</v>
      </c>
      <c r="L104">
        <v>9</v>
      </c>
      <c r="M104">
        <v>2023</v>
      </c>
      <c r="N104">
        <f t="shared" si="1"/>
        <v>-46880</v>
      </c>
      <c r="O104" s="19">
        <f>IF(Table1_2[Tiền Nhập]&lt;&gt;0, Table1_2[Lợi Nhuận Gộp]/Table1_2[Tiền Nhập], 0)</f>
        <v>-0.84559884559884557</v>
      </c>
      <c r="P104">
        <f>IF(Table1_2[SL Xuất]&gt;0, Table1_2[Tiền Xuất]/Table1_2[SL Xuất], 0)</f>
        <v>32000</v>
      </c>
      <c r="Q104">
        <f>Table1_2[SL Xuất] - Table1_2[SL Xuất KM]</f>
        <v>2</v>
      </c>
    </row>
    <row r="105" spans="1:17" x14ac:dyDescent="0.25">
      <c r="A105">
        <v>104</v>
      </c>
      <c r="B105" t="s">
        <v>393</v>
      </c>
      <c r="C105" t="s">
        <v>394</v>
      </c>
      <c r="D105" t="s">
        <v>339</v>
      </c>
      <c r="E105">
        <v>83160</v>
      </c>
      <c r="F105">
        <v>0</v>
      </c>
      <c r="G105">
        <v>3</v>
      </c>
      <c r="H105">
        <v>96000</v>
      </c>
      <c r="I105">
        <v>12840</v>
      </c>
      <c r="J105" s="1">
        <v>45185</v>
      </c>
      <c r="K105" t="s">
        <v>388</v>
      </c>
      <c r="L105">
        <v>9</v>
      </c>
      <c r="M105">
        <v>2023</v>
      </c>
      <c r="N105">
        <f t="shared" si="1"/>
        <v>-70320</v>
      </c>
      <c r="O105" s="19">
        <f>IF(Table1_2[Tiền Nhập]&lt;&gt;0, Table1_2[Lợi Nhuận Gộp]/Table1_2[Tiền Nhập], 0)</f>
        <v>-0.84559884559884557</v>
      </c>
      <c r="P105">
        <f>IF(Table1_2[SL Xuất]&gt;0, Table1_2[Tiền Xuất]/Table1_2[SL Xuất], 0)</f>
        <v>32000</v>
      </c>
      <c r="Q105">
        <f>Table1_2[SL Xuất] - Table1_2[SL Xuất KM]</f>
        <v>3</v>
      </c>
    </row>
    <row r="106" spans="1:17" x14ac:dyDescent="0.25">
      <c r="A106">
        <v>105</v>
      </c>
      <c r="B106" t="s">
        <v>398</v>
      </c>
      <c r="C106" t="s">
        <v>399</v>
      </c>
      <c r="D106" t="s">
        <v>339</v>
      </c>
      <c r="E106">
        <v>83160</v>
      </c>
      <c r="F106">
        <v>0</v>
      </c>
      <c r="G106">
        <v>3</v>
      </c>
      <c r="H106">
        <v>96000</v>
      </c>
      <c r="I106">
        <v>12840</v>
      </c>
      <c r="J106" s="1">
        <v>45185</v>
      </c>
      <c r="K106" t="s">
        <v>388</v>
      </c>
      <c r="L106">
        <v>9</v>
      </c>
      <c r="M106">
        <v>2023</v>
      </c>
      <c r="N106">
        <f t="shared" si="1"/>
        <v>-70320</v>
      </c>
      <c r="O106" s="19">
        <f>IF(Table1_2[Tiền Nhập]&lt;&gt;0, Table1_2[Lợi Nhuận Gộp]/Table1_2[Tiền Nhập], 0)</f>
        <v>-0.84559884559884557</v>
      </c>
      <c r="P106">
        <f>IF(Table1_2[SL Xuất]&gt;0, Table1_2[Tiền Xuất]/Table1_2[SL Xuất], 0)</f>
        <v>32000</v>
      </c>
      <c r="Q106">
        <f>Table1_2[SL Xuất] - Table1_2[SL Xuất KM]</f>
        <v>3</v>
      </c>
    </row>
    <row r="107" spans="1:17" x14ac:dyDescent="0.25">
      <c r="A107">
        <v>106</v>
      </c>
      <c r="B107" t="s">
        <v>400</v>
      </c>
      <c r="C107" t="s">
        <v>401</v>
      </c>
      <c r="D107" t="s">
        <v>13</v>
      </c>
      <c r="E107">
        <v>450000</v>
      </c>
      <c r="F107">
        <v>0</v>
      </c>
      <c r="G107">
        <v>60</v>
      </c>
      <c r="H107">
        <v>480000</v>
      </c>
      <c r="I107">
        <v>30000</v>
      </c>
      <c r="J107" s="1">
        <v>45185</v>
      </c>
      <c r="K107" t="s">
        <v>388</v>
      </c>
      <c r="L107">
        <v>9</v>
      </c>
      <c r="M107">
        <v>2023</v>
      </c>
      <c r="N107">
        <f t="shared" si="1"/>
        <v>-420000</v>
      </c>
      <c r="O107" s="19">
        <f>IF(Table1_2[Tiền Nhập]&lt;&gt;0, Table1_2[Lợi Nhuận Gộp]/Table1_2[Tiền Nhập], 0)</f>
        <v>-0.93333333333333335</v>
      </c>
      <c r="P107">
        <f>IF(Table1_2[SL Xuất]&gt;0, Table1_2[Tiền Xuất]/Table1_2[SL Xuất], 0)</f>
        <v>8000</v>
      </c>
      <c r="Q107">
        <f>Table1_2[SL Xuất] - Table1_2[SL Xuất KM]</f>
        <v>60</v>
      </c>
    </row>
    <row r="108" spans="1:17" x14ac:dyDescent="0.25">
      <c r="A108">
        <v>107</v>
      </c>
      <c r="B108" t="s">
        <v>403</v>
      </c>
      <c r="C108" t="s">
        <v>404</v>
      </c>
      <c r="D108" t="s">
        <v>369</v>
      </c>
      <c r="E108">
        <v>390000</v>
      </c>
      <c r="F108">
        <v>0</v>
      </c>
      <c r="G108">
        <v>5</v>
      </c>
      <c r="H108">
        <v>390000</v>
      </c>
      <c r="I108">
        <v>0</v>
      </c>
      <c r="J108" s="1">
        <v>45185</v>
      </c>
      <c r="K108" t="s">
        <v>388</v>
      </c>
      <c r="L108">
        <v>9</v>
      </c>
      <c r="M108">
        <v>2023</v>
      </c>
      <c r="N108">
        <f t="shared" si="1"/>
        <v>-390000</v>
      </c>
      <c r="O108" s="19">
        <f>IF(Table1_2[Tiền Nhập]&lt;&gt;0, Table1_2[Lợi Nhuận Gộp]/Table1_2[Tiền Nhập], 0)</f>
        <v>-1</v>
      </c>
      <c r="P108">
        <f>IF(Table1_2[SL Xuất]&gt;0, Table1_2[Tiền Xuất]/Table1_2[SL Xuất], 0)</f>
        <v>78000</v>
      </c>
      <c r="Q108">
        <f>Table1_2[SL Xuất] - Table1_2[SL Xuất KM]</f>
        <v>5</v>
      </c>
    </row>
    <row r="109" spans="1:17" x14ac:dyDescent="0.25">
      <c r="A109">
        <v>108</v>
      </c>
      <c r="B109" t="s">
        <v>55</v>
      </c>
      <c r="C109" t="s">
        <v>56</v>
      </c>
      <c r="D109" t="s">
        <v>13</v>
      </c>
      <c r="E109">
        <v>340000</v>
      </c>
      <c r="F109">
        <v>0</v>
      </c>
      <c r="G109">
        <v>20</v>
      </c>
      <c r="H109">
        <v>500000</v>
      </c>
      <c r="I109">
        <v>160000</v>
      </c>
      <c r="J109" s="1">
        <v>45185</v>
      </c>
      <c r="K109" t="s">
        <v>406</v>
      </c>
      <c r="L109">
        <v>9</v>
      </c>
      <c r="M109">
        <v>2023</v>
      </c>
      <c r="N109">
        <f t="shared" si="1"/>
        <v>-180000</v>
      </c>
      <c r="O109" s="19">
        <f>IF(Table1_2[Tiền Nhập]&lt;&gt;0, Table1_2[Lợi Nhuận Gộp]/Table1_2[Tiền Nhập], 0)</f>
        <v>-0.52941176470588236</v>
      </c>
      <c r="P109">
        <f>IF(Table1_2[SL Xuất]&gt;0, Table1_2[Tiền Xuất]/Table1_2[SL Xuất], 0)</f>
        <v>25000</v>
      </c>
      <c r="Q109">
        <f>Table1_2[SL Xuất] - Table1_2[SL Xuất KM]</f>
        <v>20</v>
      </c>
    </row>
    <row r="110" spans="1:17" x14ac:dyDescent="0.25">
      <c r="A110">
        <v>109</v>
      </c>
      <c r="B110" t="s">
        <v>407</v>
      </c>
      <c r="C110" t="s">
        <v>408</v>
      </c>
      <c r="D110" t="s">
        <v>45</v>
      </c>
      <c r="E110">
        <v>144000</v>
      </c>
      <c r="F110">
        <v>0</v>
      </c>
      <c r="G110">
        <v>6</v>
      </c>
      <c r="H110">
        <v>180000</v>
      </c>
      <c r="I110">
        <v>36000</v>
      </c>
      <c r="J110" s="1">
        <v>45185</v>
      </c>
      <c r="K110" t="s">
        <v>410</v>
      </c>
      <c r="L110">
        <v>9</v>
      </c>
      <c r="M110">
        <v>2023</v>
      </c>
      <c r="N110">
        <f t="shared" si="1"/>
        <v>-108000</v>
      </c>
      <c r="O110" s="19">
        <f>IF(Table1_2[Tiền Nhập]&lt;&gt;0, Table1_2[Lợi Nhuận Gộp]/Table1_2[Tiền Nhập], 0)</f>
        <v>-0.75</v>
      </c>
      <c r="P110">
        <f>IF(Table1_2[SL Xuất]&gt;0, Table1_2[Tiền Xuất]/Table1_2[SL Xuất], 0)</f>
        <v>30000</v>
      </c>
      <c r="Q110">
        <f>Table1_2[SL Xuất] - Table1_2[SL Xuất KM]</f>
        <v>6</v>
      </c>
    </row>
    <row r="111" spans="1:17" x14ac:dyDescent="0.25">
      <c r="A111">
        <v>110</v>
      </c>
      <c r="B111" t="s">
        <v>94</v>
      </c>
      <c r="C111" t="s">
        <v>95</v>
      </c>
      <c r="D111" t="s">
        <v>45</v>
      </c>
      <c r="E111">
        <v>98280</v>
      </c>
      <c r="F111">
        <v>0</v>
      </c>
      <c r="G111">
        <v>10</v>
      </c>
      <c r="H111">
        <v>115000</v>
      </c>
      <c r="I111">
        <v>16720</v>
      </c>
      <c r="J111" s="1">
        <v>45185</v>
      </c>
      <c r="K111" t="s">
        <v>410</v>
      </c>
      <c r="L111">
        <v>9</v>
      </c>
      <c r="M111">
        <v>2023</v>
      </c>
      <c r="N111">
        <f t="shared" si="1"/>
        <v>-81560</v>
      </c>
      <c r="O111" s="19">
        <f>IF(Table1_2[Tiền Nhập]&lt;&gt;0, Table1_2[Lợi Nhuận Gộp]/Table1_2[Tiền Nhập], 0)</f>
        <v>-0.82987382987382985</v>
      </c>
      <c r="P111">
        <f>IF(Table1_2[SL Xuất]&gt;0, Table1_2[Tiền Xuất]/Table1_2[SL Xuất], 0)</f>
        <v>11500</v>
      </c>
      <c r="Q111">
        <f>Table1_2[SL Xuất] - Table1_2[SL Xuất KM]</f>
        <v>10</v>
      </c>
    </row>
    <row r="112" spans="1:17" x14ac:dyDescent="0.25">
      <c r="A112">
        <v>111</v>
      </c>
      <c r="B112" t="s">
        <v>413</v>
      </c>
      <c r="C112" t="s">
        <v>414</v>
      </c>
      <c r="D112" t="s">
        <v>194</v>
      </c>
      <c r="E112">
        <v>126000</v>
      </c>
      <c r="F112">
        <v>4</v>
      </c>
      <c r="G112">
        <v>24</v>
      </c>
      <c r="H112">
        <v>168000</v>
      </c>
      <c r="I112">
        <v>42000</v>
      </c>
      <c r="J112" s="1">
        <v>45185</v>
      </c>
      <c r="K112" t="s">
        <v>410</v>
      </c>
      <c r="L112">
        <v>9</v>
      </c>
      <c r="M112">
        <v>2023</v>
      </c>
      <c r="N112">
        <f t="shared" si="1"/>
        <v>-84000</v>
      </c>
      <c r="O112" s="19">
        <f>IF(Table1_2[Tiền Nhập]&lt;&gt;0, Table1_2[Lợi Nhuận Gộp]/Table1_2[Tiền Nhập], 0)</f>
        <v>-0.66666666666666663</v>
      </c>
      <c r="P112">
        <f>IF(Table1_2[SL Xuất]&gt;0, Table1_2[Tiền Xuất]/Table1_2[SL Xuất], 0)</f>
        <v>7000</v>
      </c>
      <c r="Q112">
        <f>Table1_2[SL Xuất] - Table1_2[SL Xuất KM]</f>
        <v>20</v>
      </c>
    </row>
    <row r="113" spans="1:17" x14ac:dyDescent="0.25">
      <c r="A113">
        <v>112</v>
      </c>
      <c r="B113" t="s">
        <v>416</v>
      </c>
      <c r="C113" t="s">
        <v>417</v>
      </c>
      <c r="D113" t="s">
        <v>45</v>
      </c>
      <c r="E113">
        <v>180000</v>
      </c>
      <c r="F113">
        <v>0</v>
      </c>
      <c r="G113">
        <v>10</v>
      </c>
      <c r="H113">
        <v>220000</v>
      </c>
      <c r="I113">
        <v>40000</v>
      </c>
      <c r="J113" s="1">
        <v>45185</v>
      </c>
      <c r="K113" t="s">
        <v>420</v>
      </c>
      <c r="L113">
        <v>9</v>
      </c>
      <c r="M113">
        <v>2023</v>
      </c>
      <c r="N113">
        <f t="shared" si="1"/>
        <v>-140000</v>
      </c>
      <c r="O113" s="19">
        <f>IF(Table1_2[Tiền Nhập]&lt;&gt;0, Table1_2[Lợi Nhuận Gộp]/Table1_2[Tiền Nhập], 0)</f>
        <v>-0.77777777777777779</v>
      </c>
      <c r="P113">
        <f>IF(Table1_2[SL Xuất]&gt;0, Table1_2[Tiền Xuất]/Table1_2[SL Xuất], 0)</f>
        <v>22000</v>
      </c>
      <c r="Q113">
        <f>Table1_2[SL Xuất] - Table1_2[SL Xuất KM]</f>
        <v>10</v>
      </c>
    </row>
    <row r="114" spans="1:17" x14ac:dyDescent="0.25">
      <c r="A114">
        <v>113</v>
      </c>
      <c r="B114" t="s">
        <v>421</v>
      </c>
      <c r="C114" t="s">
        <v>422</v>
      </c>
      <c r="D114" t="s">
        <v>45</v>
      </c>
      <c r="E114">
        <v>265716</v>
      </c>
      <c r="F114">
        <v>0</v>
      </c>
      <c r="G114">
        <v>12</v>
      </c>
      <c r="H114">
        <v>360000</v>
      </c>
      <c r="I114">
        <v>94284</v>
      </c>
      <c r="J114" s="1">
        <v>45185</v>
      </c>
      <c r="K114" t="s">
        <v>420</v>
      </c>
      <c r="L114">
        <v>9</v>
      </c>
      <c r="M114">
        <v>2023</v>
      </c>
      <c r="N114">
        <f t="shared" si="1"/>
        <v>-171432</v>
      </c>
      <c r="O114" s="19">
        <f>IF(Table1_2[Tiền Nhập]&lt;&gt;0, Table1_2[Lợi Nhuận Gộp]/Table1_2[Tiền Nhập], 0)</f>
        <v>-0.64517003116108929</v>
      </c>
      <c r="P114">
        <f>IF(Table1_2[SL Xuất]&gt;0, Table1_2[Tiền Xuất]/Table1_2[SL Xuất], 0)</f>
        <v>30000</v>
      </c>
      <c r="Q114">
        <f>Table1_2[SL Xuất] - Table1_2[SL Xuất KM]</f>
        <v>12</v>
      </c>
    </row>
    <row r="115" spans="1:17" x14ac:dyDescent="0.25">
      <c r="A115">
        <v>114</v>
      </c>
      <c r="B115" t="s">
        <v>421</v>
      </c>
      <c r="C115" t="s">
        <v>422</v>
      </c>
      <c r="D115" t="s">
        <v>45</v>
      </c>
      <c r="E115">
        <v>265716</v>
      </c>
      <c r="F115">
        <v>0</v>
      </c>
      <c r="G115">
        <v>12</v>
      </c>
      <c r="H115">
        <v>360000</v>
      </c>
      <c r="I115">
        <v>94284</v>
      </c>
      <c r="J115" s="1">
        <v>45185</v>
      </c>
      <c r="K115" t="s">
        <v>82</v>
      </c>
      <c r="L115">
        <v>9</v>
      </c>
      <c r="M115">
        <v>2023</v>
      </c>
      <c r="N115">
        <f t="shared" si="1"/>
        <v>-171432</v>
      </c>
      <c r="O115" s="19">
        <f>IF(Table1_2[Tiền Nhập]&lt;&gt;0, Table1_2[Lợi Nhuận Gộp]/Table1_2[Tiền Nhập], 0)</f>
        <v>-0.64517003116108929</v>
      </c>
      <c r="P115">
        <f>IF(Table1_2[SL Xuất]&gt;0, Table1_2[Tiền Xuất]/Table1_2[SL Xuất], 0)</f>
        <v>30000</v>
      </c>
      <c r="Q115">
        <f>Table1_2[SL Xuất] - Table1_2[SL Xuất KM]</f>
        <v>12</v>
      </c>
    </row>
    <row r="116" spans="1:17" x14ac:dyDescent="0.25">
      <c r="A116">
        <v>115</v>
      </c>
      <c r="B116" t="s">
        <v>287</v>
      </c>
      <c r="C116" t="s">
        <v>288</v>
      </c>
      <c r="D116" t="s">
        <v>88</v>
      </c>
      <c r="E116">
        <v>43500</v>
      </c>
      <c r="F116">
        <v>0</v>
      </c>
      <c r="G116">
        <v>3</v>
      </c>
      <c r="H116">
        <v>42000</v>
      </c>
      <c r="I116">
        <v>-1500</v>
      </c>
      <c r="J116" s="1">
        <v>45185</v>
      </c>
      <c r="K116" t="s">
        <v>426</v>
      </c>
      <c r="L116">
        <v>9</v>
      </c>
      <c r="M116">
        <v>2023</v>
      </c>
      <c r="N116">
        <f t="shared" si="1"/>
        <v>-45000</v>
      </c>
      <c r="O116" s="19">
        <f>IF(Table1_2[Tiền Nhập]&lt;&gt;0, Table1_2[Lợi Nhuận Gộp]/Table1_2[Tiền Nhập], 0)</f>
        <v>-1.0344827586206897</v>
      </c>
      <c r="P116">
        <f>IF(Table1_2[SL Xuất]&gt;0, Table1_2[Tiền Xuất]/Table1_2[SL Xuất], 0)</f>
        <v>14000</v>
      </c>
      <c r="Q116">
        <f>Table1_2[SL Xuất] - Table1_2[SL Xuất KM]</f>
        <v>3</v>
      </c>
    </row>
    <row r="117" spans="1:17" x14ac:dyDescent="0.25">
      <c r="A117">
        <v>116</v>
      </c>
      <c r="B117" t="s">
        <v>292</v>
      </c>
      <c r="C117" t="s">
        <v>293</v>
      </c>
      <c r="D117" t="s">
        <v>88</v>
      </c>
      <c r="E117">
        <v>58000</v>
      </c>
      <c r="F117">
        <v>0</v>
      </c>
      <c r="G117">
        <v>4</v>
      </c>
      <c r="H117">
        <v>56000</v>
      </c>
      <c r="I117">
        <v>-2000</v>
      </c>
      <c r="J117" s="1">
        <v>45185</v>
      </c>
      <c r="K117" t="s">
        <v>426</v>
      </c>
      <c r="L117">
        <v>9</v>
      </c>
      <c r="M117">
        <v>2023</v>
      </c>
      <c r="N117">
        <f t="shared" si="1"/>
        <v>-60000</v>
      </c>
      <c r="O117" s="19">
        <f>IF(Table1_2[Tiền Nhập]&lt;&gt;0, Table1_2[Lợi Nhuận Gộp]/Table1_2[Tiền Nhập], 0)</f>
        <v>-1.0344827586206897</v>
      </c>
      <c r="P117">
        <f>IF(Table1_2[SL Xuất]&gt;0, Table1_2[Tiền Xuất]/Table1_2[SL Xuất], 0)</f>
        <v>14000</v>
      </c>
      <c r="Q117">
        <f>Table1_2[SL Xuất] - Table1_2[SL Xuất KM]</f>
        <v>4</v>
      </c>
    </row>
    <row r="118" spans="1:17" x14ac:dyDescent="0.25">
      <c r="A118">
        <v>117</v>
      </c>
      <c r="B118" t="s">
        <v>297</v>
      </c>
      <c r="C118" t="s">
        <v>298</v>
      </c>
      <c r="D118" t="s">
        <v>88</v>
      </c>
      <c r="E118">
        <v>43500</v>
      </c>
      <c r="F118">
        <v>0</v>
      </c>
      <c r="G118">
        <v>3</v>
      </c>
      <c r="H118">
        <v>42000</v>
      </c>
      <c r="I118">
        <v>-1500</v>
      </c>
      <c r="J118" s="1">
        <v>45185</v>
      </c>
      <c r="K118" t="s">
        <v>426</v>
      </c>
      <c r="L118">
        <v>9</v>
      </c>
      <c r="M118">
        <v>2023</v>
      </c>
      <c r="N118">
        <f t="shared" si="1"/>
        <v>-45000</v>
      </c>
      <c r="O118" s="19">
        <f>IF(Table1_2[Tiền Nhập]&lt;&gt;0, Table1_2[Lợi Nhuận Gộp]/Table1_2[Tiền Nhập], 0)</f>
        <v>-1.0344827586206897</v>
      </c>
      <c r="P118">
        <f>IF(Table1_2[SL Xuất]&gt;0, Table1_2[Tiền Xuất]/Table1_2[SL Xuất], 0)</f>
        <v>14000</v>
      </c>
      <c r="Q118">
        <f>Table1_2[SL Xuất] - Table1_2[SL Xuất KM]</f>
        <v>3</v>
      </c>
    </row>
    <row r="119" spans="1:17" x14ac:dyDescent="0.25">
      <c r="A119">
        <v>118</v>
      </c>
      <c r="B119" t="s">
        <v>314</v>
      </c>
      <c r="C119" t="s">
        <v>315</v>
      </c>
      <c r="D119" t="s">
        <v>13</v>
      </c>
      <c r="E119">
        <v>288000</v>
      </c>
      <c r="F119">
        <v>0</v>
      </c>
      <c r="G119">
        <v>48</v>
      </c>
      <c r="H119">
        <v>360000</v>
      </c>
      <c r="I119">
        <v>72000</v>
      </c>
      <c r="J119" s="1">
        <v>45185</v>
      </c>
      <c r="K119" t="s">
        <v>428</v>
      </c>
      <c r="L119">
        <v>9</v>
      </c>
      <c r="M119">
        <v>2023</v>
      </c>
      <c r="N119">
        <f t="shared" si="1"/>
        <v>-216000</v>
      </c>
      <c r="O119" s="19">
        <f>IF(Table1_2[Tiền Nhập]&lt;&gt;0, Table1_2[Lợi Nhuận Gộp]/Table1_2[Tiền Nhập], 0)</f>
        <v>-0.75</v>
      </c>
      <c r="P119">
        <f>IF(Table1_2[SL Xuất]&gt;0, Table1_2[Tiền Xuất]/Table1_2[SL Xuất], 0)</f>
        <v>7500</v>
      </c>
      <c r="Q119">
        <f>Table1_2[SL Xuất] - Table1_2[SL Xuất KM]</f>
        <v>48</v>
      </c>
    </row>
    <row r="120" spans="1:17" x14ac:dyDescent="0.25">
      <c r="A120">
        <v>119</v>
      </c>
      <c r="B120" t="s">
        <v>429</v>
      </c>
      <c r="C120" t="s">
        <v>430</v>
      </c>
      <c r="D120" t="s">
        <v>88</v>
      </c>
      <c r="E120">
        <v>300000</v>
      </c>
      <c r="F120">
        <v>0</v>
      </c>
      <c r="G120">
        <v>3</v>
      </c>
      <c r="H120">
        <v>654000</v>
      </c>
      <c r="I120">
        <v>354000</v>
      </c>
      <c r="J120" s="1">
        <v>45185</v>
      </c>
      <c r="K120" t="s">
        <v>433</v>
      </c>
      <c r="L120">
        <v>9</v>
      </c>
      <c r="M120">
        <v>2023</v>
      </c>
      <c r="N120">
        <f t="shared" si="1"/>
        <v>54000</v>
      </c>
      <c r="O120" s="19">
        <f>IF(Table1_2[Tiền Nhập]&lt;&gt;0, Table1_2[Lợi Nhuận Gộp]/Table1_2[Tiền Nhập], 0)</f>
        <v>0.18</v>
      </c>
      <c r="P120">
        <f>IF(Table1_2[SL Xuất]&gt;0, Table1_2[Tiền Xuất]/Table1_2[SL Xuất], 0)</f>
        <v>218000</v>
      </c>
      <c r="Q120">
        <f>Table1_2[SL Xuất] - Table1_2[SL Xuất KM]</f>
        <v>3</v>
      </c>
    </row>
    <row r="121" spans="1:17" x14ac:dyDescent="0.25">
      <c r="A121">
        <v>120</v>
      </c>
      <c r="B121" t="s">
        <v>259</v>
      </c>
      <c r="C121" t="s">
        <v>260</v>
      </c>
      <c r="D121" t="s">
        <v>88</v>
      </c>
      <c r="E121">
        <v>300000</v>
      </c>
      <c r="F121">
        <v>0</v>
      </c>
      <c r="G121">
        <v>3</v>
      </c>
      <c r="H121">
        <v>654000</v>
      </c>
      <c r="I121">
        <v>354000</v>
      </c>
      <c r="J121" s="1">
        <v>45185</v>
      </c>
      <c r="K121" t="s">
        <v>433</v>
      </c>
      <c r="L121">
        <v>9</v>
      </c>
      <c r="M121">
        <v>2023</v>
      </c>
      <c r="N121">
        <f t="shared" si="1"/>
        <v>54000</v>
      </c>
      <c r="O121" s="19">
        <f>IF(Table1_2[Tiền Nhập]&lt;&gt;0, Table1_2[Lợi Nhuận Gộp]/Table1_2[Tiền Nhập], 0)</f>
        <v>0.18</v>
      </c>
      <c r="P121">
        <f>IF(Table1_2[SL Xuất]&gt;0, Table1_2[Tiền Xuất]/Table1_2[SL Xuất], 0)</f>
        <v>218000</v>
      </c>
      <c r="Q121">
        <f>Table1_2[SL Xuất] - Table1_2[SL Xuất KM]</f>
        <v>3</v>
      </c>
    </row>
    <row r="122" spans="1:17" x14ac:dyDescent="0.25">
      <c r="A122">
        <v>121</v>
      </c>
      <c r="B122" t="s">
        <v>261</v>
      </c>
      <c r="C122" t="s">
        <v>262</v>
      </c>
      <c r="D122" t="s">
        <v>88</v>
      </c>
      <c r="E122">
        <v>0</v>
      </c>
      <c r="F122">
        <v>6</v>
      </c>
      <c r="G122">
        <v>0</v>
      </c>
      <c r="H122">
        <v>-720000</v>
      </c>
      <c r="I122">
        <v>-720000</v>
      </c>
      <c r="J122" s="1">
        <v>45185</v>
      </c>
      <c r="K122" t="s">
        <v>433</v>
      </c>
      <c r="L122">
        <v>9</v>
      </c>
      <c r="M122">
        <v>2023</v>
      </c>
      <c r="N122">
        <f t="shared" si="1"/>
        <v>-720000</v>
      </c>
      <c r="O122" s="19">
        <f>IF(Table1_2[Tiền Nhập]&lt;&gt;0, Table1_2[Lợi Nhuận Gộp]/Table1_2[Tiền Nhập], 0)</f>
        <v>0</v>
      </c>
      <c r="P122">
        <f>IF(Table1_2[SL Xuất]&gt;0, Table1_2[Tiền Xuất]/Table1_2[SL Xuất], 0)</f>
        <v>0</v>
      </c>
      <c r="Q122">
        <f>Table1_2[SL Xuất] - Table1_2[SL Xuất KM]</f>
        <v>-6</v>
      </c>
    </row>
    <row r="123" spans="1:17" x14ac:dyDescent="0.25">
      <c r="A123">
        <v>122</v>
      </c>
      <c r="B123" t="s">
        <v>11</v>
      </c>
      <c r="C123" t="s">
        <v>12</v>
      </c>
      <c r="D123" t="s">
        <v>13</v>
      </c>
      <c r="E123">
        <v>345600</v>
      </c>
      <c r="F123">
        <v>5</v>
      </c>
      <c r="G123">
        <v>48</v>
      </c>
      <c r="H123">
        <v>521000</v>
      </c>
      <c r="I123">
        <v>175400</v>
      </c>
      <c r="J123" s="1">
        <v>45185</v>
      </c>
      <c r="K123" t="s">
        <v>437</v>
      </c>
      <c r="L123">
        <v>9</v>
      </c>
      <c r="M123">
        <v>2023</v>
      </c>
      <c r="N123">
        <f t="shared" si="1"/>
        <v>-170200</v>
      </c>
      <c r="O123" s="19">
        <f>IF(Table1_2[Tiền Nhập]&lt;&gt;0, Table1_2[Lợi Nhuận Gộp]/Table1_2[Tiền Nhập], 0)</f>
        <v>-0.49247685185185186</v>
      </c>
      <c r="P123">
        <f>IF(Table1_2[SL Xuất]&gt;0, Table1_2[Tiền Xuất]/Table1_2[SL Xuất], 0)</f>
        <v>10854.166666666666</v>
      </c>
      <c r="Q123">
        <f>Table1_2[SL Xuất] - Table1_2[SL Xuất KM]</f>
        <v>43</v>
      </c>
    </row>
    <row r="124" spans="1:17" x14ac:dyDescent="0.25">
      <c r="A124">
        <v>123</v>
      </c>
      <c r="B124" t="s">
        <v>421</v>
      </c>
      <c r="C124" t="s">
        <v>422</v>
      </c>
      <c r="D124" t="s">
        <v>45</v>
      </c>
      <c r="E124">
        <v>265716</v>
      </c>
      <c r="F124">
        <v>1</v>
      </c>
      <c r="G124">
        <v>12</v>
      </c>
      <c r="H124">
        <v>377000</v>
      </c>
      <c r="I124">
        <v>111284</v>
      </c>
      <c r="J124" s="1">
        <v>45185</v>
      </c>
      <c r="K124" t="s">
        <v>440</v>
      </c>
      <c r="L124">
        <v>9</v>
      </c>
      <c r="M124">
        <v>2023</v>
      </c>
      <c r="N124">
        <f t="shared" si="1"/>
        <v>-154432</v>
      </c>
      <c r="O124" s="19">
        <f>IF(Table1_2[Tiền Nhập]&lt;&gt;0, Table1_2[Lợi Nhuận Gộp]/Table1_2[Tiền Nhập], 0)</f>
        <v>-0.58119194929925189</v>
      </c>
      <c r="P124">
        <f>IF(Table1_2[SL Xuất]&gt;0, Table1_2[Tiền Xuất]/Table1_2[SL Xuất], 0)</f>
        <v>31416.666666666668</v>
      </c>
      <c r="Q124">
        <f>Table1_2[SL Xuất] - Table1_2[SL Xuất KM]</f>
        <v>11</v>
      </c>
    </row>
    <row r="125" spans="1:17" x14ac:dyDescent="0.25">
      <c r="A125">
        <v>124</v>
      </c>
      <c r="B125" t="s">
        <v>441</v>
      </c>
      <c r="C125" t="s">
        <v>442</v>
      </c>
      <c r="D125" t="s">
        <v>23</v>
      </c>
      <c r="E125">
        <v>216000</v>
      </c>
      <c r="F125">
        <v>0</v>
      </c>
      <c r="G125">
        <v>12</v>
      </c>
      <c r="H125">
        <v>264000</v>
      </c>
      <c r="I125">
        <v>48000</v>
      </c>
      <c r="J125" s="1">
        <v>45185</v>
      </c>
      <c r="K125" t="s">
        <v>440</v>
      </c>
      <c r="L125">
        <v>9</v>
      </c>
      <c r="M125">
        <v>2023</v>
      </c>
      <c r="N125">
        <f t="shared" si="1"/>
        <v>-168000</v>
      </c>
      <c r="O125" s="19">
        <f>IF(Table1_2[Tiền Nhập]&lt;&gt;0, Table1_2[Lợi Nhuận Gộp]/Table1_2[Tiền Nhập], 0)</f>
        <v>-0.77777777777777779</v>
      </c>
      <c r="P125">
        <f>IF(Table1_2[SL Xuất]&gt;0, Table1_2[Tiền Xuất]/Table1_2[SL Xuất], 0)</f>
        <v>22000</v>
      </c>
      <c r="Q125">
        <f>Table1_2[SL Xuất] - Table1_2[SL Xuất KM]</f>
        <v>12</v>
      </c>
    </row>
    <row r="126" spans="1:17" x14ac:dyDescent="0.25">
      <c r="A126">
        <v>125</v>
      </c>
      <c r="B126" t="s">
        <v>444</v>
      </c>
      <c r="C126" t="s">
        <v>445</v>
      </c>
      <c r="D126" t="s">
        <v>446</v>
      </c>
      <c r="E126">
        <v>267000</v>
      </c>
      <c r="F126">
        <v>2</v>
      </c>
      <c r="G126">
        <v>10</v>
      </c>
      <c r="H126">
        <v>270000</v>
      </c>
      <c r="I126">
        <v>3000</v>
      </c>
      <c r="J126" s="1">
        <v>45185</v>
      </c>
      <c r="K126" t="s">
        <v>449</v>
      </c>
      <c r="L126">
        <v>9</v>
      </c>
      <c r="M126">
        <v>2023</v>
      </c>
      <c r="N126">
        <f t="shared" si="1"/>
        <v>-264000</v>
      </c>
      <c r="O126" s="19">
        <f>IF(Table1_2[Tiền Nhập]&lt;&gt;0, Table1_2[Lợi Nhuận Gộp]/Table1_2[Tiền Nhập], 0)</f>
        <v>-0.9887640449438202</v>
      </c>
      <c r="P126">
        <f>IF(Table1_2[SL Xuất]&gt;0, Table1_2[Tiền Xuất]/Table1_2[SL Xuất], 0)</f>
        <v>27000</v>
      </c>
      <c r="Q126">
        <f>Table1_2[SL Xuất] - Table1_2[SL Xuất KM]</f>
        <v>8</v>
      </c>
    </row>
    <row r="127" spans="1:17" x14ac:dyDescent="0.25">
      <c r="A127">
        <v>126</v>
      </c>
      <c r="B127" t="s">
        <v>11</v>
      </c>
      <c r="C127" t="s">
        <v>12</v>
      </c>
      <c r="D127" t="s">
        <v>13</v>
      </c>
      <c r="E127">
        <v>345600</v>
      </c>
      <c r="F127">
        <v>5</v>
      </c>
      <c r="G127">
        <v>48</v>
      </c>
      <c r="H127">
        <v>521000</v>
      </c>
      <c r="I127">
        <v>175400</v>
      </c>
      <c r="J127" s="1">
        <v>45185</v>
      </c>
      <c r="K127" t="s">
        <v>449</v>
      </c>
      <c r="L127">
        <v>9</v>
      </c>
      <c r="M127">
        <v>2023</v>
      </c>
      <c r="N127">
        <f t="shared" si="1"/>
        <v>-170200</v>
      </c>
      <c r="O127" s="19">
        <f>IF(Table1_2[Tiền Nhập]&lt;&gt;0, Table1_2[Lợi Nhuận Gộp]/Table1_2[Tiền Nhập], 0)</f>
        <v>-0.49247685185185186</v>
      </c>
      <c r="P127">
        <f>IF(Table1_2[SL Xuất]&gt;0, Table1_2[Tiền Xuất]/Table1_2[SL Xuất], 0)</f>
        <v>10854.166666666666</v>
      </c>
      <c r="Q127">
        <f>Table1_2[SL Xuất] - Table1_2[SL Xuất KM]</f>
        <v>43</v>
      </c>
    </row>
    <row r="128" spans="1:17" x14ac:dyDescent="0.25">
      <c r="A128">
        <v>127</v>
      </c>
      <c r="B128" t="s">
        <v>11</v>
      </c>
      <c r="C128" t="s">
        <v>12</v>
      </c>
      <c r="D128" t="s">
        <v>13</v>
      </c>
      <c r="E128">
        <v>345600</v>
      </c>
      <c r="F128">
        <v>5</v>
      </c>
      <c r="G128">
        <v>48</v>
      </c>
      <c r="H128">
        <v>521000</v>
      </c>
      <c r="I128">
        <v>175400</v>
      </c>
      <c r="J128" s="1">
        <v>45185</v>
      </c>
      <c r="K128" t="s">
        <v>450</v>
      </c>
      <c r="L128">
        <v>9</v>
      </c>
      <c r="M128">
        <v>2023</v>
      </c>
      <c r="N128">
        <f t="shared" si="1"/>
        <v>-170200</v>
      </c>
      <c r="O128" s="19">
        <f>IF(Table1_2[Tiền Nhập]&lt;&gt;0, Table1_2[Lợi Nhuận Gộp]/Table1_2[Tiền Nhập], 0)</f>
        <v>-0.49247685185185186</v>
      </c>
      <c r="P128">
        <f>IF(Table1_2[SL Xuất]&gt;0, Table1_2[Tiền Xuất]/Table1_2[SL Xuất], 0)</f>
        <v>10854.166666666666</v>
      </c>
      <c r="Q128">
        <f>Table1_2[SL Xuất] - Table1_2[SL Xuất KM]</f>
        <v>43</v>
      </c>
    </row>
    <row r="129" spans="1:17" x14ac:dyDescent="0.25">
      <c r="A129">
        <v>128</v>
      </c>
      <c r="B129" t="s">
        <v>342</v>
      </c>
      <c r="C129" t="s">
        <v>343</v>
      </c>
      <c r="D129" t="s">
        <v>85</v>
      </c>
      <c r="E129">
        <v>138000</v>
      </c>
      <c r="F129">
        <v>0</v>
      </c>
      <c r="G129">
        <v>6</v>
      </c>
      <c r="H129">
        <v>162000</v>
      </c>
      <c r="I129">
        <v>24000</v>
      </c>
      <c r="J129" s="1">
        <v>45185</v>
      </c>
      <c r="K129" t="s">
        <v>451</v>
      </c>
      <c r="L129">
        <v>9</v>
      </c>
      <c r="M129">
        <v>2023</v>
      </c>
      <c r="N129">
        <f t="shared" si="1"/>
        <v>-114000</v>
      </c>
      <c r="O129" s="19">
        <f>IF(Table1_2[Tiền Nhập]&lt;&gt;0, Table1_2[Lợi Nhuận Gộp]/Table1_2[Tiền Nhập], 0)</f>
        <v>-0.82608695652173914</v>
      </c>
      <c r="P129">
        <f>IF(Table1_2[SL Xuất]&gt;0, Table1_2[Tiền Xuất]/Table1_2[SL Xuất], 0)</f>
        <v>27000</v>
      </c>
      <c r="Q129">
        <f>Table1_2[SL Xuất] - Table1_2[SL Xuất KM]</f>
        <v>6</v>
      </c>
    </row>
    <row r="130" spans="1:17" x14ac:dyDescent="0.25">
      <c r="A130">
        <v>129</v>
      </c>
      <c r="B130" t="s">
        <v>452</v>
      </c>
      <c r="C130" t="s">
        <v>453</v>
      </c>
      <c r="D130" t="s">
        <v>88</v>
      </c>
      <c r="E130">
        <v>1215000</v>
      </c>
      <c r="F130">
        <v>0</v>
      </c>
      <c r="G130">
        <v>6</v>
      </c>
      <c r="H130">
        <v>1620000</v>
      </c>
      <c r="I130">
        <v>405000</v>
      </c>
      <c r="J130" s="1">
        <v>45185</v>
      </c>
      <c r="K130" t="s">
        <v>451</v>
      </c>
      <c r="L130">
        <v>9</v>
      </c>
      <c r="M130">
        <v>2023</v>
      </c>
      <c r="N130">
        <f t="shared" ref="N130:N193" si="2">I130-E130</f>
        <v>-810000</v>
      </c>
      <c r="O130" s="19">
        <f>IF(Table1_2[Tiền Nhập]&lt;&gt;0, Table1_2[Lợi Nhuận Gộp]/Table1_2[Tiền Nhập], 0)</f>
        <v>-0.66666666666666663</v>
      </c>
      <c r="P130">
        <f>IF(Table1_2[SL Xuất]&gt;0, Table1_2[Tiền Xuất]/Table1_2[SL Xuất], 0)</f>
        <v>270000</v>
      </c>
      <c r="Q130">
        <f>Table1_2[SL Xuất] - Table1_2[SL Xuất KM]</f>
        <v>6</v>
      </c>
    </row>
    <row r="131" spans="1:17" x14ac:dyDescent="0.25">
      <c r="A131">
        <v>130</v>
      </c>
      <c r="B131" t="s">
        <v>169</v>
      </c>
      <c r="C131" t="s">
        <v>170</v>
      </c>
      <c r="D131" t="s">
        <v>88</v>
      </c>
      <c r="E131">
        <v>1152000</v>
      </c>
      <c r="F131">
        <v>0</v>
      </c>
      <c r="G131">
        <v>6</v>
      </c>
      <c r="H131">
        <v>1440000</v>
      </c>
      <c r="I131">
        <v>288000</v>
      </c>
      <c r="J131" s="1">
        <v>45185</v>
      </c>
      <c r="K131" t="s">
        <v>451</v>
      </c>
      <c r="L131">
        <v>9</v>
      </c>
      <c r="M131">
        <v>2023</v>
      </c>
      <c r="N131">
        <f t="shared" si="2"/>
        <v>-864000</v>
      </c>
      <c r="O131" s="19">
        <f>IF(Table1_2[Tiền Nhập]&lt;&gt;0, Table1_2[Lợi Nhuận Gộp]/Table1_2[Tiền Nhập], 0)</f>
        <v>-0.75</v>
      </c>
      <c r="P131">
        <f>IF(Table1_2[SL Xuất]&gt;0, Table1_2[Tiền Xuất]/Table1_2[SL Xuất], 0)</f>
        <v>240000</v>
      </c>
      <c r="Q131">
        <f>Table1_2[SL Xuất] - Table1_2[SL Xuất KM]</f>
        <v>6</v>
      </c>
    </row>
    <row r="132" spans="1:17" x14ac:dyDescent="0.25">
      <c r="A132">
        <v>131</v>
      </c>
      <c r="B132" t="s">
        <v>429</v>
      </c>
      <c r="C132" t="s">
        <v>430</v>
      </c>
      <c r="D132" t="s">
        <v>88</v>
      </c>
      <c r="E132">
        <v>0</v>
      </c>
      <c r="F132">
        <v>6</v>
      </c>
      <c r="G132">
        <v>0</v>
      </c>
      <c r="H132">
        <v>-720000</v>
      </c>
      <c r="I132">
        <v>-720000</v>
      </c>
      <c r="J132" s="1">
        <v>45185</v>
      </c>
      <c r="K132" t="s">
        <v>451</v>
      </c>
      <c r="L132">
        <v>9</v>
      </c>
      <c r="M132">
        <v>2023</v>
      </c>
      <c r="N132">
        <f t="shared" si="2"/>
        <v>-720000</v>
      </c>
      <c r="O132" s="19">
        <f>IF(Table1_2[Tiền Nhập]&lt;&gt;0, Table1_2[Lợi Nhuận Gộp]/Table1_2[Tiền Nhập], 0)</f>
        <v>0</v>
      </c>
      <c r="P132">
        <f>IF(Table1_2[SL Xuất]&gt;0, Table1_2[Tiền Xuất]/Table1_2[SL Xuất], 0)</f>
        <v>0</v>
      </c>
      <c r="Q132">
        <f>Table1_2[SL Xuất] - Table1_2[SL Xuất KM]</f>
        <v>-6</v>
      </c>
    </row>
    <row r="133" spans="1:17" x14ac:dyDescent="0.25">
      <c r="A133">
        <v>132</v>
      </c>
      <c r="B133" t="s">
        <v>259</v>
      </c>
      <c r="C133" t="s">
        <v>260</v>
      </c>
      <c r="D133" t="s">
        <v>88</v>
      </c>
      <c r="E133">
        <v>0</v>
      </c>
      <c r="F133">
        <v>6</v>
      </c>
      <c r="G133">
        <v>0</v>
      </c>
      <c r="H133">
        <v>-720000</v>
      </c>
      <c r="I133">
        <v>-720000</v>
      </c>
      <c r="J133" s="1">
        <v>45185</v>
      </c>
      <c r="K133" t="s">
        <v>451</v>
      </c>
      <c r="L133">
        <v>9</v>
      </c>
      <c r="M133">
        <v>2023</v>
      </c>
      <c r="N133">
        <f t="shared" si="2"/>
        <v>-720000</v>
      </c>
      <c r="O133" s="19">
        <f>IF(Table1_2[Tiền Nhập]&lt;&gt;0, Table1_2[Lợi Nhuận Gộp]/Table1_2[Tiền Nhập], 0)</f>
        <v>0</v>
      </c>
      <c r="P133">
        <f>IF(Table1_2[SL Xuất]&gt;0, Table1_2[Tiền Xuất]/Table1_2[SL Xuất], 0)</f>
        <v>0</v>
      </c>
      <c r="Q133">
        <f>Table1_2[SL Xuất] - Table1_2[SL Xuất KM]</f>
        <v>-6</v>
      </c>
    </row>
    <row r="134" spans="1:17" x14ac:dyDescent="0.25">
      <c r="A134">
        <v>133</v>
      </c>
      <c r="B134" t="s">
        <v>459</v>
      </c>
      <c r="C134" t="s">
        <v>460</v>
      </c>
      <c r="D134" t="s">
        <v>88</v>
      </c>
      <c r="E134">
        <v>900000</v>
      </c>
      <c r="F134">
        <v>0</v>
      </c>
      <c r="G134">
        <v>6</v>
      </c>
      <c r="H134">
        <v>1308000</v>
      </c>
      <c r="I134">
        <v>408000</v>
      </c>
      <c r="J134" s="1">
        <v>45185</v>
      </c>
      <c r="K134" t="s">
        <v>451</v>
      </c>
      <c r="L134">
        <v>9</v>
      </c>
      <c r="M134">
        <v>2023</v>
      </c>
      <c r="N134">
        <f t="shared" si="2"/>
        <v>-492000</v>
      </c>
      <c r="O134" s="19">
        <f>IF(Table1_2[Tiền Nhập]&lt;&gt;0, Table1_2[Lợi Nhuận Gộp]/Table1_2[Tiền Nhập], 0)</f>
        <v>-0.54666666666666663</v>
      </c>
      <c r="P134">
        <f>IF(Table1_2[SL Xuất]&gt;0, Table1_2[Tiền Xuất]/Table1_2[SL Xuất], 0)</f>
        <v>218000</v>
      </c>
      <c r="Q134">
        <f>Table1_2[SL Xuất] - Table1_2[SL Xuất KM]</f>
        <v>6</v>
      </c>
    </row>
    <row r="135" spans="1:17" x14ac:dyDescent="0.25">
      <c r="A135">
        <v>134</v>
      </c>
      <c r="B135" t="s">
        <v>261</v>
      </c>
      <c r="C135" t="s">
        <v>262</v>
      </c>
      <c r="D135" t="s">
        <v>88</v>
      </c>
      <c r="E135">
        <v>600000</v>
      </c>
      <c r="F135">
        <v>0</v>
      </c>
      <c r="G135">
        <v>6</v>
      </c>
      <c r="H135">
        <v>1308000</v>
      </c>
      <c r="I135">
        <v>708000</v>
      </c>
      <c r="J135" s="1">
        <v>45185</v>
      </c>
      <c r="K135" t="s">
        <v>451</v>
      </c>
      <c r="L135">
        <v>9</v>
      </c>
      <c r="M135">
        <v>2023</v>
      </c>
      <c r="N135">
        <f t="shared" si="2"/>
        <v>108000</v>
      </c>
      <c r="O135" s="19">
        <f>IF(Table1_2[Tiền Nhập]&lt;&gt;0, Table1_2[Lợi Nhuận Gộp]/Table1_2[Tiền Nhập], 0)</f>
        <v>0.18</v>
      </c>
      <c r="P135">
        <f>IF(Table1_2[SL Xuất]&gt;0, Table1_2[Tiền Xuất]/Table1_2[SL Xuất], 0)</f>
        <v>218000</v>
      </c>
      <c r="Q135">
        <f>Table1_2[SL Xuất] - Table1_2[SL Xuất KM]</f>
        <v>6</v>
      </c>
    </row>
    <row r="136" spans="1:17" x14ac:dyDescent="0.25">
      <c r="A136">
        <v>135</v>
      </c>
      <c r="B136" t="s">
        <v>466</v>
      </c>
      <c r="C136" t="s">
        <v>467</v>
      </c>
      <c r="D136" t="s">
        <v>468</v>
      </c>
      <c r="E136">
        <v>0</v>
      </c>
      <c r="F136">
        <v>0</v>
      </c>
      <c r="G136">
        <v>0</v>
      </c>
      <c r="H136">
        <v>0</v>
      </c>
      <c r="I136">
        <v>0</v>
      </c>
      <c r="J136" s="1">
        <v>45185</v>
      </c>
      <c r="K136" t="s">
        <v>451</v>
      </c>
      <c r="L136">
        <v>9</v>
      </c>
      <c r="M136">
        <v>2023</v>
      </c>
      <c r="N136">
        <f t="shared" si="2"/>
        <v>0</v>
      </c>
      <c r="O136" s="19">
        <f>IF(Table1_2[Tiền Nhập]&lt;&gt;0, Table1_2[Lợi Nhuận Gộp]/Table1_2[Tiền Nhập], 0)</f>
        <v>0</v>
      </c>
      <c r="P136">
        <f>IF(Table1_2[SL Xuất]&gt;0, Table1_2[Tiền Xuất]/Table1_2[SL Xuất], 0)</f>
        <v>0</v>
      </c>
      <c r="Q136">
        <f>Table1_2[SL Xuất] - Table1_2[SL Xuất KM]</f>
        <v>0</v>
      </c>
    </row>
    <row r="137" spans="1:17" x14ac:dyDescent="0.25">
      <c r="A137">
        <v>136</v>
      </c>
      <c r="B137" t="s">
        <v>314</v>
      </c>
      <c r="C137" t="s">
        <v>315</v>
      </c>
      <c r="D137" t="s">
        <v>13</v>
      </c>
      <c r="E137">
        <v>1440000</v>
      </c>
      <c r="F137">
        <v>0</v>
      </c>
      <c r="G137">
        <v>240</v>
      </c>
      <c r="H137">
        <v>1920000</v>
      </c>
      <c r="I137">
        <v>480000</v>
      </c>
      <c r="J137" s="1">
        <v>45185</v>
      </c>
      <c r="K137" t="s">
        <v>451</v>
      </c>
      <c r="L137">
        <v>9</v>
      </c>
      <c r="M137">
        <v>2023</v>
      </c>
      <c r="N137">
        <f t="shared" si="2"/>
        <v>-960000</v>
      </c>
      <c r="O137" s="19">
        <f>IF(Table1_2[Tiền Nhập]&lt;&gt;0, Table1_2[Lợi Nhuận Gộp]/Table1_2[Tiền Nhập], 0)</f>
        <v>-0.66666666666666663</v>
      </c>
      <c r="P137">
        <f>IF(Table1_2[SL Xuất]&gt;0, Table1_2[Tiền Xuất]/Table1_2[SL Xuất], 0)</f>
        <v>8000</v>
      </c>
      <c r="Q137">
        <f>Table1_2[SL Xuất] - Table1_2[SL Xuất KM]</f>
        <v>240</v>
      </c>
    </row>
    <row r="138" spans="1:17" x14ac:dyDescent="0.25">
      <c r="A138">
        <v>137</v>
      </c>
      <c r="B138" t="s">
        <v>11</v>
      </c>
      <c r="C138" t="s">
        <v>12</v>
      </c>
      <c r="D138" t="s">
        <v>13</v>
      </c>
      <c r="E138">
        <v>345600</v>
      </c>
      <c r="F138">
        <v>5</v>
      </c>
      <c r="G138">
        <v>48</v>
      </c>
      <c r="H138">
        <v>526000</v>
      </c>
      <c r="I138">
        <v>180400</v>
      </c>
      <c r="J138" s="1">
        <v>45185</v>
      </c>
      <c r="K138" t="s">
        <v>473</v>
      </c>
      <c r="L138">
        <v>9</v>
      </c>
      <c r="M138">
        <v>2023</v>
      </c>
      <c r="N138">
        <f t="shared" si="2"/>
        <v>-165200</v>
      </c>
      <c r="O138" s="19">
        <f>IF(Table1_2[Tiền Nhập]&lt;&gt;0, Table1_2[Lợi Nhuận Gộp]/Table1_2[Tiền Nhập], 0)</f>
        <v>-0.47800925925925924</v>
      </c>
      <c r="P138">
        <f>IF(Table1_2[SL Xuất]&gt;0, Table1_2[Tiền Xuất]/Table1_2[SL Xuất], 0)</f>
        <v>10958.333333333334</v>
      </c>
      <c r="Q138">
        <f>Table1_2[SL Xuất] - Table1_2[SL Xuất KM]</f>
        <v>43</v>
      </c>
    </row>
    <row r="139" spans="1:17" x14ac:dyDescent="0.25">
      <c r="A139">
        <v>138</v>
      </c>
      <c r="B139" t="s">
        <v>28</v>
      </c>
      <c r="C139" t="s">
        <v>29</v>
      </c>
      <c r="D139" t="s">
        <v>30</v>
      </c>
      <c r="E139">
        <v>182500</v>
      </c>
      <c r="F139">
        <v>0</v>
      </c>
      <c r="G139">
        <v>2</v>
      </c>
      <c r="H139">
        <v>260000</v>
      </c>
      <c r="I139">
        <v>77500</v>
      </c>
      <c r="J139" s="1">
        <v>45185</v>
      </c>
      <c r="K139" t="s">
        <v>473</v>
      </c>
      <c r="L139">
        <v>9</v>
      </c>
      <c r="M139">
        <v>2023</v>
      </c>
      <c r="N139">
        <f t="shared" si="2"/>
        <v>-105000</v>
      </c>
      <c r="O139" s="19">
        <f>IF(Table1_2[Tiền Nhập]&lt;&gt;0, Table1_2[Lợi Nhuận Gộp]/Table1_2[Tiền Nhập], 0)</f>
        <v>-0.57534246575342463</v>
      </c>
      <c r="P139">
        <f>IF(Table1_2[SL Xuất]&gt;0, Table1_2[Tiền Xuất]/Table1_2[SL Xuất], 0)</f>
        <v>130000</v>
      </c>
      <c r="Q139">
        <f>Table1_2[SL Xuất] - Table1_2[SL Xuất KM]</f>
        <v>2</v>
      </c>
    </row>
    <row r="140" spans="1:17" x14ac:dyDescent="0.25">
      <c r="A140">
        <v>139</v>
      </c>
      <c r="B140" t="s">
        <v>476</v>
      </c>
      <c r="C140" t="s">
        <v>477</v>
      </c>
      <c r="D140" t="s">
        <v>30</v>
      </c>
      <c r="E140">
        <v>182500</v>
      </c>
      <c r="F140">
        <v>0</v>
      </c>
      <c r="G140">
        <v>2</v>
      </c>
      <c r="H140">
        <v>260000</v>
      </c>
      <c r="I140">
        <v>77500</v>
      </c>
      <c r="J140" s="1">
        <v>45185</v>
      </c>
      <c r="K140" t="s">
        <v>473</v>
      </c>
      <c r="L140">
        <v>9</v>
      </c>
      <c r="M140">
        <v>2023</v>
      </c>
      <c r="N140">
        <f t="shared" si="2"/>
        <v>-105000</v>
      </c>
      <c r="O140" s="19">
        <f>IF(Table1_2[Tiền Nhập]&lt;&gt;0, Table1_2[Lợi Nhuận Gộp]/Table1_2[Tiền Nhập], 0)</f>
        <v>-0.57534246575342463</v>
      </c>
      <c r="P140">
        <f>IF(Table1_2[SL Xuất]&gt;0, Table1_2[Tiền Xuất]/Table1_2[SL Xuất], 0)</f>
        <v>130000</v>
      </c>
      <c r="Q140">
        <f>Table1_2[SL Xuất] - Table1_2[SL Xuất KM]</f>
        <v>2</v>
      </c>
    </row>
    <row r="141" spans="1:17" x14ac:dyDescent="0.25">
      <c r="A141">
        <v>140</v>
      </c>
      <c r="B141" t="s">
        <v>314</v>
      </c>
      <c r="C141" t="s">
        <v>315</v>
      </c>
      <c r="D141" t="s">
        <v>13</v>
      </c>
      <c r="E141">
        <v>288000</v>
      </c>
      <c r="F141">
        <v>0</v>
      </c>
      <c r="G141">
        <v>48</v>
      </c>
      <c r="H141">
        <v>360000</v>
      </c>
      <c r="I141">
        <v>72000</v>
      </c>
      <c r="J141" s="1">
        <v>45185</v>
      </c>
      <c r="K141" t="s">
        <v>478</v>
      </c>
      <c r="L141">
        <v>9</v>
      </c>
      <c r="M141">
        <v>2023</v>
      </c>
      <c r="N141">
        <f t="shared" si="2"/>
        <v>-216000</v>
      </c>
      <c r="O141" s="19">
        <f>IF(Table1_2[Tiền Nhập]&lt;&gt;0, Table1_2[Lợi Nhuận Gộp]/Table1_2[Tiền Nhập], 0)</f>
        <v>-0.75</v>
      </c>
      <c r="P141">
        <f>IF(Table1_2[SL Xuất]&gt;0, Table1_2[Tiền Xuất]/Table1_2[SL Xuất], 0)</f>
        <v>7500</v>
      </c>
      <c r="Q141">
        <f>Table1_2[SL Xuất] - Table1_2[SL Xuất KM]</f>
        <v>48</v>
      </c>
    </row>
    <row r="142" spans="1:17" x14ac:dyDescent="0.25">
      <c r="A142">
        <v>141</v>
      </c>
      <c r="B142" t="s">
        <v>479</v>
      </c>
      <c r="C142" t="s">
        <v>480</v>
      </c>
      <c r="D142" t="s">
        <v>45</v>
      </c>
      <c r="E142">
        <v>300000</v>
      </c>
      <c r="F142">
        <v>1</v>
      </c>
      <c r="G142">
        <v>12</v>
      </c>
      <c r="H142">
        <v>409000</v>
      </c>
      <c r="I142">
        <v>109000</v>
      </c>
      <c r="J142" s="1">
        <v>45185</v>
      </c>
      <c r="K142" t="s">
        <v>483</v>
      </c>
      <c r="L142">
        <v>9</v>
      </c>
      <c r="M142">
        <v>2023</v>
      </c>
      <c r="N142">
        <f t="shared" si="2"/>
        <v>-191000</v>
      </c>
      <c r="O142" s="19">
        <f>IF(Table1_2[Tiền Nhập]&lt;&gt;0, Table1_2[Lợi Nhuận Gộp]/Table1_2[Tiền Nhập], 0)</f>
        <v>-0.63666666666666671</v>
      </c>
      <c r="P142">
        <f>IF(Table1_2[SL Xuất]&gt;0, Table1_2[Tiền Xuất]/Table1_2[SL Xuất], 0)</f>
        <v>34083.333333333336</v>
      </c>
      <c r="Q142">
        <f>Table1_2[SL Xuất] - Table1_2[SL Xuất KM]</f>
        <v>11</v>
      </c>
    </row>
    <row r="143" spans="1:17" x14ac:dyDescent="0.25">
      <c r="A143">
        <v>142</v>
      </c>
      <c r="B143" t="s">
        <v>484</v>
      </c>
      <c r="C143" t="s">
        <v>485</v>
      </c>
      <c r="D143" t="s">
        <v>13</v>
      </c>
      <c r="E143">
        <v>111000</v>
      </c>
      <c r="F143">
        <v>0</v>
      </c>
      <c r="G143">
        <v>6</v>
      </c>
      <c r="H143">
        <v>162000</v>
      </c>
      <c r="I143">
        <v>51000</v>
      </c>
      <c r="J143" s="1">
        <v>45185</v>
      </c>
      <c r="K143" t="s">
        <v>483</v>
      </c>
      <c r="L143">
        <v>9</v>
      </c>
      <c r="M143">
        <v>2023</v>
      </c>
      <c r="N143">
        <f t="shared" si="2"/>
        <v>-60000</v>
      </c>
      <c r="O143" s="19">
        <f>IF(Table1_2[Tiền Nhập]&lt;&gt;0, Table1_2[Lợi Nhuận Gộp]/Table1_2[Tiền Nhập], 0)</f>
        <v>-0.54054054054054057</v>
      </c>
      <c r="P143">
        <f>IF(Table1_2[SL Xuất]&gt;0, Table1_2[Tiền Xuất]/Table1_2[SL Xuất], 0)</f>
        <v>27000</v>
      </c>
      <c r="Q143">
        <f>Table1_2[SL Xuất] - Table1_2[SL Xuất KM]</f>
        <v>6</v>
      </c>
    </row>
    <row r="144" spans="1:17" x14ac:dyDescent="0.25">
      <c r="A144">
        <v>143</v>
      </c>
      <c r="B144" t="s">
        <v>488</v>
      </c>
      <c r="C144" t="s">
        <v>489</v>
      </c>
      <c r="D144" t="s">
        <v>369</v>
      </c>
      <c r="E144">
        <v>162000</v>
      </c>
      <c r="F144">
        <v>0</v>
      </c>
      <c r="G144">
        <v>1</v>
      </c>
      <c r="H144">
        <v>180000</v>
      </c>
      <c r="I144">
        <v>18000</v>
      </c>
      <c r="J144" s="1">
        <v>45185</v>
      </c>
      <c r="K144" t="s">
        <v>483</v>
      </c>
      <c r="L144">
        <v>9</v>
      </c>
      <c r="M144">
        <v>2023</v>
      </c>
      <c r="N144">
        <f t="shared" si="2"/>
        <v>-144000</v>
      </c>
      <c r="O144" s="19">
        <f>IF(Table1_2[Tiền Nhập]&lt;&gt;0, Table1_2[Lợi Nhuận Gộp]/Table1_2[Tiền Nhập], 0)</f>
        <v>-0.88888888888888884</v>
      </c>
      <c r="P144">
        <f>IF(Table1_2[SL Xuất]&gt;0, Table1_2[Tiền Xuất]/Table1_2[SL Xuất], 0)</f>
        <v>180000</v>
      </c>
      <c r="Q144">
        <f>Table1_2[SL Xuất] - Table1_2[SL Xuất KM]</f>
        <v>1</v>
      </c>
    </row>
    <row r="145" spans="1:17" x14ac:dyDescent="0.25">
      <c r="A145">
        <v>144</v>
      </c>
      <c r="B145" t="s">
        <v>491</v>
      </c>
      <c r="C145" t="s">
        <v>492</v>
      </c>
      <c r="D145" t="s">
        <v>88</v>
      </c>
      <c r="E145">
        <v>110000</v>
      </c>
      <c r="F145">
        <v>0</v>
      </c>
      <c r="G145">
        <v>10</v>
      </c>
      <c r="H145">
        <v>160000</v>
      </c>
      <c r="I145">
        <v>50000</v>
      </c>
      <c r="J145" s="1">
        <v>45185</v>
      </c>
      <c r="K145" t="s">
        <v>483</v>
      </c>
      <c r="L145">
        <v>9</v>
      </c>
      <c r="M145">
        <v>2023</v>
      </c>
      <c r="N145">
        <f t="shared" si="2"/>
        <v>-60000</v>
      </c>
      <c r="O145" s="19">
        <f>IF(Table1_2[Tiền Nhập]&lt;&gt;0, Table1_2[Lợi Nhuận Gộp]/Table1_2[Tiền Nhập], 0)</f>
        <v>-0.54545454545454541</v>
      </c>
      <c r="P145">
        <f>IF(Table1_2[SL Xuất]&gt;0, Table1_2[Tiền Xuất]/Table1_2[SL Xuất], 0)</f>
        <v>16000</v>
      </c>
      <c r="Q145">
        <f>Table1_2[SL Xuất] - Table1_2[SL Xuất KM]</f>
        <v>10</v>
      </c>
    </row>
    <row r="146" spans="1:17" x14ac:dyDescent="0.25">
      <c r="A146">
        <v>145</v>
      </c>
      <c r="B146" t="s">
        <v>493</v>
      </c>
      <c r="C146" t="s">
        <v>494</v>
      </c>
      <c r="D146" t="s">
        <v>149</v>
      </c>
      <c r="E146">
        <v>0</v>
      </c>
      <c r="F146">
        <v>1</v>
      </c>
      <c r="G146">
        <v>0</v>
      </c>
      <c r="H146">
        <v>-370000</v>
      </c>
      <c r="I146">
        <v>-370000</v>
      </c>
      <c r="J146" s="1">
        <v>45185</v>
      </c>
      <c r="K146" t="s">
        <v>119</v>
      </c>
      <c r="L146">
        <v>9</v>
      </c>
      <c r="M146">
        <v>2023</v>
      </c>
      <c r="N146">
        <f t="shared" si="2"/>
        <v>-370000</v>
      </c>
      <c r="O146" s="19">
        <f>IF(Table1_2[Tiền Nhập]&lt;&gt;0, Table1_2[Lợi Nhuận Gộp]/Table1_2[Tiền Nhập], 0)</f>
        <v>0</v>
      </c>
      <c r="P146">
        <f>IF(Table1_2[SL Xuất]&gt;0, Table1_2[Tiền Xuất]/Table1_2[SL Xuất], 0)</f>
        <v>0</v>
      </c>
      <c r="Q146">
        <f>Table1_2[SL Xuất] - Table1_2[SL Xuất KM]</f>
        <v>-1</v>
      </c>
    </row>
    <row r="147" spans="1:17" x14ac:dyDescent="0.25">
      <c r="A147">
        <v>146</v>
      </c>
      <c r="B147" t="s">
        <v>128</v>
      </c>
      <c r="C147" t="s">
        <v>129</v>
      </c>
      <c r="D147" t="s">
        <v>13</v>
      </c>
      <c r="E147">
        <v>855000</v>
      </c>
      <c r="F147">
        <v>0</v>
      </c>
      <c r="G147">
        <v>90</v>
      </c>
      <c r="H147">
        <v>1620000</v>
      </c>
      <c r="I147">
        <v>765000</v>
      </c>
      <c r="J147" s="1">
        <v>45185</v>
      </c>
      <c r="K147" t="s">
        <v>119</v>
      </c>
      <c r="L147">
        <v>9</v>
      </c>
      <c r="M147">
        <v>2023</v>
      </c>
      <c r="N147">
        <f t="shared" si="2"/>
        <v>-90000</v>
      </c>
      <c r="O147" s="19">
        <f>IF(Table1_2[Tiền Nhập]&lt;&gt;0, Table1_2[Lợi Nhuận Gộp]/Table1_2[Tiền Nhập], 0)</f>
        <v>-0.10526315789473684</v>
      </c>
      <c r="P147">
        <f>IF(Table1_2[SL Xuất]&gt;0, Table1_2[Tiền Xuất]/Table1_2[SL Xuất], 0)</f>
        <v>18000</v>
      </c>
      <c r="Q147">
        <f>Table1_2[SL Xuất] - Table1_2[SL Xuất KM]</f>
        <v>90</v>
      </c>
    </row>
    <row r="148" spans="1:17" x14ac:dyDescent="0.25">
      <c r="A148">
        <v>147</v>
      </c>
      <c r="B148" t="s">
        <v>314</v>
      </c>
      <c r="C148" t="s">
        <v>315</v>
      </c>
      <c r="D148" t="s">
        <v>13</v>
      </c>
      <c r="E148">
        <v>288000</v>
      </c>
      <c r="F148">
        <v>0</v>
      </c>
      <c r="G148">
        <v>48</v>
      </c>
      <c r="H148">
        <v>408000</v>
      </c>
      <c r="I148">
        <v>120000</v>
      </c>
      <c r="J148" s="1">
        <v>45185</v>
      </c>
      <c r="K148" t="s">
        <v>500</v>
      </c>
      <c r="L148">
        <v>9</v>
      </c>
      <c r="M148">
        <v>2023</v>
      </c>
      <c r="N148">
        <f t="shared" si="2"/>
        <v>-168000</v>
      </c>
      <c r="O148" s="19">
        <f>IF(Table1_2[Tiền Nhập]&lt;&gt;0, Table1_2[Lợi Nhuận Gộp]/Table1_2[Tiền Nhập], 0)</f>
        <v>-0.58333333333333337</v>
      </c>
      <c r="P148">
        <f>IF(Table1_2[SL Xuất]&gt;0, Table1_2[Tiền Xuất]/Table1_2[SL Xuất], 0)</f>
        <v>8500</v>
      </c>
      <c r="Q148">
        <f>Table1_2[SL Xuất] - Table1_2[SL Xuất KM]</f>
        <v>48</v>
      </c>
    </row>
    <row r="149" spans="1:17" x14ac:dyDescent="0.25">
      <c r="A149">
        <v>148</v>
      </c>
      <c r="B149" t="s">
        <v>337</v>
      </c>
      <c r="C149" t="s">
        <v>338</v>
      </c>
      <c r="D149" t="s">
        <v>339</v>
      </c>
      <c r="E149">
        <v>820800</v>
      </c>
      <c r="F149">
        <v>0</v>
      </c>
      <c r="G149">
        <v>24</v>
      </c>
      <c r="H149">
        <v>840000</v>
      </c>
      <c r="I149">
        <v>19200</v>
      </c>
      <c r="J149" s="1">
        <v>45185</v>
      </c>
      <c r="K149" t="s">
        <v>500</v>
      </c>
      <c r="L149">
        <v>9</v>
      </c>
      <c r="M149">
        <v>2023</v>
      </c>
      <c r="N149">
        <f t="shared" si="2"/>
        <v>-801600</v>
      </c>
      <c r="O149" s="19">
        <f>IF(Table1_2[Tiền Nhập]&lt;&gt;0, Table1_2[Lợi Nhuận Gộp]/Table1_2[Tiền Nhập], 0)</f>
        <v>-0.97660818713450293</v>
      </c>
      <c r="P149">
        <f>IF(Table1_2[SL Xuất]&gt;0, Table1_2[Tiền Xuất]/Table1_2[SL Xuất], 0)</f>
        <v>35000</v>
      </c>
      <c r="Q149">
        <f>Table1_2[SL Xuất] - Table1_2[SL Xuất KM]</f>
        <v>24</v>
      </c>
    </row>
    <row r="150" spans="1:17" x14ac:dyDescent="0.25">
      <c r="A150">
        <v>149</v>
      </c>
      <c r="B150" t="s">
        <v>86</v>
      </c>
      <c r="C150" t="s">
        <v>87</v>
      </c>
      <c r="D150" t="s">
        <v>88</v>
      </c>
      <c r="E150">
        <v>362268</v>
      </c>
      <c r="F150">
        <v>1</v>
      </c>
      <c r="G150">
        <v>6</v>
      </c>
      <c r="H150">
        <v>340000</v>
      </c>
      <c r="I150">
        <v>-22268</v>
      </c>
      <c r="J150" s="1">
        <v>45185</v>
      </c>
      <c r="K150" t="s">
        <v>501</v>
      </c>
      <c r="L150">
        <v>9</v>
      </c>
      <c r="M150">
        <v>2023</v>
      </c>
      <c r="N150">
        <f t="shared" si="2"/>
        <v>-384536</v>
      </c>
      <c r="O150" s="19">
        <f>IF(Table1_2[Tiền Nhập]&lt;&gt;0, Table1_2[Lợi Nhuận Gộp]/Table1_2[Tiền Nhập], 0)</f>
        <v>-1.0614683052325902</v>
      </c>
      <c r="P150">
        <f>IF(Table1_2[SL Xuất]&gt;0, Table1_2[Tiền Xuất]/Table1_2[SL Xuất], 0)</f>
        <v>56666.666666666664</v>
      </c>
      <c r="Q150">
        <f>Table1_2[SL Xuất] - Table1_2[SL Xuất KM]</f>
        <v>5</v>
      </c>
    </row>
    <row r="151" spans="1:17" x14ac:dyDescent="0.25">
      <c r="A151">
        <v>150</v>
      </c>
      <c r="B151" t="s">
        <v>502</v>
      </c>
      <c r="C151" t="s">
        <v>503</v>
      </c>
      <c r="D151" t="s">
        <v>220</v>
      </c>
      <c r="E151">
        <v>63000</v>
      </c>
      <c r="F151">
        <v>0</v>
      </c>
      <c r="G151">
        <v>1</v>
      </c>
      <c r="H151">
        <v>70000</v>
      </c>
      <c r="I151">
        <v>7000</v>
      </c>
      <c r="J151" s="1">
        <v>45185</v>
      </c>
      <c r="K151" t="s">
        <v>505</v>
      </c>
      <c r="L151">
        <v>9</v>
      </c>
      <c r="M151">
        <v>2023</v>
      </c>
      <c r="N151">
        <f t="shared" si="2"/>
        <v>-56000</v>
      </c>
      <c r="O151" s="19">
        <f>IF(Table1_2[Tiền Nhập]&lt;&gt;0, Table1_2[Lợi Nhuận Gộp]/Table1_2[Tiền Nhập], 0)</f>
        <v>-0.88888888888888884</v>
      </c>
      <c r="P151">
        <f>IF(Table1_2[SL Xuất]&gt;0, Table1_2[Tiền Xuất]/Table1_2[SL Xuất], 0)</f>
        <v>70000</v>
      </c>
      <c r="Q151">
        <f>Table1_2[SL Xuất] - Table1_2[SL Xuất KM]</f>
        <v>1</v>
      </c>
    </row>
    <row r="152" spans="1:17" x14ac:dyDescent="0.25">
      <c r="A152">
        <v>151</v>
      </c>
      <c r="B152" t="s">
        <v>324</v>
      </c>
      <c r="C152" t="s">
        <v>325</v>
      </c>
      <c r="D152" t="s">
        <v>220</v>
      </c>
      <c r="E152">
        <v>63000</v>
      </c>
      <c r="F152">
        <v>0</v>
      </c>
      <c r="G152">
        <v>1</v>
      </c>
      <c r="H152">
        <v>70000</v>
      </c>
      <c r="I152">
        <v>7000</v>
      </c>
      <c r="J152" s="1">
        <v>45185</v>
      </c>
      <c r="K152" t="s">
        <v>505</v>
      </c>
      <c r="L152">
        <v>9</v>
      </c>
      <c r="M152">
        <v>2023</v>
      </c>
      <c r="N152">
        <f t="shared" si="2"/>
        <v>-56000</v>
      </c>
      <c r="O152" s="19">
        <f>IF(Table1_2[Tiền Nhập]&lt;&gt;0, Table1_2[Lợi Nhuận Gộp]/Table1_2[Tiền Nhập], 0)</f>
        <v>-0.88888888888888884</v>
      </c>
      <c r="P152">
        <f>IF(Table1_2[SL Xuất]&gt;0, Table1_2[Tiền Xuất]/Table1_2[SL Xuất], 0)</f>
        <v>70000</v>
      </c>
      <c r="Q152">
        <f>Table1_2[SL Xuất] - Table1_2[SL Xuất KM]</f>
        <v>1</v>
      </c>
    </row>
    <row r="153" spans="1:17" x14ac:dyDescent="0.25">
      <c r="A153">
        <v>152</v>
      </c>
      <c r="B153" t="s">
        <v>155</v>
      </c>
      <c r="C153" t="s">
        <v>156</v>
      </c>
      <c r="D153" t="s">
        <v>149</v>
      </c>
      <c r="E153">
        <v>165000</v>
      </c>
      <c r="F153">
        <v>0</v>
      </c>
      <c r="G153">
        <v>30</v>
      </c>
      <c r="H153">
        <v>195000</v>
      </c>
      <c r="I153">
        <v>30000</v>
      </c>
      <c r="J153" s="1">
        <v>45185</v>
      </c>
      <c r="K153" t="s">
        <v>505</v>
      </c>
      <c r="L153">
        <v>9</v>
      </c>
      <c r="M153">
        <v>2023</v>
      </c>
      <c r="N153">
        <f t="shared" si="2"/>
        <v>-135000</v>
      </c>
      <c r="O153" s="19">
        <f>IF(Table1_2[Tiền Nhập]&lt;&gt;0, Table1_2[Lợi Nhuận Gộp]/Table1_2[Tiền Nhập], 0)</f>
        <v>-0.81818181818181823</v>
      </c>
      <c r="P153">
        <f>IF(Table1_2[SL Xuất]&gt;0, Table1_2[Tiền Xuất]/Table1_2[SL Xuất], 0)</f>
        <v>6500</v>
      </c>
      <c r="Q153">
        <f>Table1_2[SL Xuất] - Table1_2[SL Xuất KM]</f>
        <v>30</v>
      </c>
    </row>
    <row r="154" spans="1:17" x14ac:dyDescent="0.25">
      <c r="A154">
        <v>153</v>
      </c>
      <c r="B154" t="s">
        <v>506</v>
      </c>
      <c r="C154" t="s">
        <v>507</v>
      </c>
      <c r="D154" t="s">
        <v>88</v>
      </c>
      <c r="E154">
        <v>900000</v>
      </c>
      <c r="F154">
        <v>0</v>
      </c>
      <c r="G154">
        <v>6</v>
      </c>
      <c r="H154">
        <v>1500000</v>
      </c>
      <c r="I154">
        <v>600000</v>
      </c>
      <c r="J154" s="1">
        <v>45185</v>
      </c>
      <c r="K154" t="s">
        <v>505</v>
      </c>
      <c r="L154">
        <v>9</v>
      </c>
      <c r="M154">
        <v>2023</v>
      </c>
      <c r="N154">
        <f t="shared" si="2"/>
        <v>-300000</v>
      </c>
      <c r="O154" s="19">
        <f>IF(Table1_2[Tiền Nhập]&lt;&gt;0, Table1_2[Lợi Nhuận Gộp]/Table1_2[Tiền Nhập], 0)</f>
        <v>-0.33333333333333331</v>
      </c>
      <c r="P154">
        <f>IF(Table1_2[SL Xuất]&gt;0, Table1_2[Tiền Xuất]/Table1_2[SL Xuất], 0)</f>
        <v>250000</v>
      </c>
      <c r="Q154">
        <f>Table1_2[SL Xuất] - Table1_2[SL Xuất KM]</f>
        <v>6</v>
      </c>
    </row>
    <row r="155" spans="1:17" x14ac:dyDescent="0.25">
      <c r="A155">
        <v>154</v>
      </c>
      <c r="B155" t="s">
        <v>429</v>
      </c>
      <c r="C155" t="s">
        <v>430</v>
      </c>
      <c r="D155" t="s">
        <v>88</v>
      </c>
      <c r="E155">
        <v>0</v>
      </c>
      <c r="F155">
        <v>6</v>
      </c>
      <c r="G155">
        <v>0</v>
      </c>
      <c r="H155">
        <v>-720000</v>
      </c>
      <c r="I155">
        <v>-720000</v>
      </c>
      <c r="J155" s="1">
        <v>45185</v>
      </c>
      <c r="K155" t="s">
        <v>505</v>
      </c>
      <c r="L155">
        <v>9</v>
      </c>
      <c r="M155">
        <v>2023</v>
      </c>
      <c r="N155">
        <f t="shared" si="2"/>
        <v>-720000</v>
      </c>
      <c r="O155" s="19">
        <f>IF(Table1_2[Tiền Nhập]&lt;&gt;0, Table1_2[Lợi Nhuận Gộp]/Table1_2[Tiền Nhập], 0)</f>
        <v>0</v>
      </c>
      <c r="P155">
        <f>IF(Table1_2[SL Xuất]&gt;0, Table1_2[Tiền Xuất]/Table1_2[SL Xuất], 0)</f>
        <v>0</v>
      </c>
      <c r="Q155">
        <f>Table1_2[SL Xuất] - Table1_2[SL Xuất KM]</f>
        <v>-6</v>
      </c>
    </row>
    <row r="156" spans="1:17" x14ac:dyDescent="0.25">
      <c r="A156">
        <v>155</v>
      </c>
      <c r="B156" t="s">
        <v>259</v>
      </c>
      <c r="C156" t="s">
        <v>260</v>
      </c>
      <c r="D156" t="s">
        <v>88</v>
      </c>
      <c r="E156">
        <v>0</v>
      </c>
      <c r="F156">
        <v>12</v>
      </c>
      <c r="G156">
        <v>0</v>
      </c>
      <c r="H156">
        <v>-1440000</v>
      </c>
      <c r="I156">
        <v>-1440000</v>
      </c>
      <c r="J156" s="1">
        <v>45185</v>
      </c>
      <c r="K156" t="s">
        <v>505</v>
      </c>
      <c r="L156">
        <v>9</v>
      </c>
      <c r="M156">
        <v>2023</v>
      </c>
      <c r="N156">
        <f t="shared" si="2"/>
        <v>-1440000</v>
      </c>
      <c r="O156" s="19">
        <f>IF(Table1_2[Tiền Nhập]&lt;&gt;0, Table1_2[Lợi Nhuận Gộp]/Table1_2[Tiền Nhập], 0)</f>
        <v>0</v>
      </c>
      <c r="P156">
        <f>IF(Table1_2[SL Xuất]&gt;0, Table1_2[Tiền Xuất]/Table1_2[SL Xuất], 0)</f>
        <v>0</v>
      </c>
      <c r="Q156">
        <f>Table1_2[SL Xuất] - Table1_2[SL Xuất KM]</f>
        <v>-12</v>
      </c>
    </row>
    <row r="157" spans="1:17" x14ac:dyDescent="0.25">
      <c r="A157">
        <v>156</v>
      </c>
      <c r="B157" t="s">
        <v>261</v>
      </c>
      <c r="C157" t="s">
        <v>262</v>
      </c>
      <c r="D157" t="s">
        <v>88</v>
      </c>
      <c r="E157">
        <v>600000</v>
      </c>
      <c r="F157">
        <v>0</v>
      </c>
      <c r="G157">
        <v>6</v>
      </c>
      <c r="H157">
        <v>1308000</v>
      </c>
      <c r="I157">
        <v>708000</v>
      </c>
      <c r="J157" s="1">
        <v>45185</v>
      </c>
      <c r="K157" t="s">
        <v>505</v>
      </c>
      <c r="L157">
        <v>9</v>
      </c>
      <c r="M157">
        <v>2023</v>
      </c>
      <c r="N157">
        <f t="shared" si="2"/>
        <v>108000</v>
      </c>
      <c r="O157" s="19">
        <f>IF(Table1_2[Tiền Nhập]&lt;&gt;0, Table1_2[Lợi Nhuận Gộp]/Table1_2[Tiền Nhập], 0)</f>
        <v>0.18</v>
      </c>
      <c r="P157">
        <f>IF(Table1_2[SL Xuất]&gt;0, Table1_2[Tiền Xuất]/Table1_2[SL Xuất], 0)</f>
        <v>218000</v>
      </c>
      <c r="Q157">
        <f>Table1_2[SL Xuất] - Table1_2[SL Xuất KM]</f>
        <v>6</v>
      </c>
    </row>
    <row r="158" spans="1:17" x14ac:dyDescent="0.25">
      <c r="A158">
        <v>157</v>
      </c>
      <c r="B158" t="s">
        <v>510</v>
      </c>
      <c r="C158" t="s">
        <v>511</v>
      </c>
      <c r="D158" t="s">
        <v>88</v>
      </c>
      <c r="E158">
        <v>660000</v>
      </c>
      <c r="F158">
        <v>0</v>
      </c>
      <c r="G158">
        <v>6</v>
      </c>
      <c r="H158">
        <v>1368000</v>
      </c>
      <c r="I158">
        <v>708000</v>
      </c>
      <c r="J158" s="1">
        <v>45185</v>
      </c>
      <c r="K158" t="s">
        <v>505</v>
      </c>
      <c r="L158">
        <v>9</v>
      </c>
      <c r="M158">
        <v>2023</v>
      </c>
      <c r="N158">
        <f t="shared" si="2"/>
        <v>48000</v>
      </c>
      <c r="O158" s="19">
        <f>IF(Table1_2[Tiền Nhập]&lt;&gt;0, Table1_2[Lợi Nhuận Gộp]/Table1_2[Tiền Nhập], 0)</f>
        <v>7.2727272727272724E-2</v>
      </c>
      <c r="P158">
        <f>IF(Table1_2[SL Xuất]&gt;0, Table1_2[Tiền Xuất]/Table1_2[SL Xuất], 0)</f>
        <v>228000</v>
      </c>
      <c r="Q158">
        <f>Table1_2[SL Xuất] - Table1_2[SL Xuất KM]</f>
        <v>6</v>
      </c>
    </row>
    <row r="159" spans="1:17" x14ac:dyDescent="0.25">
      <c r="A159">
        <v>158</v>
      </c>
      <c r="B159" t="s">
        <v>192</v>
      </c>
      <c r="C159" t="s">
        <v>193</v>
      </c>
      <c r="D159" t="s">
        <v>194</v>
      </c>
      <c r="E159">
        <v>147000</v>
      </c>
      <c r="F159">
        <v>5</v>
      </c>
      <c r="G159">
        <v>24</v>
      </c>
      <c r="H159">
        <v>180000</v>
      </c>
      <c r="I159">
        <v>33000</v>
      </c>
      <c r="J159" s="1">
        <v>45185</v>
      </c>
      <c r="K159" t="s">
        <v>505</v>
      </c>
      <c r="L159">
        <v>9</v>
      </c>
      <c r="M159">
        <v>2023</v>
      </c>
      <c r="N159">
        <f t="shared" si="2"/>
        <v>-114000</v>
      </c>
      <c r="O159" s="19">
        <f>IF(Table1_2[Tiền Nhập]&lt;&gt;0, Table1_2[Lợi Nhuận Gộp]/Table1_2[Tiền Nhập], 0)</f>
        <v>-0.77551020408163263</v>
      </c>
      <c r="P159">
        <f>IF(Table1_2[SL Xuất]&gt;0, Table1_2[Tiền Xuất]/Table1_2[SL Xuất], 0)</f>
        <v>7500</v>
      </c>
      <c r="Q159">
        <f>Table1_2[SL Xuất] - Table1_2[SL Xuất KM]</f>
        <v>19</v>
      </c>
    </row>
    <row r="160" spans="1:17" x14ac:dyDescent="0.25">
      <c r="A160">
        <v>159</v>
      </c>
      <c r="B160" t="s">
        <v>516</v>
      </c>
      <c r="C160" t="s">
        <v>517</v>
      </c>
      <c r="D160" t="s">
        <v>518</v>
      </c>
      <c r="E160">
        <v>0</v>
      </c>
      <c r="F160">
        <v>0</v>
      </c>
      <c r="G160">
        <v>0</v>
      </c>
      <c r="H160">
        <v>-1356000</v>
      </c>
      <c r="I160">
        <v>-1356000</v>
      </c>
      <c r="J160" s="1">
        <v>45185</v>
      </c>
      <c r="K160" t="s">
        <v>505</v>
      </c>
      <c r="L160">
        <v>9</v>
      </c>
      <c r="M160">
        <v>2023</v>
      </c>
      <c r="N160">
        <f t="shared" si="2"/>
        <v>-1356000</v>
      </c>
      <c r="O160" s="19">
        <f>IF(Table1_2[Tiền Nhập]&lt;&gt;0, Table1_2[Lợi Nhuận Gộp]/Table1_2[Tiền Nhập], 0)</f>
        <v>0</v>
      </c>
      <c r="P160">
        <f>IF(Table1_2[SL Xuất]&gt;0, Table1_2[Tiền Xuất]/Table1_2[SL Xuất], 0)</f>
        <v>0</v>
      </c>
      <c r="Q160">
        <f>Table1_2[SL Xuất] - Table1_2[SL Xuất KM]</f>
        <v>0</v>
      </c>
    </row>
    <row r="161" spans="1:17" x14ac:dyDescent="0.25">
      <c r="A161">
        <v>160</v>
      </c>
      <c r="B161" t="s">
        <v>441</v>
      </c>
      <c r="C161" t="s">
        <v>442</v>
      </c>
      <c r="D161" t="s">
        <v>23</v>
      </c>
      <c r="E161">
        <v>540000</v>
      </c>
      <c r="F161">
        <v>0</v>
      </c>
      <c r="G161">
        <v>30</v>
      </c>
      <c r="H161">
        <v>630000</v>
      </c>
      <c r="I161">
        <v>90000</v>
      </c>
      <c r="J161" s="1">
        <v>45185</v>
      </c>
      <c r="K161" t="s">
        <v>505</v>
      </c>
      <c r="L161">
        <v>9</v>
      </c>
      <c r="M161">
        <v>2023</v>
      </c>
      <c r="N161">
        <f t="shared" si="2"/>
        <v>-450000</v>
      </c>
      <c r="O161" s="19">
        <f>IF(Table1_2[Tiền Nhập]&lt;&gt;0, Table1_2[Lợi Nhuận Gộp]/Table1_2[Tiền Nhập], 0)</f>
        <v>-0.83333333333333337</v>
      </c>
      <c r="P161">
        <f>IF(Table1_2[SL Xuất]&gt;0, Table1_2[Tiền Xuất]/Table1_2[SL Xuất], 0)</f>
        <v>21000</v>
      </c>
      <c r="Q161">
        <f>Table1_2[SL Xuất] - Table1_2[SL Xuất KM]</f>
        <v>30</v>
      </c>
    </row>
    <row r="162" spans="1:17" x14ac:dyDescent="0.25">
      <c r="A162">
        <v>161</v>
      </c>
      <c r="B162" t="s">
        <v>337</v>
      </c>
      <c r="C162" t="s">
        <v>338</v>
      </c>
      <c r="D162" t="s">
        <v>339</v>
      </c>
      <c r="E162">
        <v>820800</v>
      </c>
      <c r="F162">
        <v>0</v>
      </c>
      <c r="G162">
        <v>24</v>
      </c>
      <c r="H162">
        <v>816000</v>
      </c>
      <c r="I162">
        <v>-4800</v>
      </c>
      <c r="J162" s="1">
        <v>45185</v>
      </c>
      <c r="K162" t="s">
        <v>524</v>
      </c>
      <c r="L162">
        <v>9</v>
      </c>
      <c r="M162">
        <v>2023</v>
      </c>
      <c r="N162">
        <f t="shared" si="2"/>
        <v>-825600</v>
      </c>
      <c r="O162" s="19">
        <f>IF(Table1_2[Tiền Nhập]&lt;&gt;0, Table1_2[Lợi Nhuận Gộp]/Table1_2[Tiền Nhập], 0)</f>
        <v>-1.0058479532163742</v>
      </c>
      <c r="P162">
        <f>IF(Table1_2[SL Xuất]&gt;0, Table1_2[Tiền Xuất]/Table1_2[SL Xuất], 0)</f>
        <v>34000</v>
      </c>
      <c r="Q162">
        <f>Table1_2[SL Xuất] - Table1_2[SL Xuất KM]</f>
        <v>24</v>
      </c>
    </row>
    <row r="163" spans="1:17" x14ac:dyDescent="0.25">
      <c r="A163">
        <v>162</v>
      </c>
      <c r="B163" t="s">
        <v>287</v>
      </c>
      <c r="C163" t="s">
        <v>288</v>
      </c>
      <c r="D163" t="s">
        <v>88</v>
      </c>
      <c r="E163">
        <v>58000</v>
      </c>
      <c r="F163">
        <v>0</v>
      </c>
      <c r="G163">
        <v>4</v>
      </c>
      <c r="H163">
        <v>56000</v>
      </c>
      <c r="I163">
        <v>-2000</v>
      </c>
      <c r="J163" s="1">
        <v>45185</v>
      </c>
      <c r="K163" t="s">
        <v>525</v>
      </c>
      <c r="L163">
        <v>9</v>
      </c>
      <c r="M163">
        <v>2023</v>
      </c>
      <c r="N163">
        <f t="shared" si="2"/>
        <v>-60000</v>
      </c>
      <c r="O163" s="19">
        <f>IF(Table1_2[Tiền Nhập]&lt;&gt;0, Table1_2[Lợi Nhuận Gộp]/Table1_2[Tiền Nhập], 0)</f>
        <v>-1.0344827586206897</v>
      </c>
      <c r="P163">
        <f>IF(Table1_2[SL Xuất]&gt;0, Table1_2[Tiền Xuất]/Table1_2[SL Xuất], 0)</f>
        <v>14000</v>
      </c>
      <c r="Q163">
        <f>Table1_2[SL Xuất] - Table1_2[SL Xuất KM]</f>
        <v>4</v>
      </c>
    </row>
    <row r="164" spans="1:17" x14ac:dyDescent="0.25">
      <c r="A164">
        <v>163</v>
      </c>
      <c r="B164" t="s">
        <v>292</v>
      </c>
      <c r="C164" t="s">
        <v>293</v>
      </c>
      <c r="D164" t="s">
        <v>88</v>
      </c>
      <c r="E164">
        <v>58000</v>
      </c>
      <c r="F164">
        <v>0</v>
      </c>
      <c r="G164">
        <v>4</v>
      </c>
      <c r="H164">
        <v>56000</v>
      </c>
      <c r="I164">
        <v>-2000</v>
      </c>
      <c r="J164" s="1">
        <v>45185</v>
      </c>
      <c r="K164" t="s">
        <v>525</v>
      </c>
      <c r="L164">
        <v>9</v>
      </c>
      <c r="M164">
        <v>2023</v>
      </c>
      <c r="N164">
        <f t="shared" si="2"/>
        <v>-60000</v>
      </c>
      <c r="O164" s="19">
        <f>IF(Table1_2[Tiền Nhập]&lt;&gt;0, Table1_2[Lợi Nhuận Gộp]/Table1_2[Tiền Nhập], 0)</f>
        <v>-1.0344827586206897</v>
      </c>
      <c r="P164">
        <f>IF(Table1_2[SL Xuất]&gt;0, Table1_2[Tiền Xuất]/Table1_2[SL Xuất], 0)</f>
        <v>14000</v>
      </c>
      <c r="Q164">
        <f>Table1_2[SL Xuất] - Table1_2[SL Xuất KM]</f>
        <v>4</v>
      </c>
    </row>
    <row r="165" spans="1:17" x14ac:dyDescent="0.25">
      <c r="A165">
        <v>164</v>
      </c>
      <c r="B165" t="s">
        <v>297</v>
      </c>
      <c r="C165" t="s">
        <v>298</v>
      </c>
      <c r="D165" t="s">
        <v>88</v>
      </c>
      <c r="E165">
        <v>58000</v>
      </c>
      <c r="F165">
        <v>0</v>
      </c>
      <c r="G165">
        <v>4</v>
      </c>
      <c r="H165">
        <v>56000</v>
      </c>
      <c r="I165">
        <v>-2000</v>
      </c>
      <c r="J165" s="1">
        <v>45185</v>
      </c>
      <c r="K165" t="s">
        <v>525</v>
      </c>
      <c r="L165">
        <v>9</v>
      </c>
      <c r="M165">
        <v>2023</v>
      </c>
      <c r="N165">
        <f t="shared" si="2"/>
        <v>-60000</v>
      </c>
      <c r="O165" s="19">
        <f>IF(Table1_2[Tiền Nhập]&lt;&gt;0, Table1_2[Lợi Nhuận Gộp]/Table1_2[Tiền Nhập], 0)</f>
        <v>-1.0344827586206897</v>
      </c>
      <c r="P165">
        <f>IF(Table1_2[SL Xuất]&gt;0, Table1_2[Tiền Xuất]/Table1_2[SL Xuất], 0)</f>
        <v>14000</v>
      </c>
      <c r="Q165">
        <f>Table1_2[SL Xuất] - Table1_2[SL Xuất KM]</f>
        <v>4</v>
      </c>
    </row>
    <row r="166" spans="1:17" x14ac:dyDescent="0.25">
      <c r="A166">
        <v>165</v>
      </c>
      <c r="B166" t="s">
        <v>526</v>
      </c>
      <c r="C166" t="s">
        <v>527</v>
      </c>
      <c r="D166" t="s">
        <v>369</v>
      </c>
      <c r="E166">
        <v>163485</v>
      </c>
      <c r="F166">
        <v>0</v>
      </c>
      <c r="G166">
        <v>1</v>
      </c>
      <c r="H166">
        <v>175000</v>
      </c>
      <c r="I166">
        <v>11515</v>
      </c>
      <c r="J166" s="1">
        <v>45185</v>
      </c>
      <c r="K166" t="s">
        <v>525</v>
      </c>
      <c r="L166">
        <v>9</v>
      </c>
      <c r="M166">
        <v>2023</v>
      </c>
      <c r="N166">
        <f t="shared" si="2"/>
        <v>-151970</v>
      </c>
      <c r="O166" s="19">
        <f>IF(Table1_2[Tiền Nhập]&lt;&gt;0, Table1_2[Lợi Nhuận Gộp]/Table1_2[Tiền Nhập], 0)</f>
        <v>-0.92956540355384287</v>
      </c>
      <c r="P166">
        <f>IF(Table1_2[SL Xuất]&gt;0, Table1_2[Tiền Xuất]/Table1_2[SL Xuất], 0)</f>
        <v>175000</v>
      </c>
      <c r="Q166">
        <f>Table1_2[SL Xuất] - Table1_2[SL Xuất KM]</f>
        <v>1</v>
      </c>
    </row>
    <row r="167" spans="1:17" x14ac:dyDescent="0.25">
      <c r="A167">
        <v>166</v>
      </c>
      <c r="B167" t="s">
        <v>528</v>
      </c>
      <c r="C167" t="s">
        <v>529</v>
      </c>
      <c r="D167" t="s">
        <v>530</v>
      </c>
      <c r="E167">
        <v>504000</v>
      </c>
      <c r="F167">
        <v>2</v>
      </c>
      <c r="G167">
        <v>12</v>
      </c>
      <c r="H167">
        <v>473000</v>
      </c>
      <c r="I167">
        <v>-31000</v>
      </c>
      <c r="J167" s="1">
        <v>45190</v>
      </c>
      <c r="K167" t="s">
        <v>535</v>
      </c>
      <c r="L167">
        <v>9</v>
      </c>
      <c r="M167">
        <v>2023</v>
      </c>
      <c r="N167">
        <f t="shared" si="2"/>
        <v>-535000</v>
      </c>
      <c r="O167" s="19">
        <f>IF(Table1_2[Tiền Nhập]&lt;&gt;0, Table1_2[Lợi Nhuận Gộp]/Table1_2[Tiền Nhập], 0)</f>
        <v>-1.0615079365079365</v>
      </c>
      <c r="P167">
        <f>IF(Table1_2[SL Xuất]&gt;0, Table1_2[Tiền Xuất]/Table1_2[SL Xuất], 0)</f>
        <v>39416.666666666664</v>
      </c>
      <c r="Q167">
        <f>Table1_2[SL Xuất] - Table1_2[SL Xuất KM]</f>
        <v>10</v>
      </c>
    </row>
    <row r="168" spans="1:17" x14ac:dyDescent="0.25">
      <c r="A168">
        <v>167</v>
      </c>
      <c r="B168" t="s">
        <v>163</v>
      </c>
      <c r="C168" t="s">
        <v>164</v>
      </c>
      <c r="D168" t="s">
        <v>45</v>
      </c>
      <c r="E168">
        <v>620016</v>
      </c>
      <c r="F168">
        <v>4</v>
      </c>
      <c r="G168">
        <v>24</v>
      </c>
      <c r="H168">
        <v>762000</v>
      </c>
      <c r="I168">
        <v>141984</v>
      </c>
      <c r="J168" s="1">
        <v>45192</v>
      </c>
      <c r="K168" t="s">
        <v>166</v>
      </c>
      <c r="L168">
        <v>9</v>
      </c>
      <c r="M168">
        <v>2023</v>
      </c>
      <c r="N168">
        <f t="shared" si="2"/>
        <v>-478032</v>
      </c>
      <c r="O168" s="19">
        <f>IF(Table1_2[Tiền Nhập]&lt;&gt;0, Table1_2[Lợi Nhuận Gộp]/Table1_2[Tiền Nhập], 0)</f>
        <v>-0.77099945807850123</v>
      </c>
      <c r="P168">
        <f>IF(Table1_2[SL Xuất]&gt;0, Table1_2[Tiền Xuất]/Table1_2[SL Xuất], 0)</f>
        <v>31750</v>
      </c>
      <c r="Q168">
        <f>Table1_2[SL Xuất] - Table1_2[SL Xuất KM]</f>
        <v>20</v>
      </c>
    </row>
    <row r="169" spans="1:17" x14ac:dyDescent="0.25">
      <c r="A169">
        <v>168</v>
      </c>
      <c r="B169" t="s">
        <v>540</v>
      </c>
      <c r="C169" t="s">
        <v>541</v>
      </c>
      <c r="D169" t="s">
        <v>339</v>
      </c>
      <c r="E169">
        <v>637200</v>
      </c>
      <c r="F169">
        <v>0</v>
      </c>
      <c r="G169">
        <v>3</v>
      </c>
      <c r="H169">
        <v>716400</v>
      </c>
      <c r="I169">
        <v>79200</v>
      </c>
      <c r="J169" s="1">
        <v>45192</v>
      </c>
      <c r="K169" t="s">
        <v>166</v>
      </c>
      <c r="L169">
        <v>9</v>
      </c>
      <c r="M169">
        <v>2023</v>
      </c>
      <c r="N169">
        <f t="shared" si="2"/>
        <v>-558000</v>
      </c>
      <c r="O169" s="19">
        <f>IF(Table1_2[Tiền Nhập]&lt;&gt;0, Table1_2[Lợi Nhuận Gộp]/Table1_2[Tiền Nhập], 0)</f>
        <v>-0.87570621468926557</v>
      </c>
      <c r="P169">
        <f>IF(Table1_2[SL Xuất]&gt;0, Table1_2[Tiền Xuất]/Table1_2[SL Xuất], 0)</f>
        <v>238800</v>
      </c>
      <c r="Q169">
        <f>Table1_2[SL Xuất] - Table1_2[SL Xuất KM]</f>
        <v>3</v>
      </c>
    </row>
    <row r="170" spans="1:17" x14ac:dyDescent="0.25">
      <c r="A170">
        <v>169</v>
      </c>
      <c r="B170" t="s">
        <v>545</v>
      </c>
      <c r="C170" t="s">
        <v>546</v>
      </c>
      <c r="D170" t="s">
        <v>45</v>
      </c>
      <c r="E170">
        <v>467508</v>
      </c>
      <c r="F170">
        <v>1</v>
      </c>
      <c r="G170">
        <v>12</v>
      </c>
      <c r="H170">
        <v>444000</v>
      </c>
      <c r="I170">
        <v>-23508</v>
      </c>
      <c r="J170" s="1">
        <v>45192</v>
      </c>
      <c r="K170" t="s">
        <v>388</v>
      </c>
      <c r="L170">
        <v>9</v>
      </c>
      <c r="M170">
        <v>2023</v>
      </c>
      <c r="N170">
        <f t="shared" si="2"/>
        <v>-491016</v>
      </c>
      <c r="O170" s="19">
        <f>IF(Table1_2[Tiền Nhập]&lt;&gt;0, Table1_2[Lợi Nhuận Gộp]/Table1_2[Tiền Nhập], 0)</f>
        <v>-1.050283631510049</v>
      </c>
      <c r="P170">
        <f>IF(Table1_2[SL Xuất]&gt;0, Table1_2[Tiền Xuất]/Table1_2[SL Xuất], 0)</f>
        <v>37000</v>
      </c>
      <c r="Q170">
        <f>Table1_2[SL Xuất] - Table1_2[SL Xuất KM]</f>
        <v>11</v>
      </c>
    </row>
    <row r="171" spans="1:17" x14ac:dyDescent="0.25">
      <c r="A171">
        <v>170</v>
      </c>
      <c r="B171" t="s">
        <v>163</v>
      </c>
      <c r="C171" t="s">
        <v>164</v>
      </c>
      <c r="D171" t="s">
        <v>45</v>
      </c>
      <c r="E171">
        <v>620016</v>
      </c>
      <c r="F171">
        <v>4</v>
      </c>
      <c r="G171">
        <v>24</v>
      </c>
      <c r="H171">
        <v>762000</v>
      </c>
      <c r="I171">
        <v>141984</v>
      </c>
      <c r="J171" s="1">
        <v>45192</v>
      </c>
      <c r="K171" t="s">
        <v>188</v>
      </c>
      <c r="L171">
        <v>9</v>
      </c>
      <c r="M171">
        <v>2023</v>
      </c>
      <c r="N171">
        <f t="shared" si="2"/>
        <v>-478032</v>
      </c>
      <c r="O171" s="19">
        <f>IF(Table1_2[Tiền Nhập]&lt;&gt;0, Table1_2[Lợi Nhuận Gộp]/Table1_2[Tiền Nhập], 0)</f>
        <v>-0.77099945807850123</v>
      </c>
      <c r="P171">
        <f>IF(Table1_2[SL Xuất]&gt;0, Table1_2[Tiền Xuất]/Table1_2[SL Xuất], 0)</f>
        <v>31750</v>
      </c>
      <c r="Q171">
        <f>Table1_2[SL Xuất] - Table1_2[SL Xuất KM]</f>
        <v>20</v>
      </c>
    </row>
    <row r="172" spans="1:17" x14ac:dyDescent="0.25">
      <c r="A172">
        <v>171</v>
      </c>
      <c r="B172" t="s">
        <v>86</v>
      </c>
      <c r="C172" t="s">
        <v>87</v>
      </c>
      <c r="D172" t="s">
        <v>88</v>
      </c>
      <c r="E172">
        <v>301890</v>
      </c>
      <c r="F172">
        <v>0</v>
      </c>
      <c r="G172">
        <v>5</v>
      </c>
      <c r="H172">
        <v>260000</v>
      </c>
      <c r="I172">
        <v>-41890</v>
      </c>
      <c r="J172" s="1">
        <v>45192</v>
      </c>
      <c r="K172" t="s">
        <v>552</v>
      </c>
      <c r="L172">
        <v>9</v>
      </c>
      <c r="M172">
        <v>2023</v>
      </c>
      <c r="N172">
        <f t="shared" si="2"/>
        <v>-343780</v>
      </c>
      <c r="O172" s="19">
        <f>IF(Table1_2[Tiền Nhập]&lt;&gt;0, Table1_2[Lợi Nhuận Gộp]/Table1_2[Tiền Nhập], 0)</f>
        <v>-1.138759150684024</v>
      </c>
      <c r="P172">
        <f>IF(Table1_2[SL Xuất]&gt;0, Table1_2[Tiền Xuất]/Table1_2[SL Xuất], 0)</f>
        <v>52000</v>
      </c>
      <c r="Q172">
        <f>Table1_2[SL Xuất] - Table1_2[SL Xuất KM]</f>
        <v>5</v>
      </c>
    </row>
    <row r="173" spans="1:17" x14ac:dyDescent="0.25">
      <c r="A173">
        <v>172</v>
      </c>
      <c r="B173" t="s">
        <v>94</v>
      </c>
      <c r="C173" t="s">
        <v>95</v>
      </c>
      <c r="D173" t="s">
        <v>45</v>
      </c>
      <c r="E173">
        <v>98280</v>
      </c>
      <c r="F173">
        <v>0</v>
      </c>
      <c r="G173">
        <v>10</v>
      </c>
      <c r="H173">
        <v>115000</v>
      </c>
      <c r="I173">
        <v>16720</v>
      </c>
      <c r="J173" s="1">
        <v>45192</v>
      </c>
      <c r="K173" t="s">
        <v>553</v>
      </c>
      <c r="L173">
        <v>9</v>
      </c>
      <c r="M173">
        <v>2023</v>
      </c>
      <c r="N173">
        <f t="shared" si="2"/>
        <v>-81560</v>
      </c>
      <c r="O173" s="19">
        <f>IF(Table1_2[Tiền Nhập]&lt;&gt;0, Table1_2[Lợi Nhuận Gộp]/Table1_2[Tiền Nhập], 0)</f>
        <v>-0.82987382987382985</v>
      </c>
      <c r="P173">
        <f>IF(Table1_2[SL Xuất]&gt;0, Table1_2[Tiền Xuất]/Table1_2[SL Xuất], 0)</f>
        <v>11500</v>
      </c>
      <c r="Q173">
        <f>Table1_2[SL Xuất] - Table1_2[SL Xuất KM]</f>
        <v>10</v>
      </c>
    </row>
    <row r="174" spans="1:17" x14ac:dyDescent="0.25">
      <c r="A174">
        <v>173</v>
      </c>
      <c r="B174" t="s">
        <v>11</v>
      </c>
      <c r="C174" t="s">
        <v>12</v>
      </c>
      <c r="D174" t="s">
        <v>13</v>
      </c>
      <c r="E174">
        <v>1728000</v>
      </c>
      <c r="F174">
        <v>0</v>
      </c>
      <c r="G174">
        <v>240</v>
      </c>
      <c r="H174">
        <v>2880000</v>
      </c>
      <c r="I174">
        <v>1152000</v>
      </c>
      <c r="J174" s="1">
        <v>45192</v>
      </c>
      <c r="K174" t="s">
        <v>553</v>
      </c>
      <c r="L174">
        <v>9</v>
      </c>
      <c r="M174">
        <v>2023</v>
      </c>
      <c r="N174">
        <f t="shared" si="2"/>
        <v>-576000</v>
      </c>
      <c r="O174" s="19">
        <f>IF(Table1_2[Tiền Nhập]&lt;&gt;0, Table1_2[Lợi Nhuận Gộp]/Table1_2[Tiền Nhập], 0)</f>
        <v>-0.33333333333333331</v>
      </c>
      <c r="P174">
        <f>IF(Table1_2[SL Xuất]&gt;0, Table1_2[Tiền Xuất]/Table1_2[SL Xuất], 0)</f>
        <v>12000</v>
      </c>
      <c r="Q174">
        <f>Table1_2[SL Xuất] - Table1_2[SL Xuất KM]</f>
        <v>240</v>
      </c>
    </row>
    <row r="175" spans="1:17" x14ac:dyDescent="0.25">
      <c r="A175">
        <v>174</v>
      </c>
      <c r="B175" t="s">
        <v>413</v>
      </c>
      <c r="C175" t="s">
        <v>414</v>
      </c>
      <c r="D175" t="s">
        <v>194</v>
      </c>
      <c r="E175">
        <v>378000</v>
      </c>
      <c r="F175">
        <v>12</v>
      </c>
      <c r="G175">
        <v>72</v>
      </c>
      <c r="H175">
        <v>432000</v>
      </c>
      <c r="I175">
        <v>54000</v>
      </c>
      <c r="J175" s="1">
        <v>45192</v>
      </c>
      <c r="K175" t="s">
        <v>200</v>
      </c>
      <c r="L175">
        <v>9</v>
      </c>
      <c r="M175">
        <v>2023</v>
      </c>
      <c r="N175">
        <f t="shared" si="2"/>
        <v>-324000</v>
      </c>
      <c r="O175" s="19">
        <f>IF(Table1_2[Tiền Nhập]&lt;&gt;0, Table1_2[Lợi Nhuận Gộp]/Table1_2[Tiền Nhập], 0)</f>
        <v>-0.8571428571428571</v>
      </c>
      <c r="P175">
        <f>IF(Table1_2[SL Xuất]&gt;0, Table1_2[Tiền Xuất]/Table1_2[SL Xuất], 0)</f>
        <v>6000</v>
      </c>
      <c r="Q175">
        <f>Table1_2[SL Xuất] - Table1_2[SL Xuất KM]</f>
        <v>60</v>
      </c>
    </row>
    <row r="176" spans="1:17" x14ac:dyDescent="0.25">
      <c r="A176">
        <v>175</v>
      </c>
      <c r="B176" t="s">
        <v>559</v>
      </c>
      <c r="C176" t="s">
        <v>560</v>
      </c>
      <c r="D176" t="s">
        <v>88</v>
      </c>
      <c r="E176">
        <v>3000000</v>
      </c>
      <c r="F176">
        <v>6</v>
      </c>
      <c r="G176">
        <v>12</v>
      </c>
      <c r="H176">
        <v>3360000</v>
      </c>
      <c r="I176">
        <v>360000</v>
      </c>
      <c r="J176" s="1">
        <v>45192</v>
      </c>
      <c r="K176" t="s">
        <v>563</v>
      </c>
      <c r="L176">
        <v>9</v>
      </c>
      <c r="M176">
        <v>2023</v>
      </c>
      <c r="N176">
        <f t="shared" si="2"/>
        <v>-2640000</v>
      </c>
      <c r="O176" s="19">
        <f>IF(Table1_2[Tiền Nhập]&lt;&gt;0, Table1_2[Lợi Nhuận Gộp]/Table1_2[Tiền Nhập], 0)</f>
        <v>-0.88</v>
      </c>
      <c r="P176">
        <f>IF(Table1_2[SL Xuất]&gt;0, Table1_2[Tiền Xuất]/Table1_2[SL Xuất], 0)</f>
        <v>280000</v>
      </c>
      <c r="Q176">
        <f>Table1_2[SL Xuất] - Table1_2[SL Xuất KM]</f>
        <v>6</v>
      </c>
    </row>
    <row r="177" spans="1:17" x14ac:dyDescent="0.25">
      <c r="A177">
        <v>176</v>
      </c>
      <c r="B177" t="s">
        <v>564</v>
      </c>
      <c r="C177" t="s">
        <v>565</v>
      </c>
      <c r="D177" t="s">
        <v>369</v>
      </c>
      <c r="E177">
        <v>0</v>
      </c>
      <c r="F177">
        <v>1</v>
      </c>
      <c r="G177">
        <v>0</v>
      </c>
      <c r="H177">
        <v>-375000</v>
      </c>
      <c r="I177">
        <v>-375000</v>
      </c>
      <c r="J177" s="1">
        <v>45192</v>
      </c>
      <c r="K177" t="s">
        <v>563</v>
      </c>
      <c r="L177">
        <v>9</v>
      </c>
      <c r="M177">
        <v>2023</v>
      </c>
      <c r="N177">
        <f t="shared" si="2"/>
        <v>-375000</v>
      </c>
      <c r="O177" s="19">
        <f>IF(Table1_2[Tiền Nhập]&lt;&gt;0, Table1_2[Lợi Nhuận Gộp]/Table1_2[Tiền Nhập], 0)</f>
        <v>0</v>
      </c>
      <c r="P177">
        <f>IF(Table1_2[SL Xuất]&gt;0, Table1_2[Tiền Xuất]/Table1_2[SL Xuất], 0)</f>
        <v>0</v>
      </c>
      <c r="Q177">
        <f>Table1_2[SL Xuất] - Table1_2[SL Xuất KM]</f>
        <v>-1</v>
      </c>
    </row>
    <row r="178" spans="1:17" x14ac:dyDescent="0.25">
      <c r="A178">
        <v>177</v>
      </c>
      <c r="B178" t="s">
        <v>67</v>
      </c>
      <c r="C178" t="s">
        <v>68</v>
      </c>
      <c r="D178" t="s">
        <v>13</v>
      </c>
      <c r="E178">
        <v>1056000</v>
      </c>
      <c r="F178">
        <v>0</v>
      </c>
      <c r="G178">
        <v>96</v>
      </c>
      <c r="H178">
        <v>912000</v>
      </c>
      <c r="I178">
        <v>-144000</v>
      </c>
      <c r="J178" s="1">
        <v>45192</v>
      </c>
      <c r="K178" t="s">
        <v>76</v>
      </c>
      <c r="L178">
        <v>9</v>
      </c>
      <c r="M178">
        <v>2023</v>
      </c>
      <c r="N178">
        <f t="shared" si="2"/>
        <v>-1200000</v>
      </c>
      <c r="O178" s="19">
        <f>IF(Table1_2[Tiền Nhập]&lt;&gt;0, Table1_2[Lợi Nhuận Gộp]/Table1_2[Tiền Nhập], 0)</f>
        <v>-1.1363636363636365</v>
      </c>
      <c r="P178">
        <f>IF(Table1_2[SL Xuất]&gt;0, Table1_2[Tiền Xuất]/Table1_2[SL Xuất], 0)</f>
        <v>9500</v>
      </c>
      <c r="Q178">
        <f>Table1_2[SL Xuất] - Table1_2[SL Xuất KM]</f>
        <v>96</v>
      </c>
    </row>
    <row r="179" spans="1:17" x14ac:dyDescent="0.25">
      <c r="A179">
        <v>178</v>
      </c>
      <c r="B179" t="s">
        <v>163</v>
      </c>
      <c r="C179" t="s">
        <v>164</v>
      </c>
      <c r="D179" t="s">
        <v>45</v>
      </c>
      <c r="E179">
        <v>310008</v>
      </c>
      <c r="F179">
        <v>1</v>
      </c>
      <c r="G179">
        <v>12</v>
      </c>
      <c r="H179">
        <v>410000</v>
      </c>
      <c r="I179">
        <v>99992</v>
      </c>
      <c r="J179" s="1">
        <v>45192</v>
      </c>
      <c r="K179" t="s">
        <v>428</v>
      </c>
      <c r="L179">
        <v>9</v>
      </c>
      <c r="M179">
        <v>2023</v>
      </c>
      <c r="N179">
        <f t="shared" si="2"/>
        <v>-210016</v>
      </c>
      <c r="O179" s="19">
        <f>IF(Table1_2[Tiền Nhập]&lt;&gt;0, Table1_2[Lợi Nhuận Gộp]/Table1_2[Tiền Nhập], 0)</f>
        <v>-0.67745348507135295</v>
      </c>
      <c r="P179">
        <f>IF(Table1_2[SL Xuất]&gt;0, Table1_2[Tiền Xuất]/Table1_2[SL Xuất], 0)</f>
        <v>34166.666666666664</v>
      </c>
      <c r="Q179">
        <f>Table1_2[SL Xuất] - Table1_2[SL Xuất KM]</f>
        <v>11</v>
      </c>
    </row>
    <row r="180" spans="1:17" x14ac:dyDescent="0.25">
      <c r="A180">
        <v>179</v>
      </c>
      <c r="B180" t="s">
        <v>572</v>
      </c>
      <c r="C180" t="s">
        <v>573</v>
      </c>
      <c r="D180" t="s">
        <v>45</v>
      </c>
      <c r="E180">
        <v>144000</v>
      </c>
      <c r="F180">
        <v>0</v>
      </c>
      <c r="G180">
        <v>30</v>
      </c>
      <c r="H180">
        <v>210000</v>
      </c>
      <c r="I180">
        <v>66000</v>
      </c>
      <c r="J180" s="1">
        <v>45192</v>
      </c>
      <c r="K180" t="s">
        <v>575</v>
      </c>
      <c r="L180">
        <v>9</v>
      </c>
      <c r="M180">
        <v>2023</v>
      </c>
      <c r="N180">
        <f t="shared" si="2"/>
        <v>-78000</v>
      </c>
      <c r="O180" s="19">
        <f>IF(Table1_2[Tiền Nhập]&lt;&gt;0, Table1_2[Lợi Nhuận Gộp]/Table1_2[Tiền Nhập], 0)</f>
        <v>-0.54166666666666663</v>
      </c>
      <c r="P180">
        <f>IF(Table1_2[SL Xuất]&gt;0, Table1_2[Tiền Xuất]/Table1_2[SL Xuất], 0)</f>
        <v>7000</v>
      </c>
      <c r="Q180">
        <f>Table1_2[SL Xuất] - Table1_2[SL Xuất KM]</f>
        <v>30</v>
      </c>
    </row>
    <row r="181" spans="1:17" x14ac:dyDescent="0.25">
      <c r="A181">
        <v>180</v>
      </c>
      <c r="B181" t="s">
        <v>576</v>
      </c>
      <c r="C181" t="s">
        <v>577</v>
      </c>
      <c r="D181" t="s">
        <v>45</v>
      </c>
      <c r="E181">
        <v>40000</v>
      </c>
      <c r="F181">
        <v>0</v>
      </c>
      <c r="G181">
        <v>20</v>
      </c>
      <c r="H181">
        <v>140000</v>
      </c>
      <c r="I181">
        <v>100000</v>
      </c>
      <c r="J181" s="1">
        <v>45192</v>
      </c>
      <c r="K181" t="s">
        <v>575</v>
      </c>
      <c r="L181">
        <v>9</v>
      </c>
      <c r="M181">
        <v>2023</v>
      </c>
      <c r="N181">
        <f t="shared" si="2"/>
        <v>60000</v>
      </c>
      <c r="O181" s="19">
        <f>IF(Table1_2[Tiền Nhập]&lt;&gt;0, Table1_2[Lợi Nhuận Gộp]/Table1_2[Tiền Nhập], 0)</f>
        <v>1.5</v>
      </c>
      <c r="P181">
        <f>IF(Table1_2[SL Xuất]&gt;0, Table1_2[Tiền Xuất]/Table1_2[SL Xuất], 0)</f>
        <v>7000</v>
      </c>
      <c r="Q181">
        <f>Table1_2[SL Xuất] - Table1_2[SL Xuất KM]</f>
        <v>20</v>
      </c>
    </row>
    <row r="182" spans="1:17" x14ac:dyDescent="0.25">
      <c r="A182">
        <v>181</v>
      </c>
      <c r="B182" t="s">
        <v>416</v>
      </c>
      <c r="C182" t="s">
        <v>417</v>
      </c>
      <c r="D182" t="s">
        <v>45</v>
      </c>
      <c r="E182">
        <v>180000</v>
      </c>
      <c r="F182">
        <v>0</v>
      </c>
      <c r="G182">
        <v>10</v>
      </c>
      <c r="H182">
        <v>220000</v>
      </c>
      <c r="I182">
        <v>40000</v>
      </c>
      <c r="J182" s="1">
        <v>45192</v>
      </c>
      <c r="K182" t="s">
        <v>578</v>
      </c>
      <c r="L182">
        <v>9</v>
      </c>
      <c r="M182">
        <v>2023</v>
      </c>
      <c r="N182">
        <f t="shared" si="2"/>
        <v>-140000</v>
      </c>
      <c r="O182" s="19">
        <f>IF(Table1_2[Tiền Nhập]&lt;&gt;0, Table1_2[Lợi Nhuận Gộp]/Table1_2[Tiền Nhập], 0)</f>
        <v>-0.77777777777777779</v>
      </c>
      <c r="P182">
        <f>IF(Table1_2[SL Xuất]&gt;0, Table1_2[Tiền Xuất]/Table1_2[SL Xuất], 0)</f>
        <v>22000</v>
      </c>
      <c r="Q182">
        <f>Table1_2[SL Xuất] - Table1_2[SL Xuất KM]</f>
        <v>10</v>
      </c>
    </row>
    <row r="183" spans="1:17" x14ac:dyDescent="0.25">
      <c r="A183">
        <v>182</v>
      </c>
      <c r="B183" t="s">
        <v>579</v>
      </c>
      <c r="C183" t="s">
        <v>580</v>
      </c>
      <c r="D183" t="s">
        <v>45</v>
      </c>
      <c r="E183">
        <v>265008</v>
      </c>
      <c r="F183">
        <v>0</v>
      </c>
      <c r="G183">
        <v>12</v>
      </c>
      <c r="H183">
        <v>360000</v>
      </c>
      <c r="I183">
        <v>94992</v>
      </c>
      <c r="J183" s="1">
        <v>45192</v>
      </c>
      <c r="K183" t="s">
        <v>578</v>
      </c>
      <c r="L183">
        <v>9</v>
      </c>
      <c r="M183">
        <v>2023</v>
      </c>
      <c r="N183">
        <f t="shared" si="2"/>
        <v>-170016</v>
      </c>
      <c r="O183" s="19">
        <f>IF(Table1_2[Tiền Nhập]&lt;&gt;0, Table1_2[Lợi Nhuận Gộp]/Table1_2[Tiền Nhập], 0)</f>
        <v>-0.64155044376018833</v>
      </c>
      <c r="P183">
        <f>IF(Table1_2[SL Xuất]&gt;0, Table1_2[Tiền Xuất]/Table1_2[SL Xuất], 0)</f>
        <v>30000</v>
      </c>
      <c r="Q183">
        <f>Table1_2[SL Xuất] - Table1_2[SL Xuất KM]</f>
        <v>12</v>
      </c>
    </row>
    <row r="184" spans="1:17" x14ac:dyDescent="0.25">
      <c r="A184">
        <v>183</v>
      </c>
      <c r="B184" t="s">
        <v>133</v>
      </c>
      <c r="C184" t="s">
        <v>134</v>
      </c>
      <c r="D184" t="s">
        <v>13</v>
      </c>
      <c r="E184">
        <v>200010</v>
      </c>
      <c r="F184">
        <v>0</v>
      </c>
      <c r="G184">
        <v>30</v>
      </c>
      <c r="H184">
        <v>210000</v>
      </c>
      <c r="I184">
        <v>9990</v>
      </c>
      <c r="J184" s="1">
        <v>45192</v>
      </c>
      <c r="K184" t="s">
        <v>578</v>
      </c>
      <c r="L184">
        <v>9</v>
      </c>
      <c r="M184">
        <v>2023</v>
      </c>
      <c r="N184">
        <f t="shared" si="2"/>
        <v>-190020</v>
      </c>
      <c r="O184" s="19">
        <f>IF(Table1_2[Tiền Nhập]&lt;&gt;0, Table1_2[Lợi Nhuận Gộp]/Table1_2[Tiền Nhập], 0)</f>
        <v>-0.9500524973751312</v>
      </c>
      <c r="P184">
        <f>IF(Table1_2[SL Xuất]&gt;0, Table1_2[Tiền Xuất]/Table1_2[SL Xuất], 0)</f>
        <v>7000</v>
      </c>
      <c r="Q184">
        <f>Table1_2[SL Xuất] - Table1_2[SL Xuất KM]</f>
        <v>30</v>
      </c>
    </row>
    <row r="185" spans="1:17" x14ac:dyDescent="0.25">
      <c r="A185">
        <v>184</v>
      </c>
      <c r="B185" t="s">
        <v>11</v>
      </c>
      <c r="C185" t="s">
        <v>12</v>
      </c>
      <c r="D185" t="s">
        <v>13</v>
      </c>
      <c r="E185">
        <v>345600</v>
      </c>
      <c r="F185">
        <v>4</v>
      </c>
      <c r="G185">
        <v>48</v>
      </c>
      <c r="H185">
        <v>532000</v>
      </c>
      <c r="I185">
        <v>186400</v>
      </c>
      <c r="J185" s="1">
        <v>45192</v>
      </c>
      <c r="K185" t="s">
        <v>206</v>
      </c>
      <c r="L185">
        <v>9</v>
      </c>
      <c r="M185">
        <v>2023</v>
      </c>
      <c r="N185">
        <f t="shared" si="2"/>
        <v>-159200</v>
      </c>
      <c r="O185" s="19">
        <f>IF(Table1_2[Tiền Nhập]&lt;&gt;0, Table1_2[Lợi Nhuận Gộp]/Table1_2[Tiền Nhập], 0)</f>
        <v>-0.46064814814814814</v>
      </c>
      <c r="P185">
        <f>IF(Table1_2[SL Xuất]&gt;0, Table1_2[Tiền Xuất]/Table1_2[SL Xuất], 0)</f>
        <v>11083.333333333334</v>
      </c>
      <c r="Q185">
        <f>Table1_2[SL Xuất] - Table1_2[SL Xuất KM]</f>
        <v>44</v>
      </c>
    </row>
    <row r="186" spans="1:17" x14ac:dyDescent="0.25">
      <c r="A186">
        <v>185</v>
      </c>
      <c r="B186" t="s">
        <v>584</v>
      </c>
      <c r="C186" t="s">
        <v>585</v>
      </c>
      <c r="D186" t="s">
        <v>23</v>
      </c>
      <c r="E186">
        <v>131112</v>
      </c>
      <c r="F186">
        <v>1</v>
      </c>
      <c r="G186">
        <v>8</v>
      </c>
      <c r="H186">
        <v>178000</v>
      </c>
      <c r="I186">
        <v>46888</v>
      </c>
      <c r="J186" s="1">
        <v>45192</v>
      </c>
      <c r="K186" t="s">
        <v>478</v>
      </c>
      <c r="L186">
        <v>9</v>
      </c>
      <c r="M186">
        <v>2023</v>
      </c>
      <c r="N186">
        <f t="shared" si="2"/>
        <v>-84224</v>
      </c>
      <c r="O186" s="19">
        <f>IF(Table1_2[Tiền Nhập]&lt;&gt;0, Table1_2[Lợi Nhuận Gộp]/Table1_2[Tiền Nhập], 0)</f>
        <v>-0.64238208554518272</v>
      </c>
      <c r="P186">
        <f>IF(Table1_2[SL Xuất]&gt;0, Table1_2[Tiền Xuất]/Table1_2[SL Xuất], 0)</f>
        <v>22250</v>
      </c>
      <c r="Q186">
        <f>Table1_2[SL Xuất] - Table1_2[SL Xuất KM]</f>
        <v>7</v>
      </c>
    </row>
    <row r="187" spans="1:17" x14ac:dyDescent="0.25">
      <c r="A187">
        <v>186</v>
      </c>
      <c r="B187" t="s">
        <v>429</v>
      </c>
      <c r="C187" t="s">
        <v>430</v>
      </c>
      <c r="D187" t="s">
        <v>88</v>
      </c>
      <c r="E187">
        <v>0</v>
      </c>
      <c r="F187">
        <v>6</v>
      </c>
      <c r="G187">
        <v>0</v>
      </c>
      <c r="H187">
        <v>-660000</v>
      </c>
      <c r="I187">
        <v>-660000</v>
      </c>
      <c r="J187" s="1">
        <v>45192</v>
      </c>
      <c r="K187" t="s">
        <v>590</v>
      </c>
      <c r="L187">
        <v>9</v>
      </c>
      <c r="M187">
        <v>2023</v>
      </c>
      <c r="N187">
        <f t="shared" si="2"/>
        <v>-660000</v>
      </c>
      <c r="O187" s="19">
        <f>IF(Table1_2[Tiền Nhập]&lt;&gt;0, Table1_2[Lợi Nhuận Gộp]/Table1_2[Tiền Nhập], 0)</f>
        <v>0</v>
      </c>
      <c r="P187">
        <f>IF(Table1_2[SL Xuất]&gt;0, Table1_2[Tiền Xuất]/Table1_2[SL Xuất], 0)</f>
        <v>0</v>
      </c>
      <c r="Q187">
        <f>Table1_2[SL Xuất] - Table1_2[SL Xuất KM]</f>
        <v>-6</v>
      </c>
    </row>
    <row r="188" spans="1:17" x14ac:dyDescent="0.25">
      <c r="A188">
        <v>187</v>
      </c>
      <c r="B188" t="s">
        <v>261</v>
      </c>
      <c r="C188" t="s">
        <v>262</v>
      </c>
      <c r="D188" t="s">
        <v>88</v>
      </c>
      <c r="E188">
        <v>600000</v>
      </c>
      <c r="F188">
        <v>0</v>
      </c>
      <c r="G188">
        <v>6</v>
      </c>
      <c r="H188">
        <v>1308000</v>
      </c>
      <c r="I188">
        <v>708000</v>
      </c>
      <c r="J188" s="1">
        <v>45192</v>
      </c>
      <c r="K188" t="s">
        <v>590</v>
      </c>
      <c r="L188">
        <v>9</v>
      </c>
      <c r="M188">
        <v>2023</v>
      </c>
      <c r="N188">
        <f t="shared" si="2"/>
        <v>108000</v>
      </c>
      <c r="O188" s="19">
        <f>IF(Table1_2[Tiền Nhập]&lt;&gt;0, Table1_2[Lợi Nhuận Gộp]/Table1_2[Tiền Nhập], 0)</f>
        <v>0.18</v>
      </c>
      <c r="P188">
        <f>IF(Table1_2[SL Xuất]&gt;0, Table1_2[Tiền Xuất]/Table1_2[SL Xuất], 0)</f>
        <v>218000</v>
      </c>
      <c r="Q188">
        <f>Table1_2[SL Xuất] - Table1_2[SL Xuất KM]</f>
        <v>6</v>
      </c>
    </row>
    <row r="189" spans="1:17" x14ac:dyDescent="0.25">
      <c r="A189">
        <v>188</v>
      </c>
      <c r="B189" t="s">
        <v>183</v>
      </c>
      <c r="C189" t="s">
        <v>184</v>
      </c>
      <c r="D189" t="s">
        <v>23</v>
      </c>
      <c r="E189">
        <v>190008</v>
      </c>
      <c r="F189">
        <v>0</v>
      </c>
      <c r="G189">
        <v>12</v>
      </c>
      <c r="H189">
        <v>312000</v>
      </c>
      <c r="I189">
        <v>121992</v>
      </c>
      <c r="J189" s="1">
        <v>45192</v>
      </c>
      <c r="K189" t="s">
        <v>593</v>
      </c>
      <c r="L189">
        <v>9</v>
      </c>
      <c r="M189">
        <v>2023</v>
      </c>
      <c r="N189">
        <f t="shared" si="2"/>
        <v>-68016</v>
      </c>
      <c r="O189" s="19">
        <f>IF(Table1_2[Tiền Nhập]&lt;&gt;0, Table1_2[Lợi Nhuận Gộp]/Table1_2[Tiền Nhập], 0)</f>
        <v>-0.35796387520525452</v>
      </c>
      <c r="P189">
        <f>IF(Table1_2[SL Xuất]&gt;0, Table1_2[Tiền Xuất]/Table1_2[SL Xuất], 0)</f>
        <v>26000</v>
      </c>
      <c r="Q189">
        <f>Table1_2[SL Xuất] - Table1_2[SL Xuất KM]</f>
        <v>12</v>
      </c>
    </row>
    <row r="190" spans="1:17" x14ac:dyDescent="0.25">
      <c r="A190">
        <v>189</v>
      </c>
      <c r="B190" t="s">
        <v>400</v>
      </c>
      <c r="C190" t="s">
        <v>401</v>
      </c>
      <c r="D190" t="s">
        <v>13</v>
      </c>
      <c r="E190">
        <v>225000</v>
      </c>
      <c r="F190">
        <v>0</v>
      </c>
      <c r="G190">
        <v>30</v>
      </c>
      <c r="H190">
        <v>330000</v>
      </c>
      <c r="I190">
        <v>105000</v>
      </c>
      <c r="J190" s="1">
        <v>45192</v>
      </c>
      <c r="K190" t="s">
        <v>119</v>
      </c>
      <c r="L190">
        <v>9</v>
      </c>
      <c r="M190">
        <v>2023</v>
      </c>
      <c r="N190">
        <f t="shared" si="2"/>
        <v>-120000</v>
      </c>
      <c r="O190" s="19">
        <f>IF(Table1_2[Tiền Nhập]&lt;&gt;0, Table1_2[Lợi Nhuận Gộp]/Table1_2[Tiền Nhập], 0)</f>
        <v>-0.53333333333333333</v>
      </c>
      <c r="P190">
        <f>IF(Table1_2[SL Xuất]&gt;0, Table1_2[Tiền Xuất]/Table1_2[SL Xuất], 0)</f>
        <v>11000</v>
      </c>
      <c r="Q190">
        <f>Table1_2[SL Xuất] - Table1_2[SL Xuất KM]</f>
        <v>30</v>
      </c>
    </row>
    <row r="191" spans="1:17" x14ac:dyDescent="0.25">
      <c r="A191">
        <v>190</v>
      </c>
      <c r="B191" t="s">
        <v>36</v>
      </c>
      <c r="C191" t="s">
        <v>37</v>
      </c>
      <c r="D191" t="s">
        <v>13</v>
      </c>
      <c r="E191">
        <v>0</v>
      </c>
      <c r="F191">
        <v>5</v>
      </c>
      <c r="G191">
        <v>0</v>
      </c>
      <c r="H191">
        <v>-50000</v>
      </c>
      <c r="I191">
        <v>-50000</v>
      </c>
      <c r="J191" s="1">
        <v>45192</v>
      </c>
      <c r="K191" t="s">
        <v>119</v>
      </c>
      <c r="L191">
        <v>9</v>
      </c>
      <c r="M191">
        <v>2023</v>
      </c>
      <c r="N191">
        <f t="shared" si="2"/>
        <v>-50000</v>
      </c>
      <c r="O191" s="19">
        <f>IF(Table1_2[Tiền Nhập]&lt;&gt;0, Table1_2[Lợi Nhuận Gộp]/Table1_2[Tiền Nhập], 0)</f>
        <v>0</v>
      </c>
      <c r="P191">
        <f>IF(Table1_2[SL Xuất]&gt;0, Table1_2[Tiền Xuất]/Table1_2[SL Xuất], 0)</f>
        <v>0</v>
      </c>
      <c r="Q191">
        <f>Table1_2[SL Xuất] - Table1_2[SL Xuất KM]</f>
        <v>-5</v>
      </c>
    </row>
    <row r="192" spans="1:17" x14ac:dyDescent="0.25">
      <c r="A192">
        <v>191</v>
      </c>
      <c r="B192" t="s">
        <v>598</v>
      </c>
      <c r="C192" t="s">
        <v>599</v>
      </c>
      <c r="D192" t="s">
        <v>194</v>
      </c>
      <c r="E192">
        <v>232810</v>
      </c>
      <c r="F192">
        <v>0</v>
      </c>
      <c r="G192">
        <v>10</v>
      </c>
      <c r="H192">
        <v>325000</v>
      </c>
      <c r="I192">
        <v>92190</v>
      </c>
      <c r="J192" s="1">
        <v>45192</v>
      </c>
      <c r="K192" t="s">
        <v>119</v>
      </c>
      <c r="L192">
        <v>9</v>
      </c>
      <c r="M192">
        <v>2023</v>
      </c>
      <c r="N192">
        <f t="shared" si="2"/>
        <v>-140620</v>
      </c>
      <c r="O192" s="19">
        <f>IF(Table1_2[Tiền Nhập]&lt;&gt;0, Table1_2[Lợi Nhuận Gộp]/Table1_2[Tiền Nhập], 0)</f>
        <v>-0.60401185516086076</v>
      </c>
      <c r="P192">
        <f>IF(Table1_2[SL Xuất]&gt;0, Table1_2[Tiền Xuất]/Table1_2[SL Xuất], 0)</f>
        <v>32500</v>
      </c>
      <c r="Q192">
        <f>Table1_2[SL Xuất] - Table1_2[SL Xuất KM]</f>
        <v>10</v>
      </c>
    </row>
    <row r="193" spans="1:17" x14ac:dyDescent="0.25">
      <c r="A193">
        <v>192</v>
      </c>
      <c r="B193" t="s">
        <v>584</v>
      </c>
      <c r="C193" t="s">
        <v>585</v>
      </c>
      <c r="D193" t="s">
        <v>23</v>
      </c>
      <c r="E193">
        <v>131112</v>
      </c>
      <c r="F193">
        <v>1</v>
      </c>
      <c r="G193">
        <v>8</v>
      </c>
      <c r="H193">
        <v>178000</v>
      </c>
      <c r="I193">
        <v>46888</v>
      </c>
      <c r="J193" s="1">
        <v>45192</v>
      </c>
      <c r="K193" t="s">
        <v>603</v>
      </c>
      <c r="L193">
        <v>9</v>
      </c>
      <c r="M193">
        <v>2023</v>
      </c>
      <c r="N193">
        <f t="shared" si="2"/>
        <v>-84224</v>
      </c>
      <c r="O193" s="19">
        <f>IF(Table1_2[Tiền Nhập]&lt;&gt;0, Table1_2[Lợi Nhuận Gộp]/Table1_2[Tiền Nhập], 0)</f>
        <v>-0.64238208554518272</v>
      </c>
      <c r="P193">
        <f>IF(Table1_2[SL Xuất]&gt;0, Table1_2[Tiền Xuất]/Table1_2[SL Xuất], 0)</f>
        <v>22250</v>
      </c>
      <c r="Q193">
        <f>Table1_2[SL Xuất] - Table1_2[SL Xuất KM]</f>
        <v>7</v>
      </c>
    </row>
    <row r="194" spans="1:17" x14ac:dyDescent="0.25">
      <c r="A194">
        <v>193</v>
      </c>
      <c r="B194" t="s">
        <v>133</v>
      </c>
      <c r="C194" t="s">
        <v>134</v>
      </c>
      <c r="D194" t="s">
        <v>13</v>
      </c>
      <c r="E194">
        <v>200010</v>
      </c>
      <c r="F194">
        <v>0</v>
      </c>
      <c r="G194">
        <v>30</v>
      </c>
      <c r="H194">
        <v>240000</v>
      </c>
      <c r="I194">
        <v>39990</v>
      </c>
      <c r="J194" s="1">
        <v>45192</v>
      </c>
      <c r="K194" t="s">
        <v>127</v>
      </c>
      <c r="L194">
        <v>9</v>
      </c>
      <c r="M194">
        <v>2023</v>
      </c>
      <c r="N194">
        <f t="shared" ref="N194:N257" si="3">I194-E194</f>
        <v>-160020</v>
      </c>
      <c r="O194" s="19">
        <f>IF(Table1_2[Tiền Nhập]&lt;&gt;0, Table1_2[Lợi Nhuận Gộp]/Table1_2[Tiền Nhập], 0)</f>
        <v>-0.80005999700014996</v>
      </c>
      <c r="P194">
        <f>IF(Table1_2[SL Xuất]&gt;0, Table1_2[Tiền Xuất]/Table1_2[SL Xuất], 0)</f>
        <v>8000</v>
      </c>
      <c r="Q194">
        <f>Table1_2[SL Xuất] - Table1_2[SL Xuất KM]</f>
        <v>30</v>
      </c>
    </row>
    <row r="195" spans="1:17" x14ac:dyDescent="0.25">
      <c r="A195">
        <v>194</v>
      </c>
      <c r="B195" t="s">
        <v>251</v>
      </c>
      <c r="C195" t="s">
        <v>252</v>
      </c>
      <c r="D195" t="s">
        <v>88</v>
      </c>
      <c r="E195">
        <v>0</v>
      </c>
      <c r="F195">
        <v>0</v>
      </c>
      <c r="G195">
        <v>0</v>
      </c>
      <c r="H195">
        <v>0</v>
      </c>
      <c r="I195">
        <v>0</v>
      </c>
      <c r="J195" s="1">
        <v>45192</v>
      </c>
      <c r="K195" t="s">
        <v>604</v>
      </c>
      <c r="L195">
        <v>9</v>
      </c>
      <c r="M195">
        <v>2023</v>
      </c>
      <c r="N195">
        <f t="shared" si="3"/>
        <v>0</v>
      </c>
      <c r="O195" s="19">
        <f>IF(Table1_2[Tiền Nhập]&lt;&gt;0, Table1_2[Lợi Nhuận Gộp]/Table1_2[Tiền Nhập], 0)</f>
        <v>0</v>
      </c>
      <c r="P195">
        <f>IF(Table1_2[SL Xuất]&gt;0, Table1_2[Tiền Xuất]/Table1_2[SL Xuất], 0)</f>
        <v>0</v>
      </c>
      <c r="Q195">
        <f>Table1_2[SL Xuất] - Table1_2[SL Xuất KM]</f>
        <v>0</v>
      </c>
    </row>
    <row r="196" spans="1:17" x14ac:dyDescent="0.25">
      <c r="A196">
        <v>195</v>
      </c>
      <c r="B196" t="s">
        <v>259</v>
      </c>
      <c r="C196" t="s">
        <v>260</v>
      </c>
      <c r="D196" t="s">
        <v>88</v>
      </c>
      <c r="E196">
        <v>0</v>
      </c>
      <c r="F196">
        <v>0</v>
      </c>
      <c r="G196">
        <v>0</v>
      </c>
      <c r="H196">
        <v>0</v>
      </c>
      <c r="I196">
        <v>0</v>
      </c>
      <c r="J196" s="1">
        <v>45192</v>
      </c>
      <c r="K196" t="s">
        <v>604</v>
      </c>
      <c r="L196">
        <v>9</v>
      </c>
      <c r="M196">
        <v>2023</v>
      </c>
      <c r="N196">
        <f t="shared" si="3"/>
        <v>0</v>
      </c>
      <c r="O196" s="19">
        <f>IF(Table1_2[Tiền Nhập]&lt;&gt;0, Table1_2[Lợi Nhuận Gộp]/Table1_2[Tiền Nhập], 0)</f>
        <v>0</v>
      </c>
      <c r="P196">
        <f>IF(Table1_2[SL Xuất]&gt;0, Table1_2[Tiền Xuất]/Table1_2[SL Xuất], 0)</f>
        <v>0</v>
      </c>
      <c r="Q196">
        <f>Table1_2[SL Xuất] - Table1_2[SL Xuất KM]</f>
        <v>0</v>
      </c>
    </row>
    <row r="197" spans="1:17" x14ac:dyDescent="0.25">
      <c r="A197">
        <v>196</v>
      </c>
      <c r="B197" t="s">
        <v>605</v>
      </c>
      <c r="C197" t="s">
        <v>606</v>
      </c>
      <c r="D197" t="s">
        <v>23</v>
      </c>
      <c r="E197">
        <v>0</v>
      </c>
      <c r="F197">
        <v>0</v>
      </c>
      <c r="G197">
        <v>0</v>
      </c>
      <c r="H197">
        <v>0</v>
      </c>
      <c r="I197">
        <v>0</v>
      </c>
      <c r="J197" s="1">
        <v>45195</v>
      </c>
      <c r="K197" t="s">
        <v>608</v>
      </c>
      <c r="L197">
        <v>9</v>
      </c>
      <c r="M197">
        <v>2023</v>
      </c>
      <c r="N197">
        <f t="shared" si="3"/>
        <v>0</v>
      </c>
      <c r="O197" s="19">
        <f>IF(Table1_2[Tiền Nhập]&lt;&gt;0, Table1_2[Lợi Nhuận Gộp]/Table1_2[Tiền Nhập], 0)</f>
        <v>0</v>
      </c>
      <c r="P197">
        <f>IF(Table1_2[SL Xuất]&gt;0, Table1_2[Tiền Xuất]/Table1_2[SL Xuất], 0)</f>
        <v>0</v>
      </c>
      <c r="Q197">
        <f>Table1_2[SL Xuất] - Table1_2[SL Xuất KM]</f>
        <v>0</v>
      </c>
    </row>
    <row r="198" spans="1:17" x14ac:dyDescent="0.25">
      <c r="A198">
        <v>197</v>
      </c>
      <c r="B198" t="s">
        <v>605</v>
      </c>
      <c r="C198" t="s">
        <v>606</v>
      </c>
      <c r="D198" t="s">
        <v>23</v>
      </c>
      <c r="E198">
        <v>950880</v>
      </c>
      <c r="F198">
        <v>0</v>
      </c>
      <c r="G198">
        <v>120</v>
      </c>
      <c r="H198">
        <v>1380000</v>
      </c>
      <c r="I198">
        <v>429120</v>
      </c>
      <c r="J198" s="1">
        <v>45196</v>
      </c>
      <c r="K198" t="s">
        <v>608</v>
      </c>
      <c r="L198">
        <v>9</v>
      </c>
      <c r="M198">
        <v>2023</v>
      </c>
      <c r="N198">
        <f t="shared" si="3"/>
        <v>-521760</v>
      </c>
      <c r="O198" s="19">
        <f>IF(Table1_2[Tiền Nhập]&lt;&gt;0, Table1_2[Lợi Nhuận Gộp]/Table1_2[Tiền Nhập], 0)</f>
        <v>-0.54871277132761231</v>
      </c>
      <c r="P198">
        <f>IF(Table1_2[SL Xuất]&gt;0, Table1_2[Tiền Xuất]/Table1_2[SL Xuất], 0)</f>
        <v>11500</v>
      </c>
      <c r="Q198">
        <f>Table1_2[SL Xuất] - Table1_2[SL Xuất KM]</f>
        <v>120</v>
      </c>
    </row>
    <row r="199" spans="1:17" x14ac:dyDescent="0.25">
      <c r="A199">
        <v>198</v>
      </c>
      <c r="B199" t="s">
        <v>613</v>
      </c>
      <c r="C199" t="s">
        <v>614</v>
      </c>
      <c r="D199" t="s">
        <v>88</v>
      </c>
      <c r="E199">
        <v>42084</v>
      </c>
      <c r="F199">
        <v>0</v>
      </c>
      <c r="G199">
        <v>1</v>
      </c>
      <c r="H199">
        <v>48000</v>
      </c>
      <c r="I199">
        <v>5916</v>
      </c>
      <c r="J199" s="1">
        <v>45197</v>
      </c>
      <c r="K199" t="s">
        <v>329</v>
      </c>
      <c r="L199">
        <v>9</v>
      </c>
      <c r="M199">
        <v>2023</v>
      </c>
      <c r="N199">
        <f t="shared" si="3"/>
        <v>-36168</v>
      </c>
      <c r="O199" s="19">
        <f>IF(Table1_2[Tiền Nhập]&lt;&gt;0, Table1_2[Lợi Nhuận Gộp]/Table1_2[Tiền Nhập], 0)</f>
        <v>-0.85942400912460792</v>
      </c>
      <c r="P199">
        <f>IF(Table1_2[SL Xuất]&gt;0, Table1_2[Tiền Xuất]/Table1_2[SL Xuất], 0)</f>
        <v>48000</v>
      </c>
      <c r="Q199">
        <f>Table1_2[SL Xuất] - Table1_2[SL Xuất KM]</f>
        <v>1</v>
      </c>
    </row>
    <row r="200" spans="1:17" x14ac:dyDescent="0.25">
      <c r="A200">
        <v>199</v>
      </c>
      <c r="B200" t="s">
        <v>618</v>
      </c>
      <c r="C200" t="s">
        <v>619</v>
      </c>
      <c r="D200" t="s">
        <v>88</v>
      </c>
      <c r="E200">
        <v>42084</v>
      </c>
      <c r="F200">
        <v>0</v>
      </c>
      <c r="G200">
        <v>1</v>
      </c>
      <c r="H200">
        <v>48000</v>
      </c>
      <c r="I200">
        <v>5916</v>
      </c>
      <c r="J200" s="1">
        <v>45197</v>
      </c>
      <c r="K200" t="s">
        <v>329</v>
      </c>
      <c r="L200">
        <v>9</v>
      </c>
      <c r="M200">
        <v>2023</v>
      </c>
      <c r="N200">
        <f t="shared" si="3"/>
        <v>-36168</v>
      </c>
      <c r="O200" s="19">
        <f>IF(Table1_2[Tiền Nhập]&lt;&gt;0, Table1_2[Lợi Nhuận Gộp]/Table1_2[Tiền Nhập], 0)</f>
        <v>-0.85942400912460792</v>
      </c>
      <c r="P200">
        <f>IF(Table1_2[SL Xuất]&gt;0, Table1_2[Tiền Xuất]/Table1_2[SL Xuất], 0)</f>
        <v>48000</v>
      </c>
      <c r="Q200">
        <f>Table1_2[SL Xuất] - Table1_2[SL Xuất KM]</f>
        <v>1</v>
      </c>
    </row>
    <row r="201" spans="1:17" x14ac:dyDescent="0.25">
      <c r="A201">
        <v>200</v>
      </c>
      <c r="B201" t="s">
        <v>620</v>
      </c>
      <c r="C201" t="s">
        <v>621</v>
      </c>
      <c r="D201" t="s">
        <v>336</v>
      </c>
      <c r="E201">
        <v>0</v>
      </c>
      <c r="F201">
        <v>0</v>
      </c>
      <c r="G201">
        <v>0</v>
      </c>
      <c r="H201">
        <v>0</v>
      </c>
      <c r="I201">
        <v>0</v>
      </c>
      <c r="J201" s="1">
        <v>45197</v>
      </c>
      <c r="K201" t="s">
        <v>329</v>
      </c>
      <c r="L201">
        <v>9</v>
      </c>
      <c r="M201">
        <v>2023</v>
      </c>
      <c r="N201">
        <f t="shared" si="3"/>
        <v>0</v>
      </c>
      <c r="O201" s="19">
        <f>IF(Table1_2[Tiền Nhập]&lt;&gt;0, Table1_2[Lợi Nhuận Gộp]/Table1_2[Tiền Nhập], 0)</f>
        <v>0</v>
      </c>
      <c r="P201">
        <f>IF(Table1_2[SL Xuất]&gt;0, Table1_2[Tiền Xuất]/Table1_2[SL Xuất], 0)</f>
        <v>0</v>
      </c>
      <c r="Q201">
        <f>Table1_2[SL Xuất] - Table1_2[SL Xuất KM]</f>
        <v>0</v>
      </c>
    </row>
    <row r="202" spans="1:17" x14ac:dyDescent="0.25">
      <c r="A202">
        <v>201</v>
      </c>
      <c r="B202" t="s">
        <v>622</v>
      </c>
      <c r="C202" t="s">
        <v>623</v>
      </c>
      <c r="D202" t="s">
        <v>13</v>
      </c>
      <c r="E202">
        <v>90000</v>
      </c>
      <c r="F202">
        <v>0</v>
      </c>
      <c r="G202">
        <v>25</v>
      </c>
      <c r="H202">
        <v>100000</v>
      </c>
      <c r="I202">
        <v>10000</v>
      </c>
      <c r="J202" s="1">
        <v>45197</v>
      </c>
      <c r="K202" t="s">
        <v>625</v>
      </c>
      <c r="L202">
        <v>9</v>
      </c>
      <c r="M202">
        <v>2023</v>
      </c>
      <c r="N202">
        <f t="shared" si="3"/>
        <v>-80000</v>
      </c>
      <c r="O202" s="19">
        <f>IF(Table1_2[Tiền Nhập]&lt;&gt;0, Table1_2[Lợi Nhuận Gộp]/Table1_2[Tiền Nhập], 0)</f>
        <v>-0.88888888888888884</v>
      </c>
      <c r="P202">
        <f>IF(Table1_2[SL Xuất]&gt;0, Table1_2[Tiền Xuất]/Table1_2[SL Xuất], 0)</f>
        <v>4000</v>
      </c>
      <c r="Q202">
        <f>Table1_2[SL Xuất] - Table1_2[SL Xuất KM]</f>
        <v>25</v>
      </c>
    </row>
    <row r="203" spans="1:17" x14ac:dyDescent="0.25">
      <c r="A203">
        <v>202</v>
      </c>
      <c r="B203" t="s">
        <v>626</v>
      </c>
      <c r="C203" t="s">
        <v>627</v>
      </c>
      <c r="D203" t="s">
        <v>13</v>
      </c>
      <c r="E203">
        <v>90000</v>
      </c>
      <c r="F203">
        <v>0</v>
      </c>
      <c r="G203">
        <v>25</v>
      </c>
      <c r="H203">
        <v>100000</v>
      </c>
      <c r="I203">
        <v>10000</v>
      </c>
      <c r="J203" s="1">
        <v>45197</v>
      </c>
      <c r="K203" t="s">
        <v>625</v>
      </c>
      <c r="L203">
        <v>9</v>
      </c>
      <c r="M203">
        <v>2023</v>
      </c>
      <c r="N203">
        <f t="shared" si="3"/>
        <v>-80000</v>
      </c>
      <c r="O203" s="19">
        <f>IF(Table1_2[Tiền Nhập]&lt;&gt;0, Table1_2[Lợi Nhuận Gộp]/Table1_2[Tiền Nhập], 0)</f>
        <v>-0.88888888888888884</v>
      </c>
      <c r="P203">
        <f>IF(Table1_2[SL Xuất]&gt;0, Table1_2[Tiền Xuất]/Table1_2[SL Xuất], 0)</f>
        <v>4000</v>
      </c>
      <c r="Q203">
        <f>Table1_2[SL Xuất] - Table1_2[SL Xuất KM]</f>
        <v>25</v>
      </c>
    </row>
    <row r="204" spans="1:17" x14ac:dyDescent="0.25">
      <c r="A204">
        <v>203</v>
      </c>
      <c r="B204" t="s">
        <v>628</v>
      </c>
      <c r="C204" t="s">
        <v>629</v>
      </c>
      <c r="D204" t="s">
        <v>194</v>
      </c>
      <c r="E204">
        <v>22000</v>
      </c>
      <c r="F204">
        <v>0</v>
      </c>
      <c r="G204">
        <v>5</v>
      </c>
      <c r="H204">
        <v>30000</v>
      </c>
      <c r="I204">
        <v>8000</v>
      </c>
      <c r="J204" s="1">
        <v>45197</v>
      </c>
      <c r="K204" t="s">
        <v>625</v>
      </c>
      <c r="L204">
        <v>9</v>
      </c>
      <c r="M204">
        <v>2023</v>
      </c>
      <c r="N204">
        <f t="shared" si="3"/>
        <v>-14000</v>
      </c>
      <c r="O204" s="19">
        <f>IF(Table1_2[Tiền Nhập]&lt;&gt;0, Table1_2[Lợi Nhuận Gộp]/Table1_2[Tiền Nhập], 0)</f>
        <v>-0.63636363636363635</v>
      </c>
      <c r="P204">
        <f>IF(Table1_2[SL Xuất]&gt;0, Table1_2[Tiền Xuất]/Table1_2[SL Xuất], 0)</f>
        <v>6000</v>
      </c>
      <c r="Q204">
        <f>Table1_2[SL Xuất] - Table1_2[SL Xuất KM]</f>
        <v>5</v>
      </c>
    </row>
    <row r="205" spans="1:17" x14ac:dyDescent="0.25">
      <c r="A205">
        <v>204</v>
      </c>
      <c r="B205" t="s">
        <v>632</v>
      </c>
      <c r="C205" t="s">
        <v>633</v>
      </c>
      <c r="D205" t="s">
        <v>13</v>
      </c>
      <c r="E205">
        <v>105000</v>
      </c>
      <c r="F205">
        <v>0</v>
      </c>
      <c r="G205">
        <v>20</v>
      </c>
      <c r="H205">
        <v>140000</v>
      </c>
      <c r="I205">
        <v>35000</v>
      </c>
      <c r="J205" s="1">
        <v>45197</v>
      </c>
      <c r="K205" t="s">
        <v>625</v>
      </c>
      <c r="L205">
        <v>9</v>
      </c>
      <c r="M205">
        <v>2023</v>
      </c>
      <c r="N205">
        <f t="shared" si="3"/>
        <v>-70000</v>
      </c>
      <c r="O205" s="19">
        <f>IF(Table1_2[Tiền Nhập]&lt;&gt;0, Table1_2[Lợi Nhuận Gộp]/Table1_2[Tiền Nhập], 0)</f>
        <v>-0.66666666666666663</v>
      </c>
      <c r="P205">
        <f>IF(Table1_2[SL Xuất]&gt;0, Table1_2[Tiền Xuất]/Table1_2[SL Xuất], 0)</f>
        <v>7000</v>
      </c>
      <c r="Q205">
        <f>Table1_2[SL Xuất] - Table1_2[SL Xuất KM]</f>
        <v>20</v>
      </c>
    </row>
    <row r="206" spans="1:17" x14ac:dyDescent="0.25">
      <c r="A206">
        <v>205</v>
      </c>
      <c r="B206" t="s">
        <v>269</v>
      </c>
      <c r="C206" t="s">
        <v>270</v>
      </c>
      <c r="D206" t="s">
        <v>13</v>
      </c>
      <c r="E206">
        <v>40000</v>
      </c>
      <c r="F206">
        <v>0</v>
      </c>
      <c r="G206">
        <v>10</v>
      </c>
      <c r="H206">
        <v>65000</v>
      </c>
      <c r="I206">
        <v>25000</v>
      </c>
      <c r="J206" s="1">
        <v>45197</v>
      </c>
      <c r="K206" t="s">
        <v>625</v>
      </c>
      <c r="L206">
        <v>9</v>
      </c>
      <c r="M206">
        <v>2023</v>
      </c>
      <c r="N206">
        <f t="shared" si="3"/>
        <v>-15000</v>
      </c>
      <c r="O206" s="19">
        <f>IF(Table1_2[Tiền Nhập]&lt;&gt;0, Table1_2[Lợi Nhuận Gộp]/Table1_2[Tiền Nhập], 0)</f>
        <v>-0.375</v>
      </c>
      <c r="P206">
        <f>IF(Table1_2[SL Xuất]&gt;0, Table1_2[Tiền Xuất]/Table1_2[SL Xuất], 0)</f>
        <v>6500</v>
      </c>
      <c r="Q206">
        <f>Table1_2[SL Xuất] - Table1_2[SL Xuất KM]</f>
        <v>10</v>
      </c>
    </row>
    <row r="207" spans="1:17" x14ac:dyDescent="0.25">
      <c r="A207">
        <v>206</v>
      </c>
      <c r="B207" t="s">
        <v>636</v>
      </c>
      <c r="C207" t="s">
        <v>637</v>
      </c>
      <c r="D207" t="s">
        <v>13</v>
      </c>
      <c r="E207">
        <v>55000</v>
      </c>
      <c r="F207">
        <v>0</v>
      </c>
      <c r="G207">
        <v>10</v>
      </c>
      <c r="H207">
        <v>65000</v>
      </c>
      <c r="I207">
        <v>10000</v>
      </c>
      <c r="J207" s="1">
        <v>45197</v>
      </c>
      <c r="K207" t="s">
        <v>625</v>
      </c>
      <c r="L207">
        <v>9</v>
      </c>
      <c r="M207">
        <v>2023</v>
      </c>
      <c r="N207">
        <f t="shared" si="3"/>
        <v>-45000</v>
      </c>
      <c r="O207" s="19">
        <f>IF(Table1_2[Tiền Nhập]&lt;&gt;0, Table1_2[Lợi Nhuận Gộp]/Table1_2[Tiền Nhập], 0)</f>
        <v>-0.81818181818181823</v>
      </c>
      <c r="P207">
        <f>IF(Table1_2[SL Xuất]&gt;0, Table1_2[Tiền Xuất]/Table1_2[SL Xuất], 0)</f>
        <v>6500</v>
      </c>
      <c r="Q207">
        <f>Table1_2[SL Xuất] - Table1_2[SL Xuất KM]</f>
        <v>10</v>
      </c>
    </row>
    <row r="208" spans="1:17" x14ac:dyDescent="0.25">
      <c r="A208">
        <v>207</v>
      </c>
      <c r="B208" t="s">
        <v>173</v>
      </c>
      <c r="C208" t="s">
        <v>174</v>
      </c>
      <c r="D208" t="s">
        <v>30</v>
      </c>
      <c r="E208">
        <v>115000</v>
      </c>
      <c r="F208">
        <v>0</v>
      </c>
      <c r="G208">
        <v>1</v>
      </c>
      <c r="H208">
        <v>168000</v>
      </c>
      <c r="I208">
        <v>53000</v>
      </c>
      <c r="J208" s="1">
        <v>45197</v>
      </c>
      <c r="K208" t="s">
        <v>625</v>
      </c>
      <c r="L208">
        <v>9</v>
      </c>
      <c r="M208">
        <v>2023</v>
      </c>
      <c r="N208">
        <f t="shared" si="3"/>
        <v>-62000</v>
      </c>
      <c r="O208" s="19">
        <f>IF(Table1_2[Tiền Nhập]&lt;&gt;0, Table1_2[Lợi Nhuận Gộp]/Table1_2[Tiền Nhập], 0)</f>
        <v>-0.53913043478260869</v>
      </c>
      <c r="P208">
        <f>IF(Table1_2[SL Xuất]&gt;0, Table1_2[Tiền Xuất]/Table1_2[SL Xuất], 0)</f>
        <v>168000</v>
      </c>
      <c r="Q208">
        <f>Table1_2[SL Xuất] - Table1_2[SL Xuất KM]</f>
        <v>1</v>
      </c>
    </row>
    <row r="209" spans="1:17" x14ac:dyDescent="0.25">
      <c r="A209">
        <v>208</v>
      </c>
      <c r="B209" t="s">
        <v>177</v>
      </c>
      <c r="C209" t="s">
        <v>178</v>
      </c>
      <c r="D209" t="s">
        <v>30</v>
      </c>
      <c r="E209">
        <v>115000</v>
      </c>
      <c r="F209">
        <v>0</v>
      </c>
      <c r="G209">
        <v>1</v>
      </c>
      <c r="H209">
        <v>168000</v>
      </c>
      <c r="I209">
        <v>53000</v>
      </c>
      <c r="J209" s="1">
        <v>45197</v>
      </c>
      <c r="K209" t="s">
        <v>625</v>
      </c>
      <c r="L209">
        <v>9</v>
      </c>
      <c r="M209">
        <v>2023</v>
      </c>
      <c r="N209">
        <f t="shared" si="3"/>
        <v>-62000</v>
      </c>
      <c r="O209" s="19">
        <f>IF(Table1_2[Tiền Nhập]&lt;&gt;0, Table1_2[Lợi Nhuận Gộp]/Table1_2[Tiền Nhập], 0)</f>
        <v>-0.53913043478260869</v>
      </c>
      <c r="P209">
        <f>IF(Table1_2[SL Xuất]&gt;0, Table1_2[Tiền Xuất]/Table1_2[SL Xuất], 0)</f>
        <v>168000</v>
      </c>
      <c r="Q209">
        <f>Table1_2[SL Xuất] - Table1_2[SL Xuất KM]</f>
        <v>1</v>
      </c>
    </row>
    <row r="210" spans="1:17" x14ac:dyDescent="0.25">
      <c r="A210">
        <v>209</v>
      </c>
      <c r="B210" t="s">
        <v>640</v>
      </c>
      <c r="C210" t="s">
        <v>641</v>
      </c>
      <c r="D210" t="s">
        <v>194</v>
      </c>
      <c r="E210">
        <v>74000</v>
      </c>
      <c r="F210">
        <v>0</v>
      </c>
      <c r="G210">
        <v>1</v>
      </c>
      <c r="H210">
        <v>108000</v>
      </c>
      <c r="I210">
        <v>34000</v>
      </c>
      <c r="J210" s="1">
        <v>45197</v>
      </c>
      <c r="K210" t="s">
        <v>625</v>
      </c>
      <c r="L210">
        <v>9</v>
      </c>
      <c r="M210">
        <v>2023</v>
      </c>
      <c r="N210">
        <f t="shared" si="3"/>
        <v>-40000</v>
      </c>
      <c r="O210" s="19">
        <f>IF(Table1_2[Tiền Nhập]&lt;&gt;0, Table1_2[Lợi Nhuận Gộp]/Table1_2[Tiền Nhập], 0)</f>
        <v>-0.54054054054054057</v>
      </c>
      <c r="P210">
        <f>IF(Table1_2[SL Xuất]&gt;0, Table1_2[Tiền Xuất]/Table1_2[SL Xuất], 0)</f>
        <v>108000</v>
      </c>
      <c r="Q210">
        <f>Table1_2[SL Xuất] - Table1_2[SL Xuất KM]</f>
        <v>1</v>
      </c>
    </row>
    <row r="211" spans="1:17" x14ac:dyDescent="0.25">
      <c r="A211">
        <v>210</v>
      </c>
      <c r="B211" t="s">
        <v>645</v>
      </c>
      <c r="C211" t="s">
        <v>646</v>
      </c>
      <c r="D211" t="s">
        <v>194</v>
      </c>
      <c r="E211">
        <v>74000</v>
      </c>
      <c r="F211">
        <v>0</v>
      </c>
      <c r="G211">
        <v>1</v>
      </c>
      <c r="H211">
        <v>108000</v>
      </c>
      <c r="I211">
        <v>34000</v>
      </c>
      <c r="J211" s="1">
        <v>45197</v>
      </c>
      <c r="K211" t="s">
        <v>625</v>
      </c>
      <c r="L211">
        <v>9</v>
      </c>
      <c r="M211">
        <v>2023</v>
      </c>
      <c r="N211">
        <f t="shared" si="3"/>
        <v>-40000</v>
      </c>
      <c r="O211" s="19">
        <f>IF(Table1_2[Tiền Nhập]&lt;&gt;0, Table1_2[Lợi Nhuận Gộp]/Table1_2[Tiền Nhập], 0)</f>
        <v>-0.54054054054054057</v>
      </c>
      <c r="P211">
        <f>IF(Table1_2[SL Xuất]&gt;0, Table1_2[Tiền Xuất]/Table1_2[SL Xuất], 0)</f>
        <v>108000</v>
      </c>
      <c r="Q211">
        <f>Table1_2[SL Xuất] - Table1_2[SL Xuất KM]</f>
        <v>1</v>
      </c>
    </row>
    <row r="212" spans="1:17" x14ac:dyDescent="0.25">
      <c r="A212">
        <v>211</v>
      </c>
      <c r="B212" t="s">
        <v>636</v>
      </c>
      <c r="C212" t="s">
        <v>637</v>
      </c>
      <c r="D212" t="s">
        <v>13</v>
      </c>
      <c r="E212">
        <v>55000</v>
      </c>
      <c r="F212">
        <v>0</v>
      </c>
      <c r="G212">
        <v>10</v>
      </c>
      <c r="H212">
        <v>60000</v>
      </c>
      <c r="I212">
        <v>5000</v>
      </c>
      <c r="J212" s="1">
        <v>45197</v>
      </c>
      <c r="K212" t="s">
        <v>648</v>
      </c>
      <c r="L212">
        <v>9</v>
      </c>
      <c r="M212">
        <v>2023</v>
      </c>
      <c r="N212">
        <f t="shared" si="3"/>
        <v>-50000</v>
      </c>
      <c r="O212" s="19">
        <f>IF(Table1_2[Tiền Nhập]&lt;&gt;0, Table1_2[Lợi Nhuận Gộp]/Table1_2[Tiền Nhập], 0)</f>
        <v>-0.90909090909090906</v>
      </c>
      <c r="P212">
        <f>IF(Table1_2[SL Xuất]&gt;0, Table1_2[Tiền Xuất]/Table1_2[SL Xuất], 0)</f>
        <v>6000</v>
      </c>
      <c r="Q212">
        <f>Table1_2[SL Xuất] - Table1_2[SL Xuất KM]</f>
        <v>10</v>
      </c>
    </row>
    <row r="213" spans="1:17" x14ac:dyDescent="0.25">
      <c r="A213">
        <v>212</v>
      </c>
      <c r="B213" t="s">
        <v>273</v>
      </c>
      <c r="C213" t="s">
        <v>274</v>
      </c>
      <c r="D213" t="s">
        <v>13</v>
      </c>
      <c r="E213">
        <v>67500</v>
      </c>
      <c r="F213">
        <v>0</v>
      </c>
      <c r="G213">
        <v>10</v>
      </c>
      <c r="H213">
        <v>75000</v>
      </c>
      <c r="I213">
        <v>7500</v>
      </c>
      <c r="J213" s="1">
        <v>45197</v>
      </c>
      <c r="K213" t="s">
        <v>648</v>
      </c>
      <c r="L213">
        <v>9</v>
      </c>
      <c r="M213">
        <v>2023</v>
      </c>
      <c r="N213">
        <f t="shared" si="3"/>
        <v>-60000</v>
      </c>
      <c r="O213" s="19">
        <f>IF(Table1_2[Tiền Nhập]&lt;&gt;0, Table1_2[Lợi Nhuận Gộp]/Table1_2[Tiền Nhập], 0)</f>
        <v>-0.88888888888888884</v>
      </c>
      <c r="P213">
        <f>IF(Table1_2[SL Xuất]&gt;0, Table1_2[Tiền Xuất]/Table1_2[SL Xuất], 0)</f>
        <v>7500</v>
      </c>
      <c r="Q213">
        <f>Table1_2[SL Xuất] - Table1_2[SL Xuất KM]</f>
        <v>10</v>
      </c>
    </row>
    <row r="214" spans="1:17" x14ac:dyDescent="0.25">
      <c r="A214">
        <v>213</v>
      </c>
      <c r="B214" t="s">
        <v>133</v>
      </c>
      <c r="C214" t="s">
        <v>134</v>
      </c>
      <c r="D214" t="s">
        <v>13</v>
      </c>
      <c r="E214">
        <v>66670</v>
      </c>
      <c r="F214">
        <v>0</v>
      </c>
      <c r="G214">
        <v>10</v>
      </c>
      <c r="H214">
        <v>75000</v>
      </c>
      <c r="I214">
        <v>8330</v>
      </c>
      <c r="J214" s="1">
        <v>45197</v>
      </c>
      <c r="K214" t="s">
        <v>648</v>
      </c>
      <c r="L214">
        <v>9</v>
      </c>
      <c r="M214">
        <v>2023</v>
      </c>
      <c r="N214">
        <f t="shared" si="3"/>
        <v>-58340</v>
      </c>
      <c r="O214" s="19">
        <f>IF(Table1_2[Tiền Nhập]&lt;&gt;0, Table1_2[Lợi Nhuận Gộp]/Table1_2[Tiền Nhập], 0)</f>
        <v>-0.87505624718764063</v>
      </c>
      <c r="P214">
        <f>IF(Table1_2[SL Xuất]&gt;0, Table1_2[Tiền Xuất]/Table1_2[SL Xuất], 0)</f>
        <v>7500</v>
      </c>
      <c r="Q214">
        <f>Table1_2[SL Xuất] - Table1_2[SL Xuất KM]</f>
        <v>10</v>
      </c>
    </row>
    <row r="215" spans="1:17" x14ac:dyDescent="0.25">
      <c r="A215">
        <v>214</v>
      </c>
      <c r="B215" t="s">
        <v>147</v>
      </c>
      <c r="C215" t="s">
        <v>148</v>
      </c>
      <c r="D215" t="s">
        <v>149</v>
      </c>
      <c r="E215">
        <v>82500</v>
      </c>
      <c r="F215">
        <v>0</v>
      </c>
      <c r="G215">
        <v>15</v>
      </c>
      <c r="H215">
        <v>97500</v>
      </c>
      <c r="I215">
        <v>15000</v>
      </c>
      <c r="J215" s="1">
        <v>45197</v>
      </c>
      <c r="K215" t="s">
        <v>654</v>
      </c>
      <c r="L215">
        <v>9</v>
      </c>
      <c r="M215">
        <v>2023</v>
      </c>
      <c r="N215">
        <f t="shared" si="3"/>
        <v>-67500</v>
      </c>
      <c r="O215" s="19">
        <f>IF(Table1_2[Tiền Nhập]&lt;&gt;0, Table1_2[Lợi Nhuận Gộp]/Table1_2[Tiền Nhập], 0)</f>
        <v>-0.81818181818181823</v>
      </c>
      <c r="P215">
        <f>IF(Table1_2[SL Xuất]&gt;0, Table1_2[Tiền Xuất]/Table1_2[SL Xuất], 0)</f>
        <v>6500</v>
      </c>
      <c r="Q215">
        <f>Table1_2[SL Xuất] - Table1_2[SL Xuất KM]</f>
        <v>15</v>
      </c>
    </row>
    <row r="216" spans="1:17" x14ac:dyDescent="0.25">
      <c r="A216">
        <v>215</v>
      </c>
      <c r="B216" t="s">
        <v>155</v>
      </c>
      <c r="C216" t="s">
        <v>156</v>
      </c>
      <c r="D216" t="s">
        <v>149</v>
      </c>
      <c r="E216">
        <v>82500</v>
      </c>
      <c r="F216">
        <v>0</v>
      </c>
      <c r="G216">
        <v>15</v>
      </c>
      <c r="H216">
        <v>97500</v>
      </c>
      <c r="I216">
        <v>15000</v>
      </c>
      <c r="J216" s="1">
        <v>45197</v>
      </c>
      <c r="K216" t="s">
        <v>654</v>
      </c>
      <c r="L216">
        <v>9</v>
      </c>
      <c r="M216">
        <v>2023</v>
      </c>
      <c r="N216">
        <f t="shared" si="3"/>
        <v>-67500</v>
      </c>
      <c r="O216" s="19">
        <f>IF(Table1_2[Tiền Nhập]&lt;&gt;0, Table1_2[Lợi Nhuận Gộp]/Table1_2[Tiền Nhập], 0)</f>
        <v>-0.81818181818181823</v>
      </c>
      <c r="P216">
        <f>IF(Table1_2[SL Xuất]&gt;0, Table1_2[Tiền Xuất]/Table1_2[SL Xuất], 0)</f>
        <v>6500</v>
      </c>
      <c r="Q216">
        <f>Table1_2[SL Xuất] - Table1_2[SL Xuất KM]</f>
        <v>15</v>
      </c>
    </row>
    <row r="217" spans="1:17" x14ac:dyDescent="0.25">
      <c r="A217">
        <v>216</v>
      </c>
      <c r="B217" t="s">
        <v>655</v>
      </c>
      <c r="C217" t="s">
        <v>656</v>
      </c>
      <c r="D217" t="s">
        <v>107</v>
      </c>
      <c r="E217">
        <v>24000</v>
      </c>
      <c r="F217">
        <v>0</v>
      </c>
      <c r="G217">
        <v>1</v>
      </c>
      <c r="H217">
        <v>30000</v>
      </c>
      <c r="I217">
        <v>6000</v>
      </c>
      <c r="J217" s="1">
        <v>45197</v>
      </c>
      <c r="K217" t="s">
        <v>654</v>
      </c>
      <c r="L217">
        <v>9</v>
      </c>
      <c r="M217">
        <v>2023</v>
      </c>
      <c r="N217">
        <f t="shared" si="3"/>
        <v>-18000</v>
      </c>
      <c r="O217" s="19">
        <f>IF(Table1_2[Tiền Nhập]&lt;&gt;0, Table1_2[Lợi Nhuận Gộp]/Table1_2[Tiền Nhập], 0)</f>
        <v>-0.75</v>
      </c>
      <c r="P217">
        <f>IF(Table1_2[SL Xuất]&gt;0, Table1_2[Tiền Xuất]/Table1_2[SL Xuất], 0)</f>
        <v>30000</v>
      </c>
      <c r="Q217">
        <f>Table1_2[SL Xuất] - Table1_2[SL Xuất KM]</f>
        <v>1</v>
      </c>
    </row>
    <row r="218" spans="1:17" x14ac:dyDescent="0.25">
      <c r="A218">
        <v>217</v>
      </c>
      <c r="B218" t="s">
        <v>273</v>
      </c>
      <c r="C218" t="s">
        <v>274</v>
      </c>
      <c r="D218" t="s">
        <v>13</v>
      </c>
      <c r="E218">
        <v>270000</v>
      </c>
      <c r="F218">
        <v>0</v>
      </c>
      <c r="G218">
        <v>40</v>
      </c>
      <c r="H218">
        <v>280000</v>
      </c>
      <c r="I218">
        <v>10000</v>
      </c>
      <c r="J218" s="1">
        <v>45197</v>
      </c>
      <c r="K218" t="s">
        <v>658</v>
      </c>
      <c r="L218">
        <v>9</v>
      </c>
      <c r="M218">
        <v>2023</v>
      </c>
      <c r="N218">
        <f t="shared" si="3"/>
        <v>-260000</v>
      </c>
      <c r="O218" s="19">
        <f>IF(Table1_2[Tiền Nhập]&lt;&gt;0, Table1_2[Lợi Nhuận Gộp]/Table1_2[Tiền Nhập], 0)</f>
        <v>-0.96296296296296291</v>
      </c>
      <c r="P218">
        <f>IF(Table1_2[SL Xuất]&gt;0, Table1_2[Tiền Xuất]/Table1_2[SL Xuất], 0)</f>
        <v>7000</v>
      </c>
      <c r="Q218">
        <f>Table1_2[SL Xuất] - Table1_2[SL Xuất KM]</f>
        <v>40</v>
      </c>
    </row>
    <row r="219" spans="1:17" x14ac:dyDescent="0.25">
      <c r="A219">
        <v>218</v>
      </c>
      <c r="B219" t="s">
        <v>441</v>
      </c>
      <c r="C219" t="s">
        <v>442</v>
      </c>
      <c r="D219" t="s">
        <v>23</v>
      </c>
      <c r="E219">
        <v>90000</v>
      </c>
      <c r="F219">
        <v>0</v>
      </c>
      <c r="G219">
        <v>5</v>
      </c>
      <c r="H219">
        <v>95000</v>
      </c>
      <c r="I219">
        <v>5000</v>
      </c>
      <c r="J219" s="1">
        <v>45197</v>
      </c>
      <c r="K219" t="s">
        <v>658</v>
      </c>
      <c r="L219">
        <v>9</v>
      </c>
      <c r="M219">
        <v>2023</v>
      </c>
      <c r="N219">
        <f t="shared" si="3"/>
        <v>-85000</v>
      </c>
      <c r="O219" s="19">
        <f>IF(Table1_2[Tiền Nhập]&lt;&gt;0, Table1_2[Lợi Nhuận Gộp]/Table1_2[Tiền Nhập], 0)</f>
        <v>-0.94444444444444442</v>
      </c>
      <c r="P219">
        <f>IF(Table1_2[SL Xuất]&gt;0, Table1_2[Tiền Xuất]/Table1_2[SL Xuất], 0)</f>
        <v>19000</v>
      </c>
      <c r="Q219">
        <f>Table1_2[SL Xuất] - Table1_2[SL Xuất KM]</f>
        <v>5</v>
      </c>
    </row>
    <row r="220" spans="1:17" x14ac:dyDescent="0.25">
      <c r="A220">
        <v>219</v>
      </c>
      <c r="B220" t="s">
        <v>655</v>
      </c>
      <c r="C220" t="s">
        <v>656</v>
      </c>
      <c r="D220" t="s">
        <v>107</v>
      </c>
      <c r="E220">
        <v>24000</v>
      </c>
      <c r="F220">
        <v>0</v>
      </c>
      <c r="G220">
        <v>1</v>
      </c>
      <c r="H220">
        <v>30000</v>
      </c>
      <c r="I220">
        <v>6000</v>
      </c>
      <c r="J220" s="1">
        <v>45197</v>
      </c>
      <c r="K220" t="s">
        <v>659</v>
      </c>
      <c r="L220">
        <v>9</v>
      </c>
      <c r="M220">
        <v>2023</v>
      </c>
      <c r="N220">
        <f t="shared" si="3"/>
        <v>-18000</v>
      </c>
      <c r="O220" s="19">
        <f>IF(Table1_2[Tiền Nhập]&lt;&gt;0, Table1_2[Lợi Nhuận Gộp]/Table1_2[Tiền Nhập], 0)</f>
        <v>-0.75</v>
      </c>
      <c r="P220">
        <f>IF(Table1_2[SL Xuất]&gt;0, Table1_2[Tiền Xuất]/Table1_2[SL Xuất], 0)</f>
        <v>30000</v>
      </c>
      <c r="Q220">
        <f>Table1_2[SL Xuất] - Table1_2[SL Xuất KM]</f>
        <v>1</v>
      </c>
    </row>
    <row r="221" spans="1:17" x14ac:dyDescent="0.25">
      <c r="A221">
        <v>220</v>
      </c>
      <c r="B221" t="s">
        <v>105</v>
      </c>
      <c r="C221" t="s">
        <v>106</v>
      </c>
      <c r="D221" t="s">
        <v>107</v>
      </c>
      <c r="E221">
        <v>26400</v>
      </c>
      <c r="F221">
        <v>0</v>
      </c>
      <c r="G221">
        <v>1</v>
      </c>
      <c r="H221">
        <v>36000</v>
      </c>
      <c r="I221">
        <v>9600</v>
      </c>
      <c r="J221" s="1">
        <v>45197</v>
      </c>
      <c r="K221" t="s">
        <v>659</v>
      </c>
      <c r="L221">
        <v>9</v>
      </c>
      <c r="M221">
        <v>2023</v>
      </c>
      <c r="N221">
        <f t="shared" si="3"/>
        <v>-16800</v>
      </c>
      <c r="O221" s="19">
        <f>IF(Table1_2[Tiền Nhập]&lt;&gt;0, Table1_2[Lợi Nhuận Gộp]/Table1_2[Tiền Nhập], 0)</f>
        <v>-0.63636363636363635</v>
      </c>
      <c r="P221">
        <f>IF(Table1_2[SL Xuất]&gt;0, Table1_2[Tiền Xuất]/Table1_2[SL Xuất], 0)</f>
        <v>36000</v>
      </c>
      <c r="Q221">
        <f>Table1_2[SL Xuất] - Table1_2[SL Xuất KM]</f>
        <v>1</v>
      </c>
    </row>
    <row r="222" spans="1:17" x14ac:dyDescent="0.25">
      <c r="A222">
        <v>221</v>
      </c>
      <c r="B222" t="s">
        <v>429</v>
      </c>
      <c r="C222" t="s">
        <v>430</v>
      </c>
      <c r="D222" t="s">
        <v>88</v>
      </c>
      <c r="E222">
        <v>100000</v>
      </c>
      <c r="F222">
        <v>1</v>
      </c>
      <c r="G222">
        <v>1</v>
      </c>
      <c r="H222">
        <v>108000</v>
      </c>
      <c r="I222">
        <v>8000</v>
      </c>
      <c r="J222" s="1">
        <v>45198</v>
      </c>
      <c r="K222" t="s">
        <v>663</v>
      </c>
      <c r="L222">
        <v>9</v>
      </c>
      <c r="M222">
        <v>2023</v>
      </c>
      <c r="N222">
        <f t="shared" si="3"/>
        <v>-92000</v>
      </c>
      <c r="O222" s="19">
        <f>IF(Table1_2[Tiền Nhập]&lt;&gt;0, Table1_2[Lợi Nhuận Gộp]/Table1_2[Tiền Nhập], 0)</f>
        <v>-0.92</v>
      </c>
      <c r="P222">
        <f>IF(Table1_2[SL Xuất]&gt;0, Table1_2[Tiền Xuất]/Table1_2[SL Xuất], 0)</f>
        <v>108000</v>
      </c>
      <c r="Q222">
        <f>Table1_2[SL Xuất] - Table1_2[SL Xuất KM]</f>
        <v>0</v>
      </c>
    </row>
    <row r="223" spans="1:17" x14ac:dyDescent="0.25">
      <c r="A223">
        <v>222</v>
      </c>
      <c r="B223" t="s">
        <v>259</v>
      </c>
      <c r="C223" t="s">
        <v>260</v>
      </c>
      <c r="D223" t="s">
        <v>88</v>
      </c>
      <c r="E223">
        <v>100000</v>
      </c>
      <c r="F223">
        <v>1</v>
      </c>
      <c r="G223">
        <v>1</v>
      </c>
      <c r="H223">
        <v>108000</v>
      </c>
      <c r="I223">
        <v>8000</v>
      </c>
      <c r="J223" s="1">
        <v>45198</v>
      </c>
      <c r="K223" t="s">
        <v>663</v>
      </c>
      <c r="L223">
        <v>9</v>
      </c>
      <c r="M223">
        <v>2023</v>
      </c>
      <c r="N223">
        <f t="shared" si="3"/>
        <v>-92000</v>
      </c>
      <c r="O223" s="19">
        <f>IF(Table1_2[Tiền Nhập]&lt;&gt;0, Table1_2[Lợi Nhuận Gộp]/Table1_2[Tiền Nhập], 0)</f>
        <v>-0.92</v>
      </c>
      <c r="P223">
        <f>IF(Table1_2[SL Xuất]&gt;0, Table1_2[Tiền Xuất]/Table1_2[SL Xuất], 0)</f>
        <v>108000</v>
      </c>
      <c r="Q223">
        <f>Table1_2[SL Xuất] - Table1_2[SL Xuất KM]</f>
        <v>0</v>
      </c>
    </row>
    <row r="224" spans="1:17" x14ac:dyDescent="0.25">
      <c r="A224">
        <v>223</v>
      </c>
      <c r="B224" t="s">
        <v>261</v>
      </c>
      <c r="C224" t="s">
        <v>262</v>
      </c>
      <c r="D224" t="s">
        <v>88</v>
      </c>
      <c r="E224">
        <v>100000</v>
      </c>
      <c r="F224">
        <v>1</v>
      </c>
      <c r="G224">
        <v>1</v>
      </c>
      <c r="H224">
        <v>108000</v>
      </c>
      <c r="I224">
        <v>8000</v>
      </c>
      <c r="J224" s="1">
        <v>45198</v>
      </c>
      <c r="K224" t="s">
        <v>663</v>
      </c>
      <c r="L224">
        <v>9</v>
      </c>
      <c r="M224">
        <v>2023</v>
      </c>
      <c r="N224">
        <f t="shared" si="3"/>
        <v>-92000</v>
      </c>
      <c r="O224" s="19">
        <f>IF(Table1_2[Tiền Nhập]&lt;&gt;0, Table1_2[Lợi Nhuận Gộp]/Table1_2[Tiền Nhập], 0)</f>
        <v>-0.92</v>
      </c>
      <c r="P224">
        <f>IF(Table1_2[SL Xuất]&gt;0, Table1_2[Tiền Xuất]/Table1_2[SL Xuất], 0)</f>
        <v>108000</v>
      </c>
      <c r="Q224">
        <f>Table1_2[SL Xuất] - Table1_2[SL Xuất KM]</f>
        <v>0</v>
      </c>
    </row>
    <row r="225" spans="1:17" x14ac:dyDescent="0.25">
      <c r="A225">
        <v>224</v>
      </c>
      <c r="B225" t="s">
        <v>479</v>
      </c>
      <c r="C225" t="s">
        <v>480</v>
      </c>
      <c r="D225" t="s">
        <v>45</v>
      </c>
      <c r="E225">
        <v>300000</v>
      </c>
      <c r="F225">
        <v>1</v>
      </c>
      <c r="G225">
        <v>12</v>
      </c>
      <c r="H225">
        <v>410000</v>
      </c>
      <c r="I225">
        <v>110000</v>
      </c>
      <c r="J225" s="1">
        <v>45198</v>
      </c>
      <c r="K225" t="s">
        <v>664</v>
      </c>
      <c r="L225">
        <v>9</v>
      </c>
      <c r="M225">
        <v>2023</v>
      </c>
      <c r="N225">
        <f t="shared" si="3"/>
        <v>-190000</v>
      </c>
      <c r="O225" s="19">
        <f>IF(Table1_2[Tiền Nhập]&lt;&gt;0, Table1_2[Lợi Nhuận Gộp]/Table1_2[Tiền Nhập], 0)</f>
        <v>-0.6333333333333333</v>
      </c>
      <c r="P225">
        <f>IF(Table1_2[SL Xuất]&gt;0, Table1_2[Tiền Xuất]/Table1_2[SL Xuất], 0)</f>
        <v>34166.666666666664</v>
      </c>
      <c r="Q225">
        <f>Table1_2[SL Xuất] - Table1_2[SL Xuất KM]</f>
        <v>11</v>
      </c>
    </row>
    <row r="226" spans="1:17" x14ac:dyDescent="0.25">
      <c r="A226">
        <v>225</v>
      </c>
      <c r="B226" t="s">
        <v>579</v>
      </c>
      <c r="C226" t="s">
        <v>580</v>
      </c>
      <c r="D226" t="s">
        <v>45</v>
      </c>
      <c r="E226">
        <v>265008</v>
      </c>
      <c r="F226">
        <v>0</v>
      </c>
      <c r="G226">
        <v>12</v>
      </c>
      <c r="H226">
        <v>360000</v>
      </c>
      <c r="I226">
        <v>94992</v>
      </c>
      <c r="J226" s="1">
        <v>45198</v>
      </c>
      <c r="K226" t="s">
        <v>42</v>
      </c>
      <c r="L226">
        <v>9</v>
      </c>
      <c r="M226">
        <v>2023</v>
      </c>
      <c r="N226">
        <f t="shared" si="3"/>
        <v>-170016</v>
      </c>
      <c r="O226" s="19">
        <f>IF(Table1_2[Tiền Nhập]&lt;&gt;0, Table1_2[Lợi Nhuận Gộp]/Table1_2[Tiền Nhập], 0)</f>
        <v>-0.64155044376018833</v>
      </c>
      <c r="P226">
        <f>IF(Table1_2[SL Xuất]&gt;0, Table1_2[Tiền Xuất]/Table1_2[SL Xuất], 0)</f>
        <v>30000</v>
      </c>
      <c r="Q226">
        <f>Table1_2[SL Xuất] - Table1_2[SL Xuất KM]</f>
        <v>12</v>
      </c>
    </row>
    <row r="227" spans="1:17" x14ac:dyDescent="0.25">
      <c r="A227">
        <v>226</v>
      </c>
      <c r="B227" t="s">
        <v>36</v>
      </c>
      <c r="C227" t="s">
        <v>37</v>
      </c>
      <c r="D227" t="s">
        <v>13</v>
      </c>
      <c r="E227">
        <v>1296000</v>
      </c>
      <c r="F227">
        <v>0</v>
      </c>
      <c r="G227">
        <v>180</v>
      </c>
      <c r="H227">
        <v>1692000</v>
      </c>
      <c r="I227">
        <v>396000</v>
      </c>
      <c r="J227" s="1">
        <v>45198</v>
      </c>
      <c r="K227" t="s">
        <v>42</v>
      </c>
      <c r="L227">
        <v>9</v>
      </c>
      <c r="M227">
        <v>2023</v>
      </c>
      <c r="N227">
        <f t="shared" si="3"/>
        <v>-900000</v>
      </c>
      <c r="O227" s="19">
        <f>IF(Table1_2[Tiền Nhập]&lt;&gt;0, Table1_2[Lợi Nhuận Gộp]/Table1_2[Tiền Nhập], 0)</f>
        <v>-0.69444444444444442</v>
      </c>
      <c r="P227">
        <f>IF(Table1_2[SL Xuất]&gt;0, Table1_2[Tiền Xuất]/Table1_2[SL Xuất], 0)</f>
        <v>9400</v>
      </c>
      <c r="Q227">
        <f>Table1_2[SL Xuất] - Table1_2[SL Xuất KM]</f>
        <v>180</v>
      </c>
    </row>
    <row r="228" spans="1:17" x14ac:dyDescent="0.25">
      <c r="A228">
        <v>227</v>
      </c>
      <c r="B228" t="s">
        <v>429</v>
      </c>
      <c r="C228" t="s">
        <v>430</v>
      </c>
      <c r="D228" t="s">
        <v>88</v>
      </c>
      <c r="E228">
        <v>600000</v>
      </c>
      <c r="F228">
        <v>6</v>
      </c>
      <c r="G228">
        <v>6</v>
      </c>
      <c r="H228">
        <v>648000</v>
      </c>
      <c r="I228">
        <v>48000</v>
      </c>
      <c r="J228" s="1">
        <v>45198</v>
      </c>
      <c r="K228" t="s">
        <v>666</v>
      </c>
      <c r="L228">
        <v>9</v>
      </c>
      <c r="M228">
        <v>2023</v>
      </c>
      <c r="N228">
        <f t="shared" si="3"/>
        <v>-552000</v>
      </c>
      <c r="O228" s="19">
        <f>IF(Table1_2[Tiền Nhập]&lt;&gt;0, Table1_2[Lợi Nhuận Gộp]/Table1_2[Tiền Nhập], 0)</f>
        <v>-0.92</v>
      </c>
      <c r="P228">
        <f>IF(Table1_2[SL Xuất]&gt;0, Table1_2[Tiền Xuất]/Table1_2[SL Xuất], 0)</f>
        <v>108000</v>
      </c>
      <c r="Q228">
        <f>Table1_2[SL Xuất] - Table1_2[SL Xuất KM]</f>
        <v>0</v>
      </c>
    </row>
    <row r="229" spans="1:17" x14ac:dyDescent="0.25">
      <c r="A229">
        <v>228</v>
      </c>
      <c r="B229" t="s">
        <v>259</v>
      </c>
      <c r="C229" t="s">
        <v>260</v>
      </c>
      <c r="D229" t="s">
        <v>88</v>
      </c>
      <c r="E229">
        <v>600000</v>
      </c>
      <c r="F229">
        <v>6</v>
      </c>
      <c r="G229">
        <v>6</v>
      </c>
      <c r="H229">
        <v>648000</v>
      </c>
      <c r="I229">
        <v>48000</v>
      </c>
      <c r="J229" s="1">
        <v>45198</v>
      </c>
      <c r="K229" t="s">
        <v>666</v>
      </c>
      <c r="L229">
        <v>9</v>
      </c>
      <c r="M229">
        <v>2023</v>
      </c>
      <c r="N229">
        <f t="shared" si="3"/>
        <v>-552000</v>
      </c>
      <c r="O229" s="19">
        <f>IF(Table1_2[Tiền Nhập]&lt;&gt;0, Table1_2[Lợi Nhuận Gộp]/Table1_2[Tiền Nhập], 0)</f>
        <v>-0.92</v>
      </c>
      <c r="P229">
        <f>IF(Table1_2[SL Xuất]&gt;0, Table1_2[Tiền Xuất]/Table1_2[SL Xuất], 0)</f>
        <v>108000</v>
      </c>
      <c r="Q229">
        <f>Table1_2[SL Xuất] - Table1_2[SL Xuất KM]</f>
        <v>0</v>
      </c>
    </row>
    <row r="230" spans="1:17" x14ac:dyDescent="0.25">
      <c r="A230">
        <v>229</v>
      </c>
      <c r="B230" t="s">
        <v>261</v>
      </c>
      <c r="C230" t="s">
        <v>262</v>
      </c>
      <c r="D230" t="s">
        <v>88</v>
      </c>
      <c r="E230">
        <v>600000</v>
      </c>
      <c r="F230">
        <v>6</v>
      </c>
      <c r="G230">
        <v>6</v>
      </c>
      <c r="H230">
        <v>648000</v>
      </c>
      <c r="I230">
        <v>48000</v>
      </c>
      <c r="J230" s="1">
        <v>45198</v>
      </c>
      <c r="K230" t="s">
        <v>666</v>
      </c>
      <c r="L230">
        <v>9</v>
      </c>
      <c r="M230">
        <v>2023</v>
      </c>
      <c r="N230">
        <f t="shared" si="3"/>
        <v>-552000</v>
      </c>
      <c r="O230" s="19">
        <f>IF(Table1_2[Tiền Nhập]&lt;&gt;0, Table1_2[Lợi Nhuận Gộp]/Table1_2[Tiền Nhập], 0)</f>
        <v>-0.92</v>
      </c>
      <c r="P230">
        <f>IF(Table1_2[SL Xuất]&gt;0, Table1_2[Tiền Xuất]/Table1_2[SL Xuất], 0)</f>
        <v>108000</v>
      </c>
      <c r="Q230">
        <f>Table1_2[SL Xuất] - Table1_2[SL Xuất KM]</f>
        <v>0</v>
      </c>
    </row>
    <row r="231" spans="1:17" x14ac:dyDescent="0.25">
      <c r="A231">
        <v>230</v>
      </c>
      <c r="B231" t="s">
        <v>259</v>
      </c>
      <c r="C231" t="s">
        <v>260</v>
      </c>
      <c r="D231" t="s">
        <v>88</v>
      </c>
      <c r="E231">
        <v>600000</v>
      </c>
      <c r="F231">
        <v>6</v>
      </c>
      <c r="G231">
        <v>6</v>
      </c>
      <c r="H231">
        <v>648000</v>
      </c>
      <c r="I231">
        <v>48000</v>
      </c>
      <c r="J231" s="1">
        <v>45198</v>
      </c>
      <c r="K231" t="s">
        <v>374</v>
      </c>
      <c r="L231">
        <v>9</v>
      </c>
      <c r="M231">
        <v>2023</v>
      </c>
      <c r="N231">
        <f t="shared" si="3"/>
        <v>-552000</v>
      </c>
      <c r="O231" s="19">
        <f>IF(Table1_2[Tiền Nhập]&lt;&gt;0, Table1_2[Lợi Nhuận Gộp]/Table1_2[Tiền Nhập], 0)</f>
        <v>-0.92</v>
      </c>
      <c r="P231">
        <f>IF(Table1_2[SL Xuất]&gt;0, Table1_2[Tiền Xuất]/Table1_2[SL Xuất], 0)</f>
        <v>108000</v>
      </c>
      <c r="Q231">
        <f>Table1_2[SL Xuất] - Table1_2[SL Xuất KM]</f>
        <v>0</v>
      </c>
    </row>
    <row r="232" spans="1:17" x14ac:dyDescent="0.25">
      <c r="A232">
        <v>231</v>
      </c>
      <c r="B232" t="s">
        <v>429</v>
      </c>
      <c r="C232" t="s">
        <v>430</v>
      </c>
      <c r="D232" t="s">
        <v>88</v>
      </c>
      <c r="E232">
        <v>0</v>
      </c>
      <c r="F232">
        <v>6</v>
      </c>
      <c r="G232">
        <v>0</v>
      </c>
      <c r="H232">
        <v>-660000</v>
      </c>
      <c r="I232">
        <v>-660000</v>
      </c>
      <c r="J232" s="1">
        <v>45198</v>
      </c>
      <c r="K232" t="s">
        <v>667</v>
      </c>
      <c r="L232">
        <v>9</v>
      </c>
      <c r="M232">
        <v>2023</v>
      </c>
      <c r="N232">
        <f t="shared" si="3"/>
        <v>-660000</v>
      </c>
      <c r="O232" s="19">
        <f>IF(Table1_2[Tiền Nhập]&lt;&gt;0, Table1_2[Lợi Nhuận Gộp]/Table1_2[Tiền Nhập], 0)</f>
        <v>0</v>
      </c>
      <c r="P232">
        <f>IF(Table1_2[SL Xuất]&gt;0, Table1_2[Tiền Xuất]/Table1_2[SL Xuất], 0)</f>
        <v>0</v>
      </c>
      <c r="Q232">
        <f>Table1_2[SL Xuất] - Table1_2[SL Xuất KM]</f>
        <v>-6</v>
      </c>
    </row>
    <row r="233" spans="1:17" x14ac:dyDescent="0.25">
      <c r="A233">
        <v>232</v>
      </c>
      <c r="B233" t="s">
        <v>259</v>
      </c>
      <c r="C233" t="s">
        <v>260</v>
      </c>
      <c r="D233" t="s">
        <v>88</v>
      </c>
      <c r="E233">
        <v>600000</v>
      </c>
      <c r="F233">
        <v>0</v>
      </c>
      <c r="G233">
        <v>6</v>
      </c>
      <c r="H233">
        <v>1308000</v>
      </c>
      <c r="I233">
        <v>708000</v>
      </c>
      <c r="J233" s="1">
        <v>45198</v>
      </c>
      <c r="K233" t="s">
        <v>667</v>
      </c>
      <c r="L233">
        <v>9</v>
      </c>
      <c r="M233">
        <v>2023</v>
      </c>
      <c r="N233">
        <f t="shared" si="3"/>
        <v>108000</v>
      </c>
      <c r="O233" s="19">
        <f>IF(Table1_2[Tiền Nhập]&lt;&gt;0, Table1_2[Lợi Nhuận Gộp]/Table1_2[Tiền Nhập], 0)</f>
        <v>0.18</v>
      </c>
      <c r="P233">
        <f>IF(Table1_2[SL Xuất]&gt;0, Table1_2[Tiền Xuất]/Table1_2[SL Xuất], 0)</f>
        <v>218000</v>
      </c>
      <c r="Q233">
        <f>Table1_2[SL Xuất] - Table1_2[SL Xuất KM]</f>
        <v>6</v>
      </c>
    </row>
    <row r="234" spans="1:17" x14ac:dyDescent="0.25">
      <c r="A234">
        <v>233</v>
      </c>
      <c r="B234" t="s">
        <v>668</v>
      </c>
      <c r="C234" t="s">
        <v>669</v>
      </c>
      <c r="D234" t="s">
        <v>88</v>
      </c>
      <c r="E234">
        <v>0</v>
      </c>
      <c r="F234">
        <v>1</v>
      </c>
      <c r="G234">
        <v>0</v>
      </c>
      <c r="H234">
        <v>-186000</v>
      </c>
      <c r="I234">
        <v>-186000</v>
      </c>
      <c r="J234" s="1">
        <v>45199</v>
      </c>
      <c r="K234" t="s">
        <v>176</v>
      </c>
      <c r="L234">
        <v>9</v>
      </c>
      <c r="M234">
        <v>2023</v>
      </c>
      <c r="N234">
        <f t="shared" si="3"/>
        <v>-186000</v>
      </c>
      <c r="O234" s="19">
        <f>IF(Table1_2[Tiền Nhập]&lt;&gt;0, Table1_2[Lợi Nhuận Gộp]/Table1_2[Tiền Nhập], 0)</f>
        <v>0</v>
      </c>
      <c r="P234">
        <f>IF(Table1_2[SL Xuất]&gt;0, Table1_2[Tiền Xuất]/Table1_2[SL Xuất], 0)</f>
        <v>0</v>
      </c>
      <c r="Q234">
        <f>Table1_2[SL Xuất] - Table1_2[SL Xuất KM]</f>
        <v>-1</v>
      </c>
    </row>
    <row r="235" spans="1:17" x14ac:dyDescent="0.25">
      <c r="A235">
        <v>234</v>
      </c>
      <c r="B235" t="s">
        <v>672</v>
      </c>
      <c r="C235" t="s">
        <v>673</v>
      </c>
      <c r="D235" t="s">
        <v>88</v>
      </c>
      <c r="E235">
        <v>260000</v>
      </c>
      <c r="F235">
        <v>0</v>
      </c>
      <c r="G235">
        <v>2</v>
      </c>
      <c r="H235">
        <v>560000</v>
      </c>
      <c r="I235">
        <v>300000</v>
      </c>
      <c r="J235" s="1">
        <v>45199</v>
      </c>
      <c r="K235" t="s">
        <v>176</v>
      </c>
      <c r="L235">
        <v>9</v>
      </c>
      <c r="M235">
        <v>2023</v>
      </c>
      <c r="N235">
        <f t="shared" si="3"/>
        <v>40000</v>
      </c>
      <c r="O235" s="19">
        <f>IF(Table1_2[Tiền Nhập]&lt;&gt;0, Table1_2[Lợi Nhuận Gộp]/Table1_2[Tiền Nhập], 0)</f>
        <v>0.15384615384615385</v>
      </c>
      <c r="P235">
        <f>IF(Table1_2[SL Xuất]&gt;0, Table1_2[Tiền Xuất]/Table1_2[SL Xuất], 0)</f>
        <v>280000</v>
      </c>
      <c r="Q235">
        <f>Table1_2[SL Xuất] - Table1_2[SL Xuất KM]</f>
        <v>2</v>
      </c>
    </row>
    <row r="236" spans="1:17" x14ac:dyDescent="0.25">
      <c r="A236">
        <v>235</v>
      </c>
      <c r="B236" t="s">
        <v>675</v>
      </c>
      <c r="C236" t="s">
        <v>676</v>
      </c>
      <c r="D236" t="s">
        <v>88</v>
      </c>
      <c r="E236">
        <v>399000</v>
      </c>
      <c r="F236">
        <v>6</v>
      </c>
      <c r="G236">
        <v>24</v>
      </c>
      <c r="H236">
        <v>461000</v>
      </c>
      <c r="I236">
        <v>62000</v>
      </c>
      <c r="J236" s="1">
        <v>45199</v>
      </c>
      <c r="K236" t="s">
        <v>66</v>
      </c>
      <c r="L236">
        <v>9</v>
      </c>
      <c r="M236">
        <v>2023</v>
      </c>
      <c r="N236">
        <f t="shared" si="3"/>
        <v>-337000</v>
      </c>
      <c r="O236" s="19">
        <f>IF(Table1_2[Tiền Nhập]&lt;&gt;0, Table1_2[Lợi Nhuận Gộp]/Table1_2[Tiền Nhập], 0)</f>
        <v>-0.84461152882205515</v>
      </c>
      <c r="P236">
        <f>IF(Table1_2[SL Xuất]&gt;0, Table1_2[Tiền Xuất]/Table1_2[SL Xuất], 0)</f>
        <v>19208.333333333332</v>
      </c>
      <c r="Q236">
        <f>Table1_2[SL Xuất] - Table1_2[SL Xuất KM]</f>
        <v>18</v>
      </c>
    </row>
    <row r="237" spans="1:17" x14ac:dyDescent="0.25">
      <c r="A237">
        <v>236</v>
      </c>
      <c r="B237" t="s">
        <v>240</v>
      </c>
      <c r="C237" t="s">
        <v>241</v>
      </c>
      <c r="D237" t="s">
        <v>88</v>
      </c>
      <c r="E237">
        <v>178500</v>
      </c>
      <c r="F237">
        <v>0</v>
      </c>
      <c r="G237">
        <v>12</v>
      </c>
      <c r="H237">
        <v>216000</v>
      </c>
      <c r="I237">
        <v>37500</v>
      </c>
      <c r="J237" s="1">
        <v>45199</v>
      </c>
      <c r="K237" t="s">
        <v>66</v>
      </c>
      <c r="L237">
        <v>9</v>
      </c>
      <c r="M237">
        <v>2023</v>
      </c>
      <c r="N237">
        <f t="shared" si="3"/>
        <v>-141000</v>
      </c>
      <c r="O237" s="19">
        <f>IF(Table1_2[Tiền Nhập]&lt;&gt;0, Table1_2[Lợi Nhuận Gộp]/Table1_2[Tiền Nhập], 0)</f>
        <v>-0.78991596638655459</v>
      </c>
      <c r="P237">
        <f>IF(Table1_2[SL Xuất]&gt;0, Table1_2[Tiền Xuất]/Table1_2[SL Xuất], 0)</f>
        <v>18000</v>
      </c>
      <c r="Q237">
        <f>Table1_2[SL Xuất] - Table1_2[SL Xuất KM]</f>
        <v>12</v>
      </c>
    </row>
    <row r="238" spans="1:17" x14ac:dyDescent="0.25">
      <c r="A238">
        <v>237</v>
      </c>
      <c r="B238" t="s">
        <v>680</v>
      </c>
      <c r="C238" t="s">
        <v>681</v>
      </c>
      <c r="D238" t="s">
        <v>30</v>
      </c>
      <c r="E238">
        <v>90000</v>
      </c>
      <c r="F238">
        <v>1</v>
      </c>
      <c r="G238">
        <v>3</v>
      </c>
      <c r="H238">
        <v>180000</v>
      </c>
      <c r="I238">
        <v>90000</v>
      </c>
      <c r="J238" s="1">
        <v>45199</v>
      </c>
      <c r="K238" t="s">
        <v>682</v>
      </c>
      <c r="L238">
        <v>9</v>
      </c>
      <c r="M238">
        <v>2023</v>
      </c>
      <c r="N238">
        <f t="shared" si="3"/>
        <v>0</v>
      </c>
      <c r="O238" s="19">
        <f>IF(Table1_2[Tiền Nhập]&lt;&gt;0, Table1_2[Lợi Nhuận Gộp]/Table1_2[Tiền Nhập], 0)</f>
        <v>0</v>
      </c>
      <c r="P238">
        <f>IF(Table1_2[SL Xuất]&gt;0, Table1_2[Tiền Xuất]/Table1_2[SL Xuất], 0)</f>
        <v>60000</v>
      </c>
      <c r="Q238">
        <f>Table1_2[SL Xuất] - Table1_2[SL Xuất KM]</f>
        <v>2</v>
      </c>
    </row>
    <row r="239" spans="1:17" x14ac:dyDescent="0.25">
      <c r="A239">
        <v>238</v>
      </c>
      <c r="B239" t="s">
        <v>683</v>
      </c>
      <c r="C239" t="s">
        <v>684</v>
      </c>
      <c r="D239" t="s">
        <v>45</v>
      </c>
      <c r="E239">
        <v>186500</v>
      </c>
      <c r="F239">
        <v>1</v>
      </c>
      <c r="G239">
        <v>5</v>
      </c>
      <c r="H239">
        <v>195000</v>
      </c>
      <c r="I239">
        <v>8500</v>
      </c>
      <c r="J239" s="1">
        <v>45199</v>
      </c>
      <c r="K239" t="s">
        <v>687</v>
      </c>
      <c r="L239">
        <v>9</v>
      </c>
      <c r="M239">
        <v>2023</v>
      </c>
      <c r="N239">
        <f t="shared" si="3"/>
        <v>-178000</v>
      </c>
      <c r="O239" s="19">
        <f>IF(Table1_2[Tiền Nhập]&lt;&gt;0, Table1_2[Lợi Nhuận Gộp]/Table1_2[Tiền Nhập], 0)</f>
        <v>-0.95442359249329756</v>
      </c>
      <c r="P239">
        <f>IF(Table1_2[SL Xuất]&gt;0, Table1_2[Tiền Xuất]/Table1_2[SL Xuất], 0)</f>
        <v>39000</v>
      </c>
      <c r="Q239">
        <f>Table1_2[SL Xuất] - Table1_2[SL Xuất KM]</f>
        <v>4</v>
      </c>
    </row>
    <row r="240" spans="1:17" x14ac:dyDescent="0.25">
      <c r="A240">
        <v>239</v>
      </c>
      <c r="B240" t="s">
        <v>688</v>
      </c>
      <c r="C240" t="s">
        <v>689</v>
      </c>
      <c r="D240" t="s">
        <v>45</v>
      </c>
      <c r="E240">
        <v>110004</v>
      </c>
      <c r="F240">
        <v>0</v>
      </c>
      <c r="G240">
        <v>6</v>
      </c>
      <c r="H240">
        <v>144000</v>
      </c>
      <c r="I240">
        <v>33996</v>
      </c>
      <c r="J240" s="1">
        <v>45199</v>
      </c>
      <c r="K240" t="s">
        <v>687</v>
      </c>
      <c r="L240">
        <v>9</v>
      </c>
      <c r="M240">
        <v>2023</v>
      </c>
      <c r="N240">
        <f t="shared" si="3"/>
        <v>-76008</v>
      </c>
      <c r="O240" s="19">
        <f>IF(Table1_2[Tiền Nhập]&lt;&gt;0, Table1_2[Lợi Nhuận Gộp]/Table1_2[Tiền Nhập], 0)</f>
        <v>-0.69095669248390967</v>
      </c>
      <c r="P240">
        <f>IF(Table1_2[SL Xuất]&gt;0, Table1_2[Tiền Xuất]/Table1_2[SL Xuất], 0)</f>
        <v>24000</v>
      </c>
      <c r="Q240">
        <f>Table1_2[SL Xuất] - Table1_2[SL Xuất KM]</f>
        <v>6</v>
      </c>
    </row>
    <row r="241" spans="1:17" x14ac:dyDescent="0.25">
      <c r="A241">
        <v>240</v>
      </c>
      <c r="B241" t="s">
        <v>94</v>
      </c>
      <c r="C241" t="s">
        <v>95</v>
      </c>
      <c r="D241" t="s">
        <v>45</v>
      </c>
      <c r="E241">
        <v>9828</v>
      </c>
      <c r="F241">
        <v>0</v>
      </c>
      <c r="G241">
        <v>1</v>
      </c>
      <c r="H241">
        <v>11500</v>
      </c>
      <c r="I241">
        <v>1672</v>
      </c>
      <c r="J241" s="1">
        <v>45199</v>
      </c>
      <c r="K241" t="s">
        <v>687</v>
      </c>
      <c r="L241">
        <v>9</v>
      </c>
      <c r="M241">
        <v>2023</v>
      </c>
      <c r="N241">
        <f t="shared" si="3"/>
        <v>-8156</v>
      </c>
      <c r="O241" s="19">
        <f>IF(Table1_2[Tiền Nhập]&lt;&gt;0, Table1_2[Lợi Nhuận Gộp]/Table1_2[Tiền Nhập], 0)</f>
        <v>-0.82987382987382985</v>
      </c>
      <c r="P241">
        <f>IF(Table1_2[SL Xuất]&gt;0, Table1_2[Tiền Xuất]/Table1_2[SL Xuất], 0)</f>
        <v>11500</v>
      </c>
      <c r="Q241">
        <f>Table1_2[SL Xuất] - Table1_2[SL Xuất KM]</f>
        <v>1</v>
      </c>
    </row>
    <row r="242" spans="1:17" x14ac:dyDescent="0.25">
      <c r="A242">
        <v>241</v>
      </c>
      <c r="B242" t="s">
        <v>491</v>
      </c>
      <c r="C242" t="s">
        <v>492</v>
      </c>
      <c r="D242" t="s">
        <v>88</v>
      </c>
      <c r="E242">
        <v>220000</v>
      </c>
      <c r="F242">
        <v>0</v>
      </c>
      <c r="G242">
        <v>20</v>
      </c>
      <c r="H242">
        <v>280000</v>
      </c>
      <c r="I242">
        <v>60000</v>
      </c>
      <c r="J242" s="1">
        <v>45199</v>
      </c>
      <c r="K242" t="s">
        <v>575</v>
      </c>
      <c r="L242">
        <v>9</v>
      </c>
      <c r="M242">
        <v>2023</v>
      </c>
      <c r="N242">
        <f t="shared" si="3"/>
        <v>-160000</v>
      </c>
      <c r="O242" s="19">
        <f>IF(Table1_2[Tiền Nhập]&lt;&gt;0, Table1_2[Lợi Nhuận Gộp]/Table1_2[Tiền Nhập], 0)</f>
        <v>-0.72727272727272729</v>
      </c>
      <c r="P242">
        <f>IF(Table1_2[SL Xuất]&gt;0, Table1_2[Tiền Xuất]/Table1_2[SL Xuất], 0)</f>
        <v>14000</v>
      </c>
      <c r="Q242">
        <f>Table1_2[SL Xuất] - Table1_2[SL Xuất KM]</f>
        <v>20</v>
      </c>
    </row>
    <row r="243" spans="1:17" x14ac:dyDescent="0.25">
      <c r="A243">
        <v>242</v>
      </c>
      <c r="B243" t="s">
        <v>248</v>
      </c>
      <c r="C243" t="s">
        <v>249</v>
      </c>
      <c r="D243" t="s">
        <v>250</v>
      </c>
      <c r="E243">
        <v>171000</v>
      </c>
      <c r="F243">
        <v>0</v>
      </c>
      <c r="G243">
        <v>3</v>
      </c>
      <c r="H243">
        <v>210000</v>
      </c>
      <c r="I243">
        <v>39000</v>
      </c>
      <c r="J243" s="1">
        <v>45199</v>
      </c>
      <c r="K243" t="s">
        <v>578</v>
      </c>
      <c r="L243">
        <v>9</v>
      </c>
      <c r="M243">
        <v>2023</v>
      </c>
      <c r="N243">
        <f t="shared" si="3"/>
        <v>-132000</v>
      </c>
      <c r="O243" s="19">
        <f>IF(Table1_2[Tiền Nhập]&lt;&gt;0, Table1_2[Lợi Nhuận Gộp]/Table1_2[Tiền Nhập], 0)</f>
        <v>-0.77192982456140347</v>
      </c>
      <c r="P243">
        <f>IF(Table1_2[SL Xuất]&gt;0, Table1_2[Tiền Xuất]/Table1_2[SL Xuất], 0)</f>
        <v>70000</v>
      </c>
      <c r="Q243">
        <f>Table1_2[SL Xuất] - Table1_2[SL Xuất KM]</f>
        <v>3</v>
      </c>
    </row>
    <row r="244" spans="1:17" x14ac:dyDescent="0.25">
      <c r="A244">
        <v>243</v>
      </c>
      <c r="B244" t="s">
        <v>207</v>
      </c>
      <c r="C244" t="s">
        <v>208</v>
      </c>
      <c r="D244" t="s">
        <v>23</v>
      </c>
      <c r="E244">
        <v>90000</v>
      </c>
      <c r="F244">
        <v>0</v>
      </c>
      <c r="G244">
        <v>6</v>
      </c>
      <c r="H244">
        <v>138000</v>
      </c>
      <c r="I244">
        <v>48000</v>
      </c>
      <c r="J244" s="1">
        <v>45199</v>
      </c>
      <c r="K244" t="s">
        <v>578</v>
      </c>
      <c r="L244">
        <v>9</v>
      </c>
      <c r="M244">
        <v>2023</v>
      </c>
      <c r="N244">
        <f t="shared" si="3"/>
        <v>-42000</v>
      </c>
      <c r="O244" s="19">
        <f>IF(Table1_2[Tiền Nhập]&lt;&gt;0, Table1_2[Lợi Nhuận Gộp]/Table1_2[Tiền Nhập], 0)</f>
        <v>-0.46666666666666667</v>
      </c>
      <c r="P244">
        <f>IF(Table1_2[SL Xuất]&gt;0, Table1_2[Tiền Xuất]/Table1_2[SL Xuất], 0)</f>
        <v>23000</v>
      </c>
      <c r="Q244">
        <f>Table1_2[SL Xuất] - Table1_2[SL Xuất KM]</f>
        <v>6</v>
      </c>
    </row>
    <row r="245" spans="1:17" x14ac:dyDescent="0.25">
      <c r="A245">
        <v>244</v>
      </c>
      <c r="B245" t="s">
        <v>484</v>
      </c>
      <c r="C245" t="s">
        <v>485</v>
      </c>
      <c r="D245" t="s">
        <v>13</v>
      </c>
      <c r="E245">
        <v>185000</v>
      </c>
      <c r="F245">
        <v>0</v>
      </c>
      <c r="G245">
        <v>10</v>
      </c>
      <c r="H245">
        <v>260000</v>
      </c>
      <c r="I245">
        <v>75000</v>
      </c>
      <c r="J245" s="1">
        <v>45199</v>
      </c>
      <c r="K245" t="s">
        <v>578</v>
      </c>
      <c r="L245">
        <v>9</v>
      </c>
      <c r="M245">
        <v>2023</v>
      </c>
      <c r="N245">
        <f t="shared" si="3"/>
        <v>-110000</v>
      </c>
      <c r="O245" s="19">
        <f>IF(Table1_2[Tiền Nhập]&lt;&gt;0, Table1_2[Lợi Nhuận Gộp]/Table1_2[Tiền Nhập], 0)</f>
        <v>-0.59459459459459463</v>
      </c>
      <c r="P245">
        <f>IF(Table1_2[SL Xuất]&gt;0, Table1_2[Tiền Xuất]/Table1_2[SL Xuất], 0)</f>
        <v>26000</v>
      </c>
      <c r="Q245">
        <f>Table1_2[SL Xuất] - Table1_2[SL Xuất KM]</f>
        <v>10</v>
      </c>
    </row>
    <row r="246" spans="1:17" x14ac:dyDescent="0.25">
      <c r="A246">
        <v>245</v>
      </c>
      <c r="B246" t="s">
        <v>697</v>
      </c>
      <c r="C246" t="s">
        <v>698</v>
      </c>
      <c r="D246" t="s">
        <v>45</v>
      </c>
      <c r="E246">
        <v>2304000</v>
      </c>
      <c r="F246">
        <v>0</v>
      </c>
      <c r="G246">
        <v>48</v>
      </c>
      <c r="H246">
        <v>1920000</v>
      </c>
      <c r="I246">
        <v>-384000</v>
      </c>
      <c r="J246" s="1">
        <v>45199</v>
      </c>
      <c r="K246" t="s">
        <v>50</v>
      </c>
      <c r="L246">
        <v>9</v>
      </c>
      <c r="M246">
        <v>2023</v>
      </c>
      <c r="N246">
        <f t="shared" si="3"/>
        <v>-2688000</v>
      </c>
      <c r="O246" s="19">
        <f>IF(Table1_2[Tiền Nhập]&lt;&gt;0, Table1_2[Lợi Nhuận Gộp]/Table1_2[Tiền Nhập], 0)</f>
        <v>-1.1666666666666667</v>
      </c>
      <c r="P246">
        <f>IF(Table1_2[SL Xuất]&gt;0, Table1_2[Tiền Xuất]/Table1_2[SL Xuất], 0)</f>
        <v>40000</v>
      </c>
      <c r="Q246">
        <f>Table1_2[SL Xuất] - Table1_2[SL Xuất KM]</f>
        <v>48</v>
      </c>
    </row>
    <row r="247" spans="1:17" x14ac:dyDescent="0.25">
      <c r="A247">
        <v>246</v>
      </c>
      <c r="B247" t="s">
        <v>701</v>
      </c>
      <c r="C247" t="s">
        <v>702</v>
      </c>
      <c r="D247" t="s">
        <v>45</v>
      </c>
      <c r="E247">
        <v>0</v>
      </c>
      <c r="F247">
        <v>1</v>
      </c>
      <c r="G247">
        <v>0</v>
      </c>
      <c r="H247">
        <v>-282000</v>
      </c>
      <c r="I247">
        <v>-282000</v>
      </c>
      <c r="J247" s="1">
        <v>45199</v>
      </c>
      <c r="K247" t="s">
        <v>50</v>
      </c>
      <c r="L247">
        <v>9</v>
      </c>
      <c r="M247">
        <v>2023</v>
      </c>
      <c r="N247">
        <f t="shared" si="3"/>
        <v>-282000</v>
      </c>
      <c r="O247" s="19">
        <f>IF(Table1_2[Tiền Nhập]&lt;&gt;0, Table1_2[Lợi Nhuận Gộp]/Table1_2[Tiền Nhập], 0)</f>
        <v>0</v>
      </c>
      <c r="P247">
        <f>IF(Table1_2[SL Xuất]&gt;0, Table1_2[Tiền Xuất]/Table1_2[SL Xuất], 0)</f>
        <v>0</v>
      </c>
      <c r="Q247">
        <f>Table1_2[SL Xuất] - Table1_2[SL Xuất KM]</f>
        <v>-1</v>
      </c>
    </row>
    <row r="248" spans="1:17" x14ac:dyDescent="0.25">
      <c r="A248">
        <v>247</v>
      </c>
      <c r="B248" t="s">
        <v>400</v>
      </c>
      <c r="C248" t="s">
        <v>401</v>
      </c>
      <c r="D248" t="s">
        <v>13</v>
      </c>
      <c r="E248">
        <v>225000</v>
      </c>
      <c r="F248">
        <v>0</v>
      </c>
      <c r="G248">
        <v>30</v>
      </c>
      <c r="H248">
        <v>330000</v>
      </c>
      <c r="I248">
        <v>105000</v>
      </c>
      <c r="J248" s="1">
        <v>45199</v>
      </c>
      <c r="K248" t="s">
        <v>593</v>
      </c>
      <c r="L248">
        <v>9</v>
      </c>
      <c r="M248">
        <v>2023</v>
      </c>
      <c r="N248">
        <f t="shared" si="3"/>
        <v>-120000</v>
      </c>
      <c r="O248" s="19">
        <f>IF(Table1_2[Tiền Nhập]&lt;&gt;0, Table1_2[Lợi Nhuận Gộp]/Table1_2[Tiền Nhập], 0)</f>
        <v>-0.53333333333333333</v>
      </c>
      <c r="P248">
        <f>IF(Table1_2[SL Xuất]&gt;0, Table1_2[Tiền Xuất]/Table1_2[SL Xuất], 0)</f>
        <v>11000</v>
      </c>
      <c r="Q248">
        <f>Table1_2[SL Xuất] - Table1_2[SL Xuất KM]</f>
        <v>30</v>
      </c>
    </row>
    <row r="249" spans="1:17" x14ac:dyDescent="0.25">
      <c r="A249">
        <v>248</v>
      </c>
      <c r="B249" t="s">
        <v>36</v>
      </c>
      <c r="C249" t="s">
        <v>37</v>
      </c>
      <c r="D249" t="s">
        <v>13</v>
      </c>
      <c r="E249">
        <v>0</v>
      </c>
      <c r="F249">
        <v>8</v>
      </c>
      <c r="G249">
        <v>0</v>
      </c>
      <c r="H249">
        <v>-64000</v>
      </c>
      <c r="I249">
        <v>-64000</v>
      </c>
      <c r="J249" s="1">
        <v>45199</v>
      </c>
      <c r="K249" t="s">
        <v>593</v>
      </c>
      <c r="L249">
        <v>9</v>
      </c>
      <c r="M249">
        <v>2023</v>
      </c>
      <c r="N249">
        <f t="shared" si="3"/>
        <v>-64000</v>
      </c>
      <c r="O249" s="19">
        <f>IF(Table1_2[Tiền Nhập]&lt;&gt;0, Table1_2[Lợi Nhuận Gộp]/Table1_2[Tiền Nhập], 0)</f>
        <v>0</v>
      </c>
      <c r="P249">
        <f>IF(Table1_2[SL Xuất]&gt;0, Table1_2[Tiền Xuất]/Table1_2[SL Xuất], 0)</f>
        <v>0</v>
      </c>
      <c r="Q249">
        <f>Table1_2[SL Xuất] - Table1_2[SL Xuất KM]</f>
        <v>-8</v>
      </c>
    </row>
    <row r="250" spans="1:17" x14ac:dyDescent="0.25">
      <c r="A250">
        <v>249</v>
      </c>
      <c r="B250" t="s">
        <v>705</v>
      </c>
      <c r="C250" t="s">
        <v>706</v>
      </c>
      <c r="D250" t="s">
        <v>45</v>
      </c>
      <c r="E250">
        <v>540000</v>
      </c>
      <c r="F250">
        <v>4</v>
      </c>
      <c r="G250">
        <v>12</v>
      </c>
      <c r="H250">
        <v>540000</v>
      </c>
      <c r="I250">
        <v>0</v>
      </c>
      <c r="J250" s="1">
        <v>45199</v>
      </c>
      <c r="K250" t="s">
        <v>119</v>
      </c>
      <c r="L250">
        <v>9</v>
      </c>
      <c r="M250">
        <v>2023</v>
      </c>
      <c r="N250">
        <f t="shared" si="3"/>
        <v>-540000</v>
      </c>
      <c r="O250" s="19">
        <f>IF(Table1_2[Tiền Nhập]&lt;&gt;0, Table1_2[Lợi Nhuận Gộp]/Table1_2[Tiền Nhập], 0)</f>
        <v>-1</v>
      </c>
      <c r="P250">
        <f>IF(Table1_2[SL Xuất]&gt;0, Table1_2[Tiền Xuất]/Table1_2[SL Xuất], 0)</f>
        <v>45000</v>
      </c>
      <c r="Q250">
        <f>Table1_2[SL Xuất] - Table1_2[SL Xuất KM]</f>
        <v>8</v>
      </c>
    </row>
    <row r="251" spans="1:17" x14ac:dyDescent="0.25">
      <c r="A251">
        <v>250</v>
      </c>
      <c r="B251" t="s">
        <v>707</v>
      </c>
      <c r="C251" t="s">
        <v>708</v>
      </c>
      <c r="D251" t="s">
        <v>45</v>
      </c>
      <c r="E251">
        <v>1152000</v>
      </c>
      <c r="F251">
        <v>3</v>
      </c>
      <c r="G251">
        <v>36</v>
      </c>
      <c r="H251">
        <v>1070000</v>
      </c>
      <c r="I251">
        <v>-82000</v>
      </c>
      <c r="J251" s="1">
        <v>45199</v>
      </c>
      <c r="K251" t="s">
        <v>119</v>
      </c>
      <c r="L251">
        <v>9</v>
      </c>
      <c r="M251">
        <v>2023</v>
      </c>
      <c r="N251">
        <f t="shared" si="3"/>
        <v>-1234000</v>
      </c>
      <c r="O251" s="19">
        <f>IF(Table1_2[Tiền Nhập]&lt;&gt;0, Table1_2[Lợi Nhuận Gộp]/Table1_2[Tiền Nhập], 0)</f>
        <v>-1.0711805555555556</v>
      </c>
      <c r="P251">
        <f>IF(Table1_2[SL Xuất]&gt;0, Table1_2[Tiền Xuất]/Table1_2[SL Xuất], 0)</f>
        <v>29722.222222222223</v>
      </c>
      <c r="Q251">
        <f>Table1_2[SL Xuất] - Table1_2[SL Xuất KM]</f>
        <v>33</v>
      </c>
    </row>
    <row r="252" spans="1:17" x14ac:dyDescent="0.25">
      <c r="A252">
        <v>251</v>
      </c>
      <c r="B252" t="s">
        <v>493</v>
      </c>
      <c r="C252" t="s">
        <v>494</v>
      </c>
      <c r="D252" t="s">
        <v>149</v>
      </c>
      <c r="E252">
        <v>0</v>
      </c>
      <c r="F252">
        <v>1</v>
      </c>
      <c r="G252">
        <v>0</v>
      </c>
      <c r="H252">
        <v>0</v>
      </c>
      <c r="I252">
        <v>0</v>
      </c>
      <c r="J252" s="1">
        <v>45199</v>
      </c>
      <c r="K252" t="s">
        <v>119</v>
      </c>
      <c r="L252">
        <v>9</v>
      </c>
      <c r="M252">
        <v>2023</v>
      </c>
      <c r="N252">
        <f t="shared" si="3"/>
        <v>0</v>
      </c>
      <c r="O252" s="19">
        <f>IF(Table1_2[Tiền Nhập]&lt;&gt;0, Table1_2[Lợi Nhuận Gộp]/Table1_2[Tiền Nhập], 0)</f>
        <v>0</v>
      </c>
      <c r="P252">
        <f>IF(Table1_2[SL Xuất]&gt;0, Table1_2[Tiền Xuất]/Table1_2[SL Xuất], 0)</f>
        <v>0</v>
      </c>
      <c r="Q252">
        <f>Table1_2[SL Xuất] - Table1_2[SL Xuất KM]</f>
        <v>-1</v>
      </c>
    </row>
    <row r="253" spans="1:17" x14ac:dyDescent="0.25">
      <c r="A253">
        <v>252</v>
      </c>
      <c r="B253" t="s">
        <v>99</v>
      </c>
      <c r="C253" t="s">
        <v>100</v>
      </c>
      <c r="D253" t="s">
        <v>88</v>
      </c>
      <c r="E253">
        <v>231000</v>
      </c>
      <c r="F253">
        <v>2</v>
      </c>
      <c r="G253">
        <v>12</v>
      </c>
      <c r="H253">
        <v>288000</v>
      </c>
      <c r="I253">
        <v>57000</v>
      </c>
      <c r="J253" s="1">
        <v>45199</v>
      </c>
      <c r="K253" t="s">
        <v>119</v>
      </c>
      <c r="L253">
        <v>9</v>
      </c>
      <c r="M253">
        <v>2023</v>
      </c>
      <c r="N253">
        <f t="shared" si="3"/>
        <v>-174000</v>
      </c>
      <c r="O253" s="19">
        <f>IF(Table1_2[Tiền Nhập]&lt;&gt;0, Table1_2[Lợi Nhuận Gộp]/Table1_2[Tiền Nhập], 0)</f>
        <v>-0.75324675324675328</v>
      </c>
      <c r="P253">
        <f>IF(Table1_2[SL Xuất]&gt;0, Table1_2[Tiền Xuất]/Table1_2[SL Xuất], 0)</f>
        <v>24000</v>
      </c>
      <c r="Q253">
        <f>Table1_2[SL Xuất] - Table1_2[SL Xuất KM]</f>
        <v>10</v>
      </c>
    </row>
    <row r="254" spans="1:17" x14ac:dyDescent="0.25">
      <c r="A254">
        <v>253</v>
      </c>
      <c r="B254" t="s">
        <v>620</v>
      </c>
      <c r="C254" t="s">
        <v>621</v>
      </c>
      <c r="D254" t="s">
        <v>336</v>
      </c>
      <c r="E254">
        <v>242000</v>
      </c>
      <c r="F254">
        <v>0</v>
      </c>
      <c r="G254">
        <v>1</v>
      </c>
      <c r="H254">
        <v>247000</v>
      </c>
      <c r="I254">
        <v>5000</v>
      </c>
      <c r="J254" s="1">
        <v>45199</v>
      </c>
      <c r="K254" t="s">
        <v>525</v>
      </c>
      <c r="L254">
        <v>9</v>
      </c>
      <c r="M254">
        <v>2023</v>
      </c>
      <c r="N254">
        <f t="shared" si="3"/>
        <v>-237000</v>
      </c>
      <c r="O254" s="19">
        <f>IF(Table1_2[Tiền Nhập]&lt;&gt;0, Table1_2[Lợi Nhuận Gộp]/Table1_2[Tiền Nhập], 0)</f>
        <v>-0.97933884297520657</v>
      </c>
      <c r="P254">
        <f>IF(Table1_2[SL Xuất]&gt;0, Table1_2[Tiền Xuất]/Table1_2[SL Xuất], 0)</f>
        <v>247000</v>
      </c>
      <c r="Q254">
        <f>Table1_2[SL Xuất] - Table1_2[SL Xuất KM]</f>
        <v>1</v>
      </c>
    </row>
    <row r="255" spans="1:17" x14ac:dyDescent="0.25">
      <c r="A255">
        <v>254</v>
      </c>
      <c r="B255" t="s">
        <v>715</v>
      </c>
      <c r="C255" t="s">
        <v>716</v>
      </c>
      <c r="D255" t="s">
        <v>336</v>
      </c>
      <c r="E255">
        <v>0</v>
      </c>
      <c r="F255">
        <v>0</v>
      </c>
      <c r="G255">
        <v>0</v>
      </c>
      <c r="H255">
        <v>0</v>
      </c>
      <c r="I255">
        <v>0</v>
      </c>
      <c r="J255" s="1">
        <v>45199</v>
      </c>
      <c r="K255" t="s">
        <v>525</v>
      </c>
      <c r="L255">
        <v>9</v>
      </c>
      <c r="M255">
        <v>2023</v>
      </c>
      <c r="N255">
        <f t="shared" si="3"/>
        <v>0</v>
      </c>
      <c r="O255" s="19">
        <f>IF(Table1_2[Tiền Nhập]&lt;&gt;0, Table1_2[Lợi Nhuận Gộp]/Table1_2[Tiền Nhập], 0)</f>
        <v>0</v>
      </c>
      <c r="P255">
        <f>IF(Table1_2[SL Xuất]&gt;0, Table1_2[Tiền Xuất]/Table1_2[SL Xuất], 0)</f>
        <v>0</v>
      </c>
      <c r="Q255">
        <f>Table1_2[SL Xuất] - Table1_2[SL Xuất KM]</f>
        <v>0</v>
      </c>
    </row>
    <row r="256" spans="1:17" x14ac:dyDescent="0.25">
      <c r="A256">
        <v>255</v>
      </c>
      <c r="B256" t="s">
        <v>717</v>
      </c>
      <c r="C256" t="s">
        <v>718</v>
      </c>
      <c r="D256" t="s">
        <v>88</v>
      </c>
      <c r="E256">
        <v>271800</v>
      </c>
      <c r="F256">
        <v>0</v>
      </c>
      <c r="G256">
        <v>6</v>
      </c>
      <c r="H256">
        <v>276000</v>
      </c>
      <c r="I256">
        <v>4200</v>
      </c>
      <c r="J256" s="1">
        <v>45201</v>
      </c>
      <c r="K256" t="s">
        <v>575</v>
      </c>
      <c r="L256">
        <v>10</v>
      </c>
      <c r="M256">
        <v>2023</v>
      </c>
      <c r="N256">
        <f t="shared" si="3"/>
        <v>-267600</v>
      </c>
      <c r="O256" s="19">
        <f>IF(Table1_2[Tiền Nhập]&lt;&gt;0, Table1_2[Lợi Nhuận Gộp]/Table1_2[Tiền Nhập], 0)</f>
        <v>-0.98454746136865345</v>
      </c>
      <c r="P256">
        <f>IF(Table1_2[SL Xuất]&gt;0, Table1_2[Tiền Xuất]/Table1_2[SL Xuất], 0)</f>
        <v>46000</v>
      </c>
      <c r="Q256">
        <f>Table1_2[SL Xuất] - Table1_2[SL Xuất KM]</f>
        <v>6</v>
      </c>
    </row>
    <row r="257" spans="1:17" x14ac:dyDescent="0.25">
      <c r="A257">
        <v>256</v>
      </c>
      <c r="B257" t="s">
        <v>717</v>
      </c>
      <c r="C257" t="s">
        <v>718</v>
      </c>
      <c r="D257" t="s">
        <v>88</v>
      </c>
      <c r="E257">
        <v>453000</v>
      </c>
      <c r="F257">
        <v>0</v>
      </c>
      <c r="G257">
        <v>10</v>
      </c>
      <c r="H257">
        <v>460000</v>
      </c>
      <c r="I257">
        <v>7000</v>
      </c>
      <c r="J257" s="1">
        <v>45201</v>
      </c>
      <c r="K257" t="s">
        <v>724</v>
      </c>
      <c r="L257">
        <v>10</v>
      </c>
      <c r="M257">
        <v>2023</v>
      </c>
      <c r="N257">
        <f t="shared" si="3"/>
        <v>-446000</v>
      </c>
      <c r="O257" s="19">
        <f>IF(Table1_2[Tiền Nhập]&lt;&gt;0, Table1_2[Lợi Nhuận Gộp]/Table1_2[Tiền Nhập], 0)</f>
        <v>-0.98454746136865345</v>
      </c>
      <c r="P257">
        <f>IF(Table1_2[SL Xuất]&gt;0, Table1_2[Tiền Xuất]/Table1_2[SL Xuất], 0)</f>
        <v>46000</v>
      </c>
      <c r="Q257">
        <f>Table1_2[SL Xuất] - Table1_2[SL Xuất KM]</f>
        <v>10</v>
      </c>
    </row>
    <row r="258" spans="1:17" x14ac:dyDescent="0.25">
      <c r="A258">
        <v>257</v>
      </c>
      <c r="B258" t="s">
        <v>717</v>
      </c>
      <c r="C258" t="s">
        <v>718</v>
      </c>
      <c r="D258" t="s">
        <v>88</v>
      </c>
      <c r="E258">
        <v>1087200</v>
      </c>
      <c r="F258">
        <v>4</v>
      </c>
      <c r="G258">
        <v>24</v>
      </c>
      <c r="H258">
        <v>1004000</v>
      </c>
      <c r="I258">
        <v>-83200</v>
      </c>
      <c r="J258" s="1">
        <v>45201</v>
      </c>
      <c r="K258" t="s">
        <v>728</v>
      </c>
      <c r="L258">
        <v>10</v>
      </c>
      <c r="M258">
        <v>2023</v>
      </c>
      <c r="N258">
        <f t="shared" ref="N258:N321" si="4">I258-E258</f>
        <v>-1170400</v>
      </c>
      <c r="O258" s="19">
        <f>IF(Table1_2[Tiền Nhập]&lt;&gt;0, Table1_2[Lợi Nhuận Gộp]/Table1_2[Tiền Nhập], 0)</f>
        <v>-1.0765268579838116</v>
      </c>
      <c r="P258">
        <f>IF(Table1_2[SL Xuất]&gt;0, Table1_2[Tiền Xuất]/Table1_2[SL Xuất], 0)</f>
        <v>41833.333333333336</v>
      </c>
      <c r="Q258">
        <f>Table1_2[SL Xuất] - Table1_2[SL Xuất KM]</f>
        <v>20</v>
      </c>
    </row>
    <row r="259" spans="1:17" x14ac:dyDescent="0.25">
      <c r="A259">
        <v>258</v>
      </c>
      <c r="B259" t="s">
        <v>111</v>
      </c>
      <c r="C259" t="s">
        <v>112</v>
      </c>
      <c r="D259" t="s">
        <v>13</v>
      </c>
      <c r="E259">
        <v>77000</v>
      </c>
      <c r="F259">
        <v>0</v>
      </c>
      <c r="G259">
        <v>10</v>
      </c>
      <c r="H259">
        <v>100000</v>
      </c>
      <c r="I259">
        <v>23000</v>
      </c>
      <c r="J259" s="1">
        <v>45202</v>
      </c>
      <c r="K259" t="s">
        <v>478</v>
      </c>
      <c r="L259">
        <v>10</v>
      </c>
      <c r="M259">
        <v>2023</v>
      </c>
      <c r="N259">
        <f t="shared" si="4"/>
        <v>-54000</v>
      </c>
      <c r="O259" s="19">
        <f>IF(Table1_2[Tiền Nhập]&lt;&gt;0, Table1_2[Lợi Nhuận Gộp]/Table1_2[Tiền Nhập], 0)</f>
        <v>-0.70129870129870131</v>
      </c>
      <c r="P259">
        <f>IF(Table1_2[SL Xuất]&gt;0, Table1_2[Tiền Xuất]/Table1_2[SL Xuất], 0)</f>
        <v>10000</v>
      </c>
      <c r="Q259">
        <f>Table1_2[SL Xuất] - Table1_2[SL Xuất KM]</f>
        <v>10</v>
      </c>
    </row>
    <row r="260" spans="1:17" x14ac:dyDescent="0.25">
      <c r="A260">
        <v>259</v>
      </c>
      <c r="B260" t="s">
        <v>259</v>
      </c>
      <c r="C260" t="s">
        <v>260</v>
      </c>
      <c r="D260" t="s">
        <v>88</v>
      </c>
      <c r="E260">
        <v>1200000</v>
      </c>
      <c r="F260">
        <v>12</v>
      </c>
      <c r="G260">
        <v>12</v>
      </c>
      <c r="H260">
        <v>1308000</v>
      </c>
      <c r="I260">
        <v>108000</v>
      </c>
      <c r="J260" s="1">
        <v>45202</v>
      </c>
      <c r="K260" t="s">
        <v>604</v>
      </c>
      <c r="L260">
        <v>10</v>
      </c>
      <c r="M260">
        <v>2023</v>
      </c>
      <c r="N260">
        <f t="shared" si="4"/>
        <v>-1092000</v>
      </c>
      <c r="O260" s="19">
        <f>IF(Table1_2[Tiền Nhập]&lt;&gt;0, Table1_2[Lợi Nhuận Gộp]/Table1_2[Tiền Nhập], 0)</f>
        <v>-0.91</v>
      </c>
      <c r="P260">
        <f>IF(Table1_2[SL Xuất]&gt;0, Table1_2[Tiền Xuất]/Table1_2[SL Xuất], 0)</f>
        <v>109000</v>
      </c>
      <c r="Q260">
        <f>Table1_2[SL Xuất] - Table1_2[SL Xuất KM]</f>
        <v>0</v>
      </c>
    </row>
    <row r="261" spans="1:17" x14ac:dyDescent="0.25">
      <c r="A261">
        <v>260</v>
      </c>
      <c r="B261" t="s">
        <v>528</v>
      </c>
      <c r="C261" t="s">
        <v>529</v>
      </c>
      <c r="D261" t="s">
        <v>530</v>
      </c>
      <c r="E261">
        <v>420000</v>
      </c>
      <c r="F261">
        <v>2</v>
      </c>
      <c r="G261">
        <v>10</v>
      </c>
      <c r="H261">
        <v>384000</v>
      </c>
      <c r="I261">
        <v>-36000</v>
      </c>
      <c r="J261" s="1">
        <v>45204</v>
      </c>
      <c r="K261" t="s">
        <v>733</v>
      </c>
      <c r="L261">
        <v>10</v>
      </c>
      <c r="M261">
        <v>2023</v>
      </c>
      <c r="N261">
        <f t="shared" si="4"/>
        <v>-456000</v>
      </c>
      <c r="O261" s="19">
        <f>IF(Table1_2[Tiền Nhập]&lt;&gt;0, Table1_2[Lợi Nhuận Gộp]/Table1_2[Tiền Nhập], 0)</f>
        <v>-1.0857142857142856</v>
      </c>
      <c r="P261">
        <f>IF(Table1_2[SL Xuất]&gt;0, Table1_2[Tiền Xuất]/Table1_2[SL Xuất], 0)</f>
        <v>38400</v>
      </c>
      <c r="Q261">
        <f>Table1_2[SL Xuất] - Table1_2[SL Xuất KM]</f>
        <v>8</v>
      </c>
    </row>
    <row r="262" spans="1:17" x14ac:dyDescent="0.25">
      <c r="A262">
        <v>261</v>
      </c>
      <c r="B262" t="s">
        <v>67</v>
      </c>
      <c r="C262" t="s">
        <v>68</v>
      </c>
      <c r="D262" t="s">
        <v>13</v>
      </c>
      <c r="E262">
        <v>2112000</v>
      </c>
      <c r="F262">
        <v>48</v>
      </c>
      <c r="G262">
        <v>192</v>
      </c>
      <c r="H262">
        <v>2256000</v>
      </c>
      <c r="I262">
        <v>144000</v>
      </c>
      <c r="J262" s="1">
        <v>45204</v>
      </c>
      <c r="K262" t="s">
        <v>733</v>
      </c>
      <c r="L262">
        <v>10</v>
      </c>
      <c r="M262">
        <v>2023</v>
      </c>
      <c r="N262">
        <f t="shared" si="4"/>
        <v>-1968000</v>
      </c>
      <c r="O262" s="19">
        <f>IF(Table1_2[Tiền Nhập]&lt;&gt;0, Table1_2[Lợi Nhuận Gộp]/Table1_2[Tiền Nhập], 0)</f>
        <v>-0.93181818181818177</v>
      </c>
      <c r="P262">
        <f>IF(Table1_2[SL Xuất]&gt;0, Table1_2[Tiền Xuất]/Table1_2[SL Xuất], 0)</f>
        <v>11750</v>
      </c>
      <c r="Q262">
        <f>Table1_2[SL Xuất] - Table1_2[SL Xuất KM]</f>
        <v>144</v>
      </c>
    </row>
    <row r="263" spans="1:17" x14ac:dyDescent="0.25">
      <c r="A263">
        <v>262</v>
      </c>
      <c r="B263" t="s">
        <v>516</v>
      </c>
      <c r="C263" t="s">
        <v>517</v>
      </c>
      <c r="D263" t="s">
        <v>518</v>
      </c>
      <c r="E263">
        <v>0</v>
      </c>
      <c r="F263">
        <v>0</v>
      </c>
      <c r="G263">
        <v>0</v>
      </c>
      <c r="H263">
        <v>-1764000</v>
      </c>
      <c r="I263">
        <v>-1764000</v>
      </c>
      <c r="J263" s="1">
        <v>45204</v>
      </c>
      <c r="K263" t="s">
        <v>733</v>
      </c>
      <c r="L263">
        <v>10</v>
      </c>
      <c r="M263">
        <v>2023</v>
      </c>
      <c r="N263">
        <f t="shared" si="4"/>
        <v>-1764000</v>
      </c>
      <c r="O263" s="19">
        <f>IF(Table1_2[Tiền Nhập]&lt;&gt;0, Table1_2[Lợi Nhuận Gộp]/Table1_2[Tiền Nhập], 0)</f>
        <v>0</v>
      </c>
      <c r="P263">
        <f>IF(Table1_2[SL Xuất]&gt;0, Table1_2[Tiền Xuất]/Table1_2[SL Xuất], 0)</f>
        <v>0</v>
      </c>
      <c r="Q263">
        <f>Table1_2[SL Xuất] - Table1_2[SL Xuất KM]</f>
        <v>0</v>
      </c>
    </row>
    <row r="264" spans="1:17" x14ac:dyDescent="0.25">
      <c r="A264">
        <v>263</v>
      </c>
      <c r="B264" t="s">
        <v>738</v>
      </c>
      <c r="C264" t="s">
        <v>739</v>
      </c>
      <c r="D264" t="s">
        <v>13</v>
      </c>
      <c r="E264">
        <v>412911</v>
      </c>
      <c r="F264">
        <v>1</v>
      </c>
      <c r="G264">
        <v>9</v>
      </c>
      <c r="H264">
        <v>421200</v>
      </c>
      <c r="I264">
        <v>8289</v>
      </c>
      <c r="J264" s="1">
        <v>45204</v>
      </c>
      <c r="K264" t="s">
        <v>154</v>
      </c>
      <c r="L264">
        <v>10</v>
      </c>
      <c r="M264">
        <v>2023</v>
      </c>
      <c r="N264">
        <f t="shared" si="4"/>
        <v>-404622</v>
      </c>
      <c r="O264" s="19">
        <f>IF(Table1_2[Tiền Nhập]&lt;&gt;0, Table1_2[Lợi Nhuận Gộp]/Table1_2[Tiền Nhập], 0)</f>
        <v>-0.979925456091022</v>
      </c>
      <c r="P264">
        <f>IF(Table1_2[SL Xuất]&gt;0, Table1_2[Tiền Xuất]/Table1_2[SL Xuất], 0)</f>
        <v>46800</v>
      </c>
      <c r="Q264">
        <f>Table1_2[SL Xuất] - Table1_2[SL Xuất KM]</f>
        <v>8</v>
      </c>
    </row>
    <row r="265" spans="1:17" x14ac:dyDescent="0.25">
      <c r="A265">
        <v>264</v>
      </c>
      <c r="B265" t="s">
        <v>744</v>
      </c>
      <c r="C265" t="s">
        <v>745</v>
      </c>
      <c r="D265" t="s">
        <v>13</v>
      </c>
      <c r="E265">
        <v>26250</v>
      </c>
      <c r="F265">
        <v>0</v>
      </c>
      <c r="G265">
        <v>5</v>
      </c>
      <c r="H265">
        <v>35000</v>
      </c>
      <c r="I265">
        <v>8750</v>
      </c>
      <c r="J265" s="1">
        <v>45204</v>
      </c>
      <c r="K265" t="s">
        <v>319</v>
      </c>
      <c r="L265">
        <v>10</v>
      </c>
      <c r="M265">
        <v>2023</v>
      </c>
      <c r="N265">
        <f t="shared" si="4"/>
        <v>-17500</v>
      </c>
      <c r="O265" s="19">
        <f>IF(Table1_2[Tiền Nhập]&lt;&gt;0, Table1_2[Lợi Nhuận Gộp]/Table1_2[Tiền Nhập], 0)</f>
        <v>-0.66666666666666663</v>
      </c>
      <c r="P265">
        <f>IF(Table1_2[SL Xuất]&gt;0, Table1_2[Tiền Xuất]/Table1_2[SL Xuất], 0)</f>
        <v>7000</v>
      </c>
      <c r="Q265">
        <f>Table1_2[SL Xuất] - Table1_2[SL Xuất KM]</f>
        <v>5</v>
      </c>
    </row>
    <row r="266" spans="1:17" x14ac:dyDescent="0.25">
      <c r="A266">
        <v>265</v>
      </c>
      <c r="B266" t="s">
        <v>748</v>
      </c>
      <c r="C266" t="s">
        <v>749</v>
      </c>
      <c r="D266" t="s">
        <v>13</v>
      </c>
      <c r="E266">
        <v>26250</v>
      </c>
      <c r="F266">
        <v>0</v>
      </c>
      <c r="G266">
        <v>5</v>
      </c>
      <c r="H266">
        <v>35000</v>
      </c>
      <c r="I266">
        <v>8750</v>
      </c>
      <c r="J266" s="1">
        <v>45204</v>
      </c>
      <c r="K266" t="s">
        <v>319</v>
      </c>
      <c r="L266">
        <v>10</v>
      </c>
      <c r="M266">
        <v>2023</v>
      </c>
      <c r="N266">
        <f t="shared" si="4"/>
        <v>-17500</v>
      </c>
      <c r="O266" s="19">
        <f>IF(Table1_2[Tiền Nhập]&lt;&gt;0, Table1_2[Lợi Nhuận Gộp]/Table1_2[Tiền Nhập], 0)</f>
        <v>-0.66666666666666663</v>
      </c>
      <c r="P266">
        <f>IF(Table1_2[SL Xuất]&gt;0, Table1_2[Tiền Xuất]/Table1_2[SL Xuất], 0)</f>
        <v>7000</v>
      </c>
      <c r="Q266">
        <f>Table1_2[SL Xuất] - Table1_2[SL Xuất KM]</f>
        <v>5</v>
      </c>
    </row>
    <row r="267" spans="1:17" x14ac:dyDescent="0.25">
      <c r="A267">
        <v>266</v>
      </c>
      <c r="B267" t="s">
        <v>632</v>
      </c>
      <c r="C267" t="s">
        <v>633</v>
      </c>
      <c r="D267" t="s">
        <v>13</v>
      </c>
      <c r="E267">
        <v>26250</v>
      </c>
      <c r="F267">
        <v>0</v>
      </c>
      <c r="G267">
        <v>5</v>
      </c>
      <c r="H267">
        <v>35000</v>
      </c>
      <c r="I267">
        <v>8750</v>
      </c>
      <c r="J267" s="1">
        <v>45204</v>
      </c>
      <c r="K267" t="s">
        <v>319</v>
      </c>
      <c r="L267">
        <v>10</v>
      </c>
      <c r="M267">
        <v>2023</v>
      </c>
      <c r="N267">
        <f t="shared" si="4"/>
        <v>-17500</v>
      </c>
      <c r="O267" s="19">
        <f>IF(Table1_2[Tiền Nhập]&lt;&gt;0, Table1_2[Lợi Nhuận Gộp]/Table1_2[Tiền Nhập], 0)</f>
        <v>-0.66666666666666663</v>
      </c>
      <c r="P267">
        <f>IF(Table1_2[SL Xuất]&gt;0, Table1_2[Tiền Xuất]/Table1_2[SL Xuất], 0)</f>
        <v>7000</v>
      </c>
      <c r="Q267">
        <f>Table1_2[SL Xuất] - Table1_2[SL Xuất KM]</f>
        <v>5</v>
      </c>
    </row>
    <row r="268" spans="1:17" x14ac:dyDescent="0.25">
      <c r="A268">
        <v>267</v>
      </c>
      <c r="B268" t="s">
        <v>717</v>
      </c>
      <c r="C268" t="s">
        <v>718</v>
      </c>
      <c r="D268" t="s">
        <v>88</v>
      </c>
      <c r="E268">
        <v>181200</v>
      </c>
      <c r="F268">
        <v>1</v>
      </c>
      <c r="G268">
        <v>4</v>
      </c>
      <c r="H268">
        <v>154000</v>
      </c>
      <c r="I268">
        <v>-27200</v>
      </c>
      <c r="J268" s="1">
        <v>45204</v>
      </c>
      <c r="K268" t="s">
        <v>329</v>
      </c>
      <c r="L268">
        <v>10</v>
      </c>
      <c r="M268">
        <v>2023</v>
      </c>
      <c r="N268">
        <f t="shared" si="4"/>
        <v>-208400</v>
      </c>
      <c r="O268" s="19">
        <f>IF(Table1_2[Tiền Nhập]&lt;&gt;0, Table1_2[Lợi Nhuận Gộp]/Table1_2[Tiền Nhập], 0)</f>
        <v>-1.1501103752759383</v>
      </c>
      <c r="P268">
        <f>IF(Table1_2[SL Xuất]&gt;0, Table1_2[Tiền Xuất]/Table1_2[SL Xuất], 0)</f>
        <v>38500</v>
      </c>
      <c r="Q268">
        <f>Table1_2[SL Xuất] - Table1_2[SL Xuất KM]</f>
        <v>3</v>
      </c>
    </row>
    <row r="269" spans="1:17" x14ac:dyDescent="0.25">
      <c r="A269">
        <v>268</v>
      </c>
      <c r="B269" t="s">
        <v>753</v>
      </c>
      <c r="C269" t="s">
        <v>754</v>
      </c>
      <c r="D269" t="s">
        <v>88</v>
      </c>
      <c r="E269">
        <v>181200</v>
      </c>
      <c r="F269">
        <v>0</v>
      </c>
      <c r="G269">
        <v>4</v>
      </c>
      <c r="H269">
        <v>200000</v>
      </c>
      <c r="I269">
        <v>18800</v>
      </c>
      <c r="J269" s="1">
        <v>45204</v>
      </c>
      <c r="K269" t="s">
        <v>329</v>
      </c>
      <c r="L269">
        <v>10</v>
      </c>
      <c r="M269">
        <v>2023</v>
      </c>
      <c r="N269">
        <f t="shared" si="4"/>
        <v>-162400</v>
      </c>
      <c r="O269" s="19">
        <f>IF(Table1_2[Tiền Nhập]&lt;&gt;0, Table1_2[Lợi Nhuận Gộp]/Table1_2[Tiền Nhập], 0)</f>
        <v>-0.89624724061810157</v>
      </c>
      <c r="P269">
        <f>IF(Table1_2[SL Xuất]&gt;0, Table1_2[Tiền Xuất]/Table1_2[SL Xuất], 0)</f>
        <v>50000</v>
      </c>
      <c r="Q269">
        <f>Table1_2[SL Xuất] - Table1_2[SL Xuất KM]</f>
        <v>4</v>
      </c>
    </row>
    <row r="270" spans="1:17" x14ac:dyDescent="0.25">
      <c r="A270">
        <v>269</v>
      </c>
      <c r="B270" t="s">
        <v>757</v>
      </c>
      <c r="C270" t="s">
        <v>758</v>
      </c>
      <c r="D270" t="s">
        <v>88</v>
      </c>
      <c r="E270">
        <v>181200</v>
      </c>
      <c r="F270">
        <v>0</v>
      </c>
      <c r="G270">
        <v>4</v>
      </c>
      <c r="H270">
        <v>200000</v>
      </c>
      <c r="I270">
        <v>18800</v>
      </c>
      <c r="J270" s="1">
        <v>45204</v>
      </c>
      <c r="K270" t="s">
        <v>329</v>
      </c>
      <c r="L270">
        <v>10</v>
      </c>
      <c r="M270">
        <v>2023</v>
      </c>
      <c r="N270">
        <f t="shared" si="4"/>
        <v>-162400</v>
      </c>
      <c r="O270" s="19">
        <f>IF(Table1_2[Tiền Nhập]&lt;&gt;0, Table1_2[Lợi Nhuận Gộp]/Table1_2[Tiền Nhập], 0)</f>
        <v>-0.89624724061810157</v>
      </c>
      <c r="P270">
        <f>IF(Table1_2[SL Xuất]&gt;0, Table1_2[Tiền Xuất]/Table1_2[SL Xuất], 0)</f>
        <v>50000</v>
      </c>
      <c r="Q270">
        <f>Table1_2[SL Xuất] - Table1_2[SL Xuất KM]</f>
        <v>4</v>
      </c>
    </row>
    <row r="271" spans="1:17" x14ac:dyDescent="0.25">
      <c r="A271">
        <v>270</v>
      </c>
      <c r="B271" t="s">
        <v>620</v>
      </c>
      <c r="C271" t="s">
        <v>621</v>
      </c>
      <c r="D271" t="s">
        <v>336</v>
      </c>
      <c r="E271">
        <v>484000</v>
      </c>
      <c r="F271">
        <v>0</v>
      </c>
      <c r="G271">
        <v>2</v>
      </c>
      <c r="H271">
        <v>498000</v>
      </c>
      <c r="I271">
        <v>14000</v>
      </c>
      <c r="J271" s="1">
        <v>45204</v>
      </c>
      <c r="K271" t="s">
        <v>329</v>
      </c>
      <c r="L271">
        <v>10</v>
      </c>
      <c r="M271">
        <v>2023</v>
      </c>
      <c r="N271">
        <f t="shared" si="4"/>
        <v>-470000</v>
      </c>
      <c r="O271" s="19">
        <f>IF(Table1_2[Tiền Nhập]&lt;&gt;0, Table1_2[Lợi Nhuận Gộp]/Table1_2[Tiền Nhập], 0)</f>
        <v>-0.97107438016528924</v>
      </c>
      <c r="P271">
        <f>IF(Table1_2[SL Xuất]&gt;0, Table1_2[Tiền Xuất]/Table1_2[SL Xuất], 0)</f>
        <v>249000</v>
      </c>
      <c r="Q271">
        <f>Table1_2[SL Xuất] - Table1_2[SL Xuất KM]</f>
        <v>2</v>
      </c>
    </row>
    <row r="272" spans="1:17" x14ac:dyDescent="0.25">
      <c r="A272">
        <v>271</v>
      </c>
      <c r="B272" t="s">
        <v>281</v>
      </c>
      <c r="C272" t="s">
        <v>282</v>
      </c>
      <c r="D272" t="s">
        <v>85</v>
      </c>
      <c r="E272">
        <v>75000</v>
      </c>
      <c r="F272">
        <v>0</v>
      </c>
      <c r="G272">
        <v>2</v>
      </c>
      <c r="H272">
        <v>82000</v>
      </c>
      <c r="I272">
        <v>7000</v>
      </c>
      <c r="J272" s="1">
        <v>45204</v>
      </c>
      <c r="K272" t="s">
        <v>625</v>
      </c>
      <c r="L272">
        <v>10</v>
      </c>
      <c r="M272">
        <v>2023</v>
      </c>
      <c r="N272">
        <f t="shared" si="4"/>
        <v>-68000</v>
      </c>
      <c r="O272" s="19">
        <f>IF(Table1_2[Tiền Nhập]&lt;&gt;0, Table1_2[Lợi Nhuận Gộp]/Table1_2[Tiền Nhập], 0)</f>
        <v>-0.90666666666666662</v>
      </c>
      <c r="P272">
        <f>IF(Table1_2[SL Xuất]&gt;0, Table1_2[Tiền Xuất]/Table1_2[SL Xuất], 0)</f>
        <v>41000</v>
      </c>
      <c r="Q272">
        <f>Table1_2[SL Xuất] - Table1_2[SL Xuất KM]</f>
        <v>2</v>
      </c>
    </row>
    <row r="273" spans="1:17" x14ac:dyDescent="0.25">
      <c r="A273">
        <v>272</v>
      </c>
      <c r="B273" t="s">
        <v>744</v>
      </c>
      <c r="C273" t="s">
        <v>745</v>
      </c>
      <c r="D273" t="s">
        <v>13</v>
      </c>
      <c r="E273">
        <v>0</v>
      </c>
      <c r="F273">
        <v>0</v>
      </c>
      <c r="G273">
        <v>0</v>
      </c>
      <c r="H273">
        <v>-70000</v>
      </c>
      <c r="I273">
        <v>-70000</v>
      </c>
      <c r="J273" s="1">
        <v>45204</v>
      </c>
      <c r="K273" t="s">
        <v>625</v>
      </c>
      <c r="L273">
        <v>10</v>
      </c>
      <c r="M273">
        <v>2023</v>
      </c>
      <c r="N273">
        <f t="shared" si="4"/>
        <v>-70000</v>
      </c>
      <c r="O273" s="19">
        <f>IF(Table1_2[Tiền Nhập]&lt;&gt;0, Table1_2[Lợi Nhuận Gộp]/Table1_2[Tiền Nhập], 0)</f>
        <v>0</v>
      </c>
      <c r="P273">
        <f>IF(Table1_2[SL Xuất]&gt;0, Table1_2[Tiền Xuất]/Table1_2[SL Xuất], 0)</f>
        <v>0</v>
      </c>
      <c r="Q273">
        <f>Table1_2[SL Xuất] - Table1_2[SL Xuất KM]</f>
        <v>0</v>
      </c>
    </row>
    <row r="274" spans="1:17" x14ac:dyDescent="0.25">
      <c r="A274">
        <v>273</v>
      </c>
      <c r="B274" t="s">
        <v>764</v>
      </c>
      <c r="C274" t="s">
        <v>765</v>
      </c>
      <c r="D274" t="s">
        <v>13</v>
      </c>
      <c r="E274">
        <v>0</v>
      </c>
      <c r="F274">
        <v>0</v>
      </c>
      <c r="G274">
        <v>0</v>
      </c>
      <c r="H274">
        <v>0</v>
      </c>
      <c r="I274">
        <v>0</v>
      </c>
      <c r="J274" s="1">
        <v>45204</v>
      </c>
      <c r="K274" t="s">
        <v>625</v>
      </c>
      <c r="L274">
        <v>10</v>
      </c>
      <c r="M274">
        <v>2023</v>
      </c>
      <c r="N274">
        <f t="shared" si="4"/>
        <v>0</v>
      </c>
      <c r="O274" s="19">
        <f>IF(Table1_2[Tiền Nhập]&lt;&gt;0, Table1_2[Lợi Nhuận Gộp]/Table1_2[Tiền Nhập], 0)</f>
        <v>0</v>
      </c>
      <c r="P274">
        <f>IF(Table1_2[SL Xuất]&gt;0, Table1_2[Tiền Xuất]/Table1_2[SL Xuất], 0)</f>
        <v>0</v>
      </c>
      <c r="Q274">
        <f>Table1_2[SL Xuất] - Table1_2[SL Xuất KM]</f>
        <v>0</v>
      </c>
    </row>
    <row r="275" spans="1:17" x14ac:dyDescent="0.25">
      <c r="A275">
        <v>274</v>
      </c>
      <c r="B275" t="s">
        <v>400</v>
      </c>
      <c r="C275" t="s">
        <v>401</v>
      </c>
      <c r="D275" t="s">
        <v>13</v>
      </c>
      <c r="E275">
        <v>75000</v>
      </c>
      <c r="F275">
        <v>1</v>
      </c>
      <c r="G275">
        <v>10</v>
      </c>
      <c r="H275">
        <v>110000</v>
      </c>
      <c r="I275">
        <v>35000</v>
      </c>
      <c r="J275" s="1">
        <v>45204</v>
      </c>
      <c r="K275" t="s">
        <v>625</v>
      </c>
      <c r="L275">
        <v>10</v>
      </c>
      <c r="M275">
        <v>2023</v>
      </c>
      <c r="N275">
        <f t="shared" si="4"/>
        <v>-40000</v>
      </c>
      <c r="O275" s="19">
        <f>IF(Table1_2[Tiền Nhập]&lt;&gt;0, Table1_2[Lợi Nhuận Gộp]/Table1_2[Tiền Nhập], 0)</f>
        <v>-0.53333333333333333</v>
      </c>
      <c r="P275">
        <f>IF(Table1_2[SL Xuất]&gt;0, Table1_2[Tiền Xuất]/Table1_2[SL Xuất], 0)</f>
        <v>11000</v>
      </c>
      <c r="Q275">
        <f>Table1_2[SL Xuất] - Table1_2[SL Xuất KM]</f>
        <v>9</v>
      </c>
    </row>
    <row r="276" spans="1:17" x14ac:dyDescent="0.25">
      <c r="A276">
        <v>275</v>
      </c>
      <c r="B276" t="s">
        <v>540</v>
      </c>
      <c r="C276" t="s">
        <v>541</v>
      </c>
      <c r="D276" t="s">
        <v>339</v>
      </c>
      <c r="E276">
        <v>424800</v>
      </c>
      <c r="F276">
        <v>0</v>
      </c>
      <c r="G276">
        <v>2</v>
      </c>
      <c r="H276">
        <v>477600</v>
      </c>
      <c r="I276">
        <v>52800</v>
      </c>
      <c r="J276" s="1">
        <v>45205</v>
      </c>
      <c r="K276" t="s">
        <v>166</v>
      </c>
      <c r="L276">
        <v>10</v>
      </c>
      <c r="M276">
        <v>2023</v>
      </c>
      <c r="N276">
        <f t="shared" si="4"/>
        <v>-372000</v>
      </c>
      <c r="O276" s="19">
        <f>IF(Table1_2[Tiền Nhập]&lt;&gt;0, Table1_2[Lợi Nhuận Gộp]/Table1_2[Tiền Nhập], 0)</f>
        <v>-0.87570621468926557</v>
      </c>
      <c r="P276">
        <f>IF(Table1_2[SL Xuất]&gt;0, Table1_2[Tiền Xuất]/Table1_2[SL Xuất], 0)</f>
        <v>238800</v>
      </c>
      <c r="Q276">
        <f>Table1_2[SL Xuất] - Table1_2[SL Xuất KM]</f>
        <v>2</v>
      </c>
    </row>
    <row r="277" spans="1:17" x14ac:dyDescent="0.25">
      <c r="A277">
        <v>276</v>
      </c>
      <c r="B277" t="s">
        <v>528</v>
      </c>
      <c r="C277" t="s">
        <v>529</v>
      </c>
      <c r="D277" t="s">
        <v>530</v>
      </c>
      <c r="E277">
        <v>420000</v>
      </c>
      <c r="F277">
        <v>2</v>
      </c>
      <c r="G277">
        <v>10</v>
      </c>
      <c r="H277">
        <v>460000</v>
      </c>
      <c r="I277">
        <v>40000</v>
      </c>
      <c r="J277" s="1">
        <v>45205</v>
      </c>
      <c r="K277" t="s">
        <v>769</v>
      </c>
      <c r="L277">
        <v>10</v>
      </c>
      <c r="M277">
        <v>2023</v>
      </c>
      <c r="N277">
        <f t="shared" si="4"/>
        <v>-380000</v>
      </c>
      <c r="O277" s="19">
        <f>IF(Table1_2[Tiền Nhập]&lt;&gt;0, Table1_2[Lợi Nhuận Gộp]/Table1_2[Tiền Nhập], 0)</f>
        <v>-0.90476190476190477</v>
      </c>
      <c r="P277">
        <f>IF(Table1_2[SL Xuất]&gt;0, Table1_2[Tiền Xuất]/Table1_2[SL Xuất], 0)</f>
        <v>46000</v>
      </c>
      <c r="Q277">
        <f>Table1_2[SL Xuất] - Table1_2[SL Xuất KM]</f>
        <v>8</v>
      </c>
    </row>
    <row r="278" spans="1:17" x14ac:dyDescent="0.25">
      <c r="A278">
        <v>277</v>
      </c>
      <c r="B278" t="s">
        <v>770</v>
      </c>
      <c r="C278" t="s">
        <v>771</v>
      </c>
      <c r="D278" t="s">
        <v>13</v>
      </c>
      <c r="E278">
        <v>138000</v>
      </c>
      <c r="F278">
        <v>0</v>
      </c>
      <c r="G278">
        <v>12</v>
      </c>
      <c r="H278">
        <v>168000</v>
      </c>
      <c r="I278">
        <v>30000</v>
      </c>
      <c r="J278" s="1">
        <v>45205</v>
      </c>
      <c r="K278" t="s">
        <v>772</v>
      </c>
      <c r="L278">
        <v>10</v>
      </c>
      <c r="M278">
        <v>2023</v>
      </c>
      <c r="N278">
        <f t="shared" si="4"/>
        <v>-108000</v>
      </c>
      <c r="O278" s="19">
        <f>IF(Table1_2[Tiền Nhập]&lt;&gt;0, Table1_2[Lợi Nhuận Gộp]/Table1_2[Tiền Nhập], 0)</f>
        <v>-0.78260869565217395</v>
      </c>
      <c r="P278">
        <f>IF(Table1_2[SL Xuất]&gt;0, Table1_2[Tiền Xuất]/Table1_2[SL Xuất], 0)</f>
        <v>14000</v>
      </c>
      <c r="Q278">
        <f>Table1_2[SL Xuất] - Table1_2[SL Xuất KM]</f>
        <v>12</v>
      </c>
    </row>
    <row r="279" spans="1:17" x14ac:dyDescent="0.25">
      <c r="A279">
        <v>278</v>
      </c>
      <c r="B279" t="s">
        <v>717</v>
      </c>
      <c r="C279" t="s">
        <v>718</v>
      </c>
      <c r="D279" t="s">
        <v>88</v>
      </c>
      <c r="E279">
        <v>181200</v>
      </c>
      <c r="F279">
        <v>0</v>
      </c>
      <c r="G279">
        <v>4</v>
      </c>
      <c r="H279">
        <v>184000</v>
      </c>
      <c r="I279">
        <v>2800</v>
      </c>
      <c r="J279" s="1">
        <v>45206</v>
      </c>
      <c r="K279" t="s">
        <v>388</v>
      </c>
      <c r="L279">
        <v>10</v>
      </c>
      <c r="M279">
        <v>2023</v>
      </c>
      <c r="N279">
        <f t="shared" si="4"/>
        <v>-178400</v>
      </c>
      <c r="O279" s="19">
        <f>IF(Table1_2[Tiền Nhập]&lt;&gt;0, Table1_2[Lợi Nhuận Gộp]/Table1_2[Tiền Nhập], 0)</f>
        <v>-0.98454746136865345</v>
      </c>
      <c r="P279">
        <f>IF(Table1_2[SL Xuất]&gt;0, Table1_2[Tiền Xuất]/Table1_2[SL Xuất], 0)</f>
        <v>46000</v>
      </c>
      <c r="Q279">
        <f>Table1_2[SL Xuất] - Table1_2[SL Xuất KM]</f>
        <v>4</v>
      </c>
    </row>
    <row r="280" spans="1:17" x14ac:dyDescent="0.25">
      <c r="A280">
        <v>279</v>
      </c>
      <c r="B280" t="s">
        <v>753</v>
      </c>
      <c r="C280" t="s">
        <v>754</v>
      </c>
      <c r="D280" t="s">
        <v>88</v>
      </c>
      <c r="E280">
        <v>181200</v>
      </c>
      <c r="F280">
        <v>0</v>
      </c>
      <c r="G280">
        <v>4</v>
      </c>
      <c r="H280">
        <v>184000</v>
      </c>
      <c r="I280">
        <v>2800</v>
      </c>
      <c r="J280" s="1">
        <v>45206</v>
      </c>
      <c r="K280" t="s">
        <v>388</v>
      </c>
      <c r="L280">
        <v>10</v>
      </c>
      <c r="M280">
        <v>2023</v>
      </c>
      <c r="N280">
        <f t="shared" si="4"/>
        <v>-178400</v>
      </c>
      <c r="O280" s="19">
        <f>IF(Table1_2[Tiền Nhập]&lt;&gt;0, Table1_2[Lợi Nhuận Gộp]/Table1_2[Tiền Nhập], 0)</f>
        <v>-0.98454746136865345</v>
      </c>
      <c r="P280">
        <f>IF(Table1_2[SL Xuất]&gt;0, Table1_2[Tiền Xuất]/Table1_2[SL Xuất], 0)</f>
        <v>46000</v>
      </c>
      <c r="Q280">
        <f>Table1_2[SL Xuất] - Table1_2[SL Xuất KM]</f>
        <v>4</v>
      </c>
    </row>
    <row r="281" spans="1:17" x14ac:dyDescent="0.25">
      <c r="A281">
        <v>280</v>
      </c>
      <c r="B281" t="s">
        <v>757</v>
      </c>
      <c r="C281" t="s">
        <v>758</v>
      </c>
      <c r="D281" t="s">
        <v>88</v>
      </c>
      <c r="E281">
        <v>45300</v>
      </c>
      <c r="F281">
        <v>0</v>
      </c>
      <c r="G281">
        <v>1</v>
      </c>
      <c r="H281">
        <v>46000</v>
      </c>
      <c r="I281">
        <v>700</v>
      </c>
      <c r="J281" s="1">
        <v>45206</v>
      </c>
      <c r="K281" t="s">
        <v>388</v>
      </c>
      <c r="L281">
        <v>10</v>
      </c>
      <c r="M281">
        <v>2023</v>
      </c>
      <c r="N281">
        <f t="shared" si="4"/>
        <v>-44600</v>
      </c>
      <c r="O281" s="19">
        <f>IF(Table1_2[Tiền Nhập]&lt;&gt;0, Table1_2[Lợi Nhuận Gộp]/Table1_2[Tiền Nhập], 0)</f>
        <v>-0.98454746136865345</v>
      </c>
      <c r="P281">
        <f>IF(Table1_2[SL Xuất]&gt;0, Table1_2[Tiền Xuất]/Table1_2[SL Xuất], 0)</f>
        <v>46000</v>
      </c>
      <c r="Q281">
        <f>Table1_2[SL Xuất] - Table1_2[SL Xuất KM]</f>
        <v>1</v>
      </c>
    </row>
    <row r="282" spans="1:17" x14ac:dyDescent="0.25">
      <c r="A282">
        <v>281</v>
      </c>
      <c r="B282" t="s">
        <v>11</v>
      </c>
      <c r="C282" t="s">
        <v>12</v>
      </c>
      <c r="D282" t="s">
        <v>13</v>
      </c>
      <c r="E282">
        <v>345600</v>
      </c>
      <c r="F282">
        <v>4</v>
      </c>
      <c r="G282">
        <v>48</v>
      </c>
      <c r="H282">
        <v>536000</v>
      </c>
      <c r="I282">
        <v>190400</v>
      </c>
      <c r="J282" s="1">
        <v>45206</v>
      </c>
      <c r="K282" t="s">
        <v>66</v>
      </c>
      <c r="L282">
        <v>10</v>
      </c>
      <c r="M282">
        <v>2023</v>
      </c>
      <c r="N282">
        <f t="shared" si="4"/>
        <v>-155200</v>
      </c>
      <c r="O282" s="19">
        <f>IF(Table1_2[Tiền Nhập]&lt;&gt;0, Table1_2[Lợi Nhuận Gộp]/Table1_2[Tiền Nhập], 0)</f>
        <v>-0.44907407407407407</v>
      </c>
      <c r="P282">
        <f>IF(Table1_2[SL Xuất]&gt;0, Table1_2[Tiền Xuất]/Table1_2[SL Xuất], 0)</f>
        <v>11166.666666666666</v>
      </c>
      <c r="Q282">
        <f>Table1_2[SL Xuất] - Table1_2[SL Xuất KM]</f>
        <v>44</v>
      </c>
    </row>
    <row r="283" spans="1:17" x14ac:dyDescent="0.25">
      <c r="A283">
        <v>282</v>
      </c>
      <c r="B283" t="s">
        <v>11</v>
      </c>
      <c r="C283" t="s">
        <v>12</v>
      </c>
      <c r="D283" t="s">
        <v>13</v>
      </c>
      <c r="E283">
        <v>345600</v>
      </c>
      <c r="F283">
        <v>0</v>
      </c>
      <c r="G283">
        <v>48</v>
      </c>
      <c r="H283">
        <v>518400</v>
      </c>
      <c r="I283">
        <v>172800</v>
      </c>
      <c r="J283" s="1">
        <v>45206</v>
      </c>
      <c r="K283" t="s">
        <v>20</v>
      </c>
      <c r="L283">
        <v>10</v>
      </c>
      <c r="M283">
        <v>2023</v>
      </c>
      <c r="N283">
        <f t="shared" si="4"/>
        <v>-172800</v>
      </c>
      <c r="O283" s="19">
        <f>IF(Table1_2[Tiền Nhập]&lt;&gt;0, Table1_2[Lợi Nhuận Gộp]/Table1_2[Tiền Nhập], 0)</f>
        <v>-0.5</v>
      </c>
      <c r="P283">
        <f>IF(Table1_2[SL Xuất]&gt;0, Table1_2[Tiền Xuất]/Table1_2[SL Xuất], 0)</f>
        <v>10800</v>
      </c>
      <c r="Q283">
        <f>Table1_2[SL Xuất] - Table1_2[SL Xuất KM]</f>
        <v>48</v>
      </c>
    </row>
    <row r="284" spans="1:17" x14ac:dyDescent="0.25">
      <c r="A284">
        <v>283</v>
      </c>
      <c r="B284" t="s">
        <v>675</v>
      </c>
      <c r="C284" t="s">
        <v>676</v>
      </c>
      <c r="D284" t="s">
        <v>88</v>
      </c>
      <c r="E284">
        <v>199500</v>
      </c>
      <c r="F284">
        <v>2</v>
      </c>
      <c r="G284">
        <v>12</v>
      </c>
      <c r="H284">
        <v>288000</v>
      </c>
      <c r="I284">
        <v>88500</v>
      </c>
      <c r="J284" s="1">
        <v>45206</v>
      </c>
      <c r="K284" t="s">
        <v>200</v>
      </c>
      <c r="L284">
        <v>10</v>
      </c>
      <c r="M284">
        <v>2023</v>
      </c>
      <c r="N284">
        <f t="shared" si="4"/>
        <v>-111000</v>
      </c>
      <c r="O284" s="19">
        <f>IF(Table1_2[Tiền Nhập]&lt;&gt;0, Table1_2[Lợi Nhuận Gộp]/Table1_2[Tiền Nhập], 0)</f>
        <v>-0.55639097744360899</v>
      </c>
      <c r="P284">
        <f>IF(Table1_2[SL Xuất]&gt;0, Table1_2[Tiền Xuất]/Table1_2[SL Xuất], 0)</f>
        <v>24000</v>
      </c>
      <c r="Q284">
        <f>Table1_2[SL Xuất] - Table1_2[SL Xuất KM]</f>
        <v>10</v>
      </c>
    </row>
    <row r="285" spans="1:17" x14ac:dyDescent="0.25">
      <c r="A285">
        <v>284</v>
      </c>
      <c r="B285" t="s">
        <v>234</v>
      </c>
      <c r="C285" t="s">
        <v>235</v>
      </c>
      <c r="D285" t="s">
        <v>88</v>
      </c>
      <c r="E285">
        <v>194256</v>
      </c>
      <c r="F285">
        <v>2</v>
      </c>
      <c r="G285">
        <v>12</v>
      </c>
      <c r="H285">
        <v>240000</v>
      </c>
      <c r="I285">
        <v>45744</v>
      </c>
      <c r="J285" s="1">
        <v>45206</v>
      </c>
      <c r="K285" t="s">
        <v>200</v>
      </c>
      <c r="L285">
        <v>10</v>
      </c>
      <c r="M285">
        <v>2023</v>
      </c>
      <c r="N285">
        <f t="shared" si="4"/>
        <v>-148512</v>
      </c>
      <c r="O285" s="19">
        <f>IF(Table1_2[Tiền Nhập]&lt;&gt;0, Table1_2[Lợi Nhuận Gộp]/Table1_2[Tiền Nhập], 0)</f>
        <v>-0.76451692611811217</v>
      </c>
      <c r="P285">
        <f>IF(Table1_2[SL Xuất]&gt;0, Table1_2[Tiền Xuất]/Table1_2[SL Xuất], 0)</f>
        <v>20000</v>
      </c>
      <c r="Q285">
        <f>Table1_2[SL Xuất] - Table1_2[SL Xuất KM]</f>
        <v>10</v>
      </c>
    </row>
    <row r="286" spans="1:17" x14ac:dyDescent="0.25">
      <c r="A286">
        <v>285</v>
      </c>
      <c r="B286" t="s">
        <v>99</v>
      </c>
      <c r="C286" t="s">
        <v>100</v>
      </c>
      <c r="D286" t="s">
        <v>88</v>
      </c>
      <c r="E286">
        <v>231000</v>
      </c>
      <c r="F286">
        <v>2</v>
      </c>
      <c r="G286">
        <v>12</v>
      </c>
      <c r="H286">
        <v>288000</v>
      </c>
      <c r="I286">
        <v>57000</v>
      </c>
      <c r="J286" s="1">
        <v>45206</v>
      </c>
      <c r="K286" t="s">
        <v>200</v>
      </c>
      <c r="L286">
        <v>10</v>
      </c>
      <c r="M286">
        <v>2023</v>
      </c>
      <c r="N286">
        <f t="shared" si="4"/>
        <v>-174000</v>
      </c>
      <c r="O286" s="19">
        <f>IF(Table1_2[Tiền Nhập]&lt;&gt;0, Table1_2[Lợi Nhuận Gộp]/Table1_2[Tiền Nhập], 0)</f>
        <v>-0.75324675324675328</v>
      </c>
      <c r="P286">
        <f>IF(Table1_2[SL Xuất]&gt;0, Table1_2[Tiền Xuất]/Table1_2[SL Xuất], 0)</f>
        <v>24000</v>
      </c>
      <c r="Q286">
        <f>Table1_2[SL Xuất] - Table1_2[SL Xuất KM]</f>
        <v>10</v>
      </c>
    </row>
    <row r="287" spans="1:17" x14ac:dyDescent="0.25">
      <c r="A287">
        <v>286</v>
      </c>
      <c r="B287" t="s">
        <v>416</v>
      </c>
      <c r="C287" t="s">
        <v>417</v>
      </c>
      <c r="D287" t="s">
        <v>45</v>
      </c>
      <c r="E287">
        <v>180000</v>
      </c>
      <c r="F287">
        <v>0</v>
      </c>
      <c r="G287">
        <v>10</v>
      </c>
      <c r="H287">
        <v>220000</v>
      </c>
      <c r="I287">
        <v>40000</v>
      </c>
      <c r="J287" s="1">
        <v>45206</v>
      </c>
      <c r="K287" t="s">
        <v>420</v>
      </c>
      <c r="L287">
        <v>10</v>
      </c>
      <c r="M287">
        <v>2023</v>
      </c>
      <c r="N287">
        <f t="shared" si="4"/>
        <v>-140000</v>
      </c>
      <c r="O287" s="19">
        <f>IF(Table1_2[Tiền Nhập]&lt;&gt;0, Table1_2[Lợi Nhuận Gộp]/Table1_2[Tiền Nhập], 0)</f>
        <v>-0.77777777777777779</v>
      </c>
      <c r="P287">
        <f>IF(Table1_2[SL Xuất]&gt;0, Table1_2[Tiền Xuất]/Table1_2[SL Xuất], 0)</f>
        <v>22000</v>
      </c>
      <c r="Q287">
        <f>Table1_2[SL Xuất] - Table1_2[SL Xuất KM]</f>
        <v>10</v>
      </c>
    </row>
    <row r="288" spans="1:17" x14ac:dyDescent="0.25">
      <c r="A288">
        <v>287</v>
      </c>
      <c r="B288" t="s">
        <v>640</v>
      </c>
      <c r="C288" t="s">
        <v>641</v>
      </c>
      <c r="D288" t="s">
        <v>194</v>
      </c>
      <c r="E288">
        <v>148000</v>
      </c>
      <c r="F288">
        <v>0</v>
      </c>
      <c r="G288">
        <v>2</v>
      </c>
      <c r="H288">
        <v>270000</v>
      </c>
      <c r="I288">
        <v>122000</v>
      </c>
      <c r="J288" s="1">
        <v>45206</v>
      </c>
      <c r="K288" t="s">
        <v>420</v>
      </c>
      <c r="L288">
        <v>10</v>
      </c>
      <c r="M288">
        <v>2023</v>
      </c>
      <c r="N288">
        <f t="shared" si="4"/>
        <v>-26000</v>
      </c>
      <c r="O288" s="19">
        <f>IF(Table1_2[Tiền Nhập]&lt;&gt;0, Table1_2[Lợi Nhuận Gộp]/Table1_2[Tiền Nhập], 0)</f>
        <v>-0.17567567567567569</v>
      </c>
      <c r="P288">
        <f>IF(Table1_2[SL Xuất]&gt;0, Table1_2[Tiền Xuất]/Table1_2[SL Xuất], 0)</f>
        <v>135000</v>
      </c>
      <c r="Q288">
        <f>Table1_2[SL Xuất] - Table1_2[SL Xuất KM]</f>
        <v>2</v>
      </c>
    </row>
    <row r="289" spans="1:17" x14ac:dyDescent="0.25">
      <c r="A289">
        <v>288</v>
      </c>
      <c r="B289" t="s">
        <v>645</v>
      </c>
      <c r="C289" t="s">
        <v>646</v>
      </c>
      <c r="D289" t="s">
        <v>194</v>
      </c>
      <c r="E289">
        <v>148000</v>
      </c>
      <c r="F289">
        <v>1</v>
      </c>
      <c r="G289">
        <v>2</v>
      </c>
      <c r="H289">
        <v>162000</v>
      </c>
      <c r="I289">
        <v>14000</v>
      </c>
      <c r="J289" s="1">
        <v>45206</v>
      </c>
      <c r="K289" t="s">
        <v>420</v>
      </c>
      <c r="L289">
        <v>10</v>
      </c>
      <c r="M289">
        <v>2023</v>
      </c>
      <c r="N289">
        <f t="shared" si="4"/>
        <v>-134000</v>
      </c>
      <c r="O289" s="19">
        <f>IF(Table1_2[Tiền Nhập]&lt;&gt;0, Table1_2[Lợi Nhuận Gộp]/Table1_2[Tiền Nhập], 0)</f>
        <v>-0.90540540540540537</v>
      </c>
      <c r="P289">
        <f>IF(Table1_2[SL Xuất]&gt;0, Table1_2[Tiền Xuất]/Table1_2[SL Xuất], 0)</f>
        <v>81000</v>
      </c>
      <c r="Q289">
        <f>Table1_2[SL Xuất] - Table1_2[SL Xuất KM]</f>
        <v>1</v>
      </c>
    </row>
    <row r="290" spans="1:17" x14ac:dyDescent="0.25">
      <c r="A290">
        <v>289</v>
      </c>
      <c r="B290" t="s">
        <v>788</v>
      </c>
      <c r="C290" t="s">
        <v>789</v>
      </c>
      <c r="D290" t="s">
        <v>23</v>
      </c>
      <c r="E290">
        <v>0</v>
      </c>
      <c r="F290">
        <v>5</v>
      </c>
      <c r="G290">
        <v>0</v>
      </c>
      <c r="H290">
        <v>-55000</v>
      </c>
      <c r="I290">
        <v>-55000</v>
      </c>
      <c r="J290" s="1">
        <v>45206</v>
      </c>
      <c r="K290" t="s">
        <v>420</v>
      </c>
      <c r="L290">
        <v>10</v>
      </c>
      <c r="M290">
        <v>2023</v>
      </c>
      <c r="N290">
        <f t="shared" si="4"/>
        <v>-55000</v>
      </c>
      <c r="O290" s="19">
        <f>IF(Table1_2[Tiền Nhập]&lt;&gt;0, Table1_2[Lợi Nhuận Gộp]/Table1_2[Tiền Nhập], 0)</f>
        <v>0</v>
      </c>
      <c r="P290">
        <f>IF(Table1_2[SL Xuất]&gt;0, Table1_2[Tiền Xuất]/Table1_2[SL Xuất], 0)</f>
        <v>0</v>
      </c>
      <c r="Q290">
        <f>Table1_2[SL Xuất] - Table1_2[SL Xuất KM]</f>
        <v>-5</v>
      </c>
    </row>
    <row r="291" spans="1:17" x14ac:dyDescent="0.25">
      <c r="A291">
        <v>290</v>
      </c>
      <c r="B291" t="s">
        <v>28</v>
      </c>
      <c r="C291" t="s">
        <v>29</v>
      </c>
      <c r="D291" t="s">
        <v>30</v>
      </c>
      <c r="E291">
        <v>730000</v>
      </c>
      <c r="F291">
        <v>0</v>
      </c>
      <c r="G291">
        <v>8</v>
      </c>
      <c r="H291">
        <v>960000</v>
      </c>
      <c r="I291">
        <v>230000</v>
      </c>
      <c r="J291" s="1">
        <v>45206</v>
      </c>
      <c r="K291" t="s">
        <v>76</v>
      </c>
      <c r="L291">
        <v>10</v>
      </c>
      <c r="M291">
        <v>2023</v>
      </c>
      <c r="N291">
        <f t="shared" si="4"/>
        <v>-500000</v>
      </c>
      <c r="O291" s="19">
        <f>IF(Table1_2[Tiền Nhập]&lt;&gt;0, Table1_2[Lợi Nhuận Gộp]/Table1_2[Tiền Nhập], 0)</f>
        <v>-0.68493150684931503</v>
      </c>
      <c r="P291">
        <f>IF(Table1_2[SL Xuất]&gt;0, Table1_2[Tiền Xuất]/Table1_2[SL Xuất], 0)</f>
        <v>120000</v>
      </c>
      <c r="Q291">
        <f>Table1_2[SL Xuất] - Table1_2[SL Xuất KM]</f>
        <v>8</v>
      </c>
    </row>
    <row r="292" spans="1:17" x14ac:dyDescent="0.25">
      <c r="A292">
        <v>291</v>
      </c>
      <c r="B292" t="s">
        <v>793</v>
      </c>
      <c r="C292" t="s">
        <v>794</v>
      </c>
      <c r="D292" t="s">
        <v>13</v>
      </c>
      <c r="E292">
        <v>480000</v>
      </c>
      <c r="F292">
        <v>2</v>
      </c>
      <c r="G292">
        <v>10</v>
      </c>
      <c r="H292">
        <v>434000</v>
      </c>
      <c r="I292">
        <v>-46000</v>
      </c>
      <c r="J292" s="1">
        <v>45206</v>
      </c>
      <c r="K292" t="s">
        <v>797</v>
      </c>
      <c r="L292">
        <v>10</v>
      </c>
      <c r="M292">
        <v>2023</v>
      </c>
      <c r="N292">
        <f t="shared" si="4"/>
        <v>-526000</v>
      </c>
      <c r="O292" s="19">
        <f>IF(Table1_2[Tiền Nhập]&lt;&gt;0, Table1_2[Lợi Nhuận Gộp]/Table1_2[Tiền Nhập], 0)</f>
        <v>-1.0958333333333334</v>
      </c>
      <c r="P292">
        <f>IF(Table1_2[SL Xuất]&gt;0, Table1_2[Tiền Xuất]/Table1_2[SL Xuất], 0)</f>
        <v>43400</v>
      </c>
      <c r="Q292">
        <f>Table1_2[SL Xuất] - Table1_2[SL Xuất KM]</f>
        <v>8</v>
      </c>
    </row>
    <row r="293" spans="1:17" x14ac:dyDescent="0.25">
      <c r="A293">
        <v>292</v>
      </c>
      <c r="B293" t="s">
        <v>213</v>
      </c>
      <c r="C293" t="s">
        <v>214</v>
      </c>
      <c r="D293" t="s">
        <v>45</v>
      </c>
      <c r="E293">
        <v>580000</v>
      </c>
      <c r="F293">
        <v>2</v>
      </c>
      <c r="G293">
        <v>20</v>
      </c>
      <c r="H293">
        <v>709000</v>
      </c>
      <c r="I293">
        <v>129000</v>
      </c>
      <c r="J293" s="1">
        <v>45206</v>
      </c>
      <c r="K293" t="s">
        <v>206</v>
      </c>
      <c r="L293">
        <v>10</v>
      </c>
      <c r="M293">
        <v>2023</v>
      </c>
      <c r="N293">
        <f t="shared" si="4"/>
        <v>-451000</v>
      </c>
      <c r="O293" s="19">
        <f>IF(Table1_2[Tiền Nhập]&lt;&gt;0, Table1_2[Lợi Nhuận Gộp]/Table1_2[Tiền Nhập], 0)</f>
        <v>-0.77758620689655178</v>
      </c>
      <c r="P293">
        <f>IF(Table1_2[SL Xuất]&gt;0, Table1_2[Tiền Xuất]/Table1_2[SL Xuất], 0)</f>
        <v>35450</v>
      </c>
      <c r="Q293">
        <f>Table1_2[SL Xuất] - Table1_2[SL Xuất KM]</f>
        <v>18</v>
      </c>
    </row>
    <row r="294" spans="1:17" x14ac:dyDescent="0.25">
      <c r="A294">
        <v>293</v>
      </c>
      <c r="B294" t="s">
        <v>138</v>
      </c>
      <c r="C294" t="s">
        <v>139</v>
      </c>
      <c r="D294" t="s">
        <v>30</v>
      </c>
      <c r="E294">
        <v>340000</v>
      </c>
      <c r="F294">
        <v>0</v>
      </c>
      <c r="G294">
        <v>4</v>
      </c>
      <c r="H294">
        <v>520000</v>
      </c>
      <c r="I294">
        <v>180000</v>
      </c>
      <c r="J294" s="1">
        <v>45206</v>
      </c>
      <c r="K294" t="s">
        <v>110</v>
      </c>
      <c r="L294">
        <v>10</v>
      </c>
      <c r="M294">
        <v>2023</v>
      </c>
      <c r="N294">
        <f t="shared" si="4"/>
        <v>-160000</v>
      </c>
      <c r="O294" s="19">
        <f>IF(Table1_2[Tiền Nhập]&lt;&gt;0, Table1_2[Lợi Nhuận Gộp]/Table1_2[Tiền Nhập], 0)</f>
        <v>-0.47058823529411764</v>
      </c>
      <c r="P294">
        <f>IF(Table1_2[SL Xuất]&gt;0, Table1_2[Tiền Xuất]/Table1_2[SL Xuất], 0)</f>
        <v>130000</v>
      </c>
      <c r="Q294">
        <f>Table1_2[SL Xuất] - Table1_2[SL Xuất KM]</f>
        <v>4</v>
      </c>
    </row>
    <row r="295" spans="1:17" x14ac:dyDescent="0.25">
      <c r="A295">
        <v>294</v>
      </c>
      <c r="B295" t="s">
        <v>572</v>
      </c>
      <c r="C295" t="s">
        <v>573</v>
      </c>
      <c r="D295" t="s">
        <v>45</v>
      </c>
      <c r="E295">
        <v>144000</v>
      </c>
      <c r="F295">
        <v>0</v>
      </c>
      <c r="G295">
        <v>30</v>
      </c>
      <c r="H295">
        <v>210000</v>
      </c>
      <c r="I295">
        <v>66000</v>
      </c>
      <c r="J295" s="1">
        <v>45206</v>
      </c>
      <c r="K295" t="s">
        <v>801</v>
      </c>
      <c r="L295">
        <v>10</v>
      </c>
      <c r="M295">
        <v>2023</v>
      </c>
      <c r="N295">
        <f t="shared" si="4"/>
        <v>-78000</v>
      </c>
      <c r="O295" s="19">
        <f>IF(Table1_2[Tiền Nhập]&lt;&gt;0, Table1_2[Lợi Nhuận Gộp]/Table1_2[Tiền Nhập], 0)</f>
        <v>-0.54166666666666663</v>
      </c>
      <c r="P295">
        <f>IF(Table1_2[SL Xuất]&gt;0, Table1_2[Tiền Xuất]/Table1_2[SL Xuất], 0)</f>
        <v>7000</v>
      </c>
      <c r="Q295">
        <f>Table1_2[SL Xuất] - Table1_2[SL Xuất KM]</f>
        <v>30</v>
      </c>
    </row>
    <row r="296" spans="1:17" x14ac:dyDescent="0.25">
      <c r="A296">
        <v>295</v>
      </c>
      <c r="B296" t="s">
        <v>484</v>
      </c>
      <c r="C296" t="s">
        <v>485</v>
      </c>
      <c r="D296" t="s">
        <v>13</v>
      </c>
      <c r="E296">
        <v>222000</v>
      </c>
      <c r="F296">
        <v>3</v>
      </c>
      <c r="G296">
        <v>12</v>
      </c>
      <c r="H296">
        <v>288000</v>
      </c>
      <c r="I296">
        <v>66000</v>
      </c>
      <c r="J296" s="1">
        <v>45206</v>
      </c>
      <c r="K296" t="s">
        <v>801</v>
      </c>
      <c r="L296">
        <v>10</v>
      </c>
      <c r="M296">
        <v>2023</v>
      </c>
      <c r="N296">
        <f t="shared" si="4"/>
        <v>-156000</v>
      </c>
      <c r="O296" s="19">
        <f>IF(Table1_2[Tiền Nhập]&lt;&gt;0, Table1_2[Lợi Nhuận Gộp]/Table1_2[Tiền Nhập], 0)</f>
        <v>-0.70270270270270274</v>
      </c>
      <c r="P296">
        <f>IF(Table1_2[SL Xuất]&gt;0, Table1_2[Tiền Xuất]/Table1_2[SL Xuất], 0)</f>
        <v>24000</v>
      </c>
      <c r="Q296">
        <f>Table1_2[SL Xuất] - Table1_2[SL Xuất KM]</f>
        <v>9</v>
      </c>
    </row>
    <row r="297" spans="1:17" x14ac:dyDescent="0.25">
      <c r="A297">
        <v>296</v>
      </c>
      <c r="B297" t="s">
        <v>803</v>
      </c>
      <c r="C297" t="s">
        <v>804</v>
      </c>
      <c r="D297" t="s">
        <v>45</v>
      </c>
      <c r="E297">
        <v>48000</v>
      </c>
      <c r="F297">
        <v>0</v>
      </c>
      <c r="G297">
        <v>6</v>
      </c>
      <c r="H297">
        <v>51000</v>
      </c>
      <c r="I297">
        <v>3000</v>
      </c>
      <c r="J297" s="1">
        <v>45206</v>
      </c>
      <c r="K297" t="s">
        <v>483</v>
      </c>
      <c r="L297">
        <v>10</v>
      </c>
      <c r="M297">
        <v>2023</v>
      </c>
      <c r="N297">
        <f t="shared" si="4"/>
        <v>-45000</v>
      </c>
      <c r="O297" s="19">
        <f>IF(Table1_2[Tiền Nhập]&lt;&gt;0, Table1_2[Lợi Nhuận Gộp]/Table1_2[Tiền Nhập], 0)</f>
        <v>-0.9375</v>
      </c>
      <c r="P297">
        <f>IF(Table1_2[SL Xuất]&gt;0, Table1_2[Tiền Xuất]/Table1_2[SL Xuất], 0)</f>
        <v>8500</v>
      </c>
      <c r="Q297">
        <f>Table1_2[SL Xuất] - Table1_2[SL Xuất KM]</f>
        <v>6</v>
      </c>
    </row>
    <row r="298" spans="1:17" x14ac:dyDescent="0.25">
      <c r="A298">
        <v>297</v>
      </c>
      <c r="B298" t="s">
        <v>94</v>
      </c>
      <c r="C298" t="s">
        <v>95</v>
      </c>
      <c r="D298" t="s">
        <v>45</v>
      </c>
      <c r="E298">
        <v>0</v>
      </c>
      <c r="F298">
        <v>0</v>
      </c>
      <c r="G298">
        <v>0</v>
      </c>
      <c r="H298">
        <v>0</v>
      </c>
      <c r="I298">
        <v>0</v>
      </c>
      <c r="J298" s="1">
        <v>45206</v>
      </c>
      <c r="K298" t="s">
        <v>483</v>
      </c>
      <c r="L298">
        <v>10</v>
      </c>
      <c r="M298">
        <v>2023</v>
      </c>
      <c r="N298">
        <f t="shared" si="4"/>
        <v>0</v>
      </c>
      <c r="O298" s="19">
        <f>IF(Table1_2[Tiền Nhập]&lt;&gt;0, Table1_2[Lợi Nhuận Gộp]/Table1_2[Tiền Nhập], 0)</f>
        <v>0</v>
      </c>
      <c r="P298">
        <f>IF(Table1_2[SL Xuất]&gt;0, Table1_2[Tiền Xuất]/Table1_2[SL Xuất], 0)</f>
        <v>0</v>
      </c>
      <c r="Q298">
        <f>Table1_2[SL Xuất] - Table1_2[SL Xuất KM]</f>
        <v>0</v>
      </c>
    </row>
    <row r="299" spans="1:17" x14ac:dyDescent="0.25">
      <c r="A299">
        <v>298</v>
      </c>
      <c r="B299" t="s">
        <v>764</v>
      </c>
      <c r="C299" t="s">
        <v>765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 s="1">
        <v>45206</v>
      </c>
      <c r="K299" t="s">
        <v>483</v>
      </c>
      <c r="L299">
        <v>10</v>
      </c>
      <c r="M299">
        <v>2023</v>
      </c>
      <c r="N299">
        <f t="shared" si="4"/>
        <v>0</v>
      </c>
      <c r="O299" s="19">
        <f>IF(Table1_2[Tiền Nhập]&lt;&gt;0, Table1_2[Lợi Nhuận Gộp]/Table1_2[Tiền Nhập], 0)</f>
        <v>0</v>
      </c>
      <c r="P299">
        <f>IF(Table1_2[SL Xuất]&gt;0, Table1_2[Tiền Xuất]/Table1_2[SL Xuất], 0)</f>
        <v>0</v>
      </c>
      <c r="Q299">
        <f>Table1_2[SL Xuất] - Table1_2[SL Xuất KM]</f>
        <v>0</v>
      </c>
    </row>
    <row r="300" spans="1:17" x14ac:dyDescent="0.25">
      <c r="A300">
        <v>299</v>
      </c>
      <c r="B300" t="s">
        <v>269</v>
      </c>
      <c r="C300" t="s">
        <v>270</v>
      </c>
      <c r="D300" t="s">
        <v>13</v>
      </c>
      <c r="E300">
        <v>40000</v>
      </c>
      <c r="F300">
        <v>0</v>
      </c>
      <c r="G300">
        <v>10</v>
      </c>
      <c r="H300">
        <v>70000</v>
      </c>
      <c r="I300">
        <v>30000</v>
      </c>
      <c r="J300" s="1">
        <v>45206</v>
      </c>
      <c r="K300" t="s">
        <v>483</v>
      </c>
      <c r="L300">
        <v>10</v>
      </c>
      <c r="M300">
        <v>2023</v>
      </c>
      <c r="N300">
        <f t="shared" si="4"/>
        <v>-10000</v>
      </c>
      <c r="O300" s="19">
        <f>IF(Table1_2[Tiền Nhập]&lt;&gt;0, Table1_2[Lợi Nhuận Gộp]/Table1_2[Tiền Nhập], 0)</f>
        <v>-0.25</v>
      </c>
      <c r="P300">
        <f>IF(Table1_2[SL Xuất]&gt;0, Table1_2[Tiền Xuất]/Table1_2[SL Xuất], 0)</f>
        <v>7000</v>
      </c>
      <c r="Q300">
        <f>Table1_2[SL Xuất] - Table1_2[SL Xuất KM]</f>
        <v>10</v>
      </c>
    </row>
    <row r="301" spans="1:17" x14ac:dyDescent="0.25">
      <c r="A301">
        <v>300</v>
      </c>
      <c r="B301" t="s">
        <v>805</v>
      </c>
      <c r="C301" t="s">
        <v>806</v>
      </c>
      <c r="D301" t="s">
        <v>45</v>
      </c>
      <c r="E301">
        <v>120000</v>
      </c>
      <c r="F301">
        <v>0</v>
      </c>
      <c r="G301">
        <v>12</v>
      </c>
      <c r="H301">
        <v>168000</v>
      </c>
      <c r="I301">
        <v>48000</v>
      </c>
      <c r="J301" s="1">
        <v>45206</v>
      </c>
      <c r="K301" t="s">
        <v>119</v>
      </c>
      <c r="L301">
        <v>10</v>
      </c>
      <c r="M301">
        <v>2023</v>
      </c>
      <c r="N301">
        <f t="shared" si="4"/>
        <v>-72000</v>
      </c>
      <c r="O301" s="19">
        <f>IF(Table1_2[Tiền Nhập]&lt;&gt;0, Table1_2[Lợi Nhuận Gộp]/Table1_2[Tiền Nhập], 0)</f>
        <v>-0.6</v>
      </c>
      <c r="P301">
        <f>IF(Table1_2[SL Xuất]&gt;0, Table1_2[Tiền Xuất]/Table1_2[SL Xuất], 0)</f>
        <v>14000</v>
      </c>
      <c r="Q301">
        <f>Table1_2[SL Xuất] - Table1_2[SL Xuất KM]</f>
        <v>12</v>
      </c>
    </row>
    <row r="302" spans="1:17" x14ac:dyDescent="0.25">
      <c r="A302">
        <v>301</v>
      </c>
      <c r="B302" t="s">
        <v>717</v>
      </c>
      <c r="C302" t="s">
        <v>718</v>
      </c>
      <c r="D302" t="s">
        <v>88</v>
      </c>
      <c r="E302">
        <v>362400</v>
      </c>
      <c r="F302">
        <v>3</v>
      </c>
      <c r="G302">
        <v>8</v>
      </c>
      <c r="H302">
        <v>400000</v>
      </c>
      <c r="I302">
        <v>37600</v>
      </c>
      <c r="J302" s="1">
        <v>45206</v>
      </c>
      <c r="K302" t="s">
        <v>119</v>
      </c>
      <c r="L302">
        <v>10</v>
      </c>
      <c r="M302">
        <v>2023</v>
      </c>
      <c r="N302">
        <f t="shared" si="4"/>
        <v>-324800</v>
      </c>
      <c r="O302" s="19">
        <f>IF(Table1_2[Tiền Nhập]&lt;&gt;0, Table1_2[Lợi Nhuận Gộp]/Table1_2[Tiền Nhập], 0)</f>
        <v>-0.89624724061810157</v>
      </c>
      <c r="P302">
        <f>IF(Table1_2[SL Xuất]&gt;0, Table1_2[Tiền Xuất]/Table1_2[SL Xuất], 0)</f>
        <v>50000</v>
      </c>
      <c r="Q302">
        <f>Table1_2[SL Xuất] - Table1_2[SL Xuất KM]</f>
        <v>5</v>
      </c>
    </row>
    <row r="303" spans="1:17" x14ac:dyDescent="0.25">
      <c r="A303">
        <v>302</v>
      </c>
      <c r="B303" t="s">
        <v>753</v>
      </c>
      <c r="C303" t="s">
        <v>754</v>
      </c>
      <c r="D303" t="s">
        <v>88</v>
      </c>
      <c r="E303">
        <v>362400</v>
      </c>
      <c r="F303">
        <v>0</v>
      </c>
      <c r="G303">
        <v>8</v>
      </c>
      <c r="H303">
        <v>267000</v>
      </c>
      <c r="I303">
        <v>-95400</v>
      </c>
      <c r="J303" s="1">
        <v>45206</v>
      </c>
      <c r="K303" t="s">
        <v>119</v>
      </c>
      <c r="L303">
        <v>10</v>
      </c>
      <c r="M303">
        <v>2023</v>
      </c>
      <c r="N303">
        <f t="shared" si="4"/>
        <v>-457800</v>
      </c>
      <c r="O303" s="19">
        <f>IF(Table1_2[Tiền Nhập]&lt;&gt;0, Table1_2[Lợi Nhuận Gộp]/Table1_2[Tiền Nhập], 0)</f>
        <v>-1.2632450331125828</v>
      </c>
      <c r="P303">
        <f>IF(Table1_2[SL Xuất]&gt;0, Table1_2[Tiền Xuất]/Table1_2[SL Xuất], 0)</f>
        <v>33375</v>
      </c>
      <c r="Q303">
        <f>Table1_2[SL Xuất] - Table1_2[SL Xuất KM]</f>
        <v>8</v>
      </c>
    </row>
    <row r="304" spans="1:17" x14ac:dyDescent="0.25">
      <c r="A304">
        <v>303</v>
      </c>
      <c r="B304" t="s">
        <v>757</v>
      </c>
      <c r="C304" t="s">
        <v>758</v>
      </c>
      <c r="D304" t="s">
        <v>88</v>
      </c>
      <c r="E304">
        <v>362400</v>
      </c>
      <c r="F304">
        <v>0</v>
      </c>
      <c r="G304">
        <v>8</v>
      </c>
      <c r="H304">
        <v>400000</v>
      </c>
      <c r="I304">
        <v>37600</v>
      </c>
      <c r="J304" s="1">
        <v>45206</v>
      </c>
      <c r="K304" t="s">
        <v>119</v>
      </c>
      <c r="L304">
        <v>10</v>
      </c>
      <c r="M304">
        <v>2023</v>
      </c>
      <c r="N304">
        <f t="shared" si="4"/>
        <v>-324800</v>
      </c>
      <c r="O304" s="19">
        <f>IF(Table1_2[Tiền Nhập]&lt;&gt;0, Table1_2[Lợi Nhuận Gộp]/Table1_2[Tiền Nhập], 0)</f>
        <v>-0.89624724061810157</v>
      </c>
      <c r="P304">
        <f>IF(Table1_2[SL Xuất]&gt;0, Table1_2[Tiền Xuất]/Table1_2[SL Xuất], 0)</f>
        <v>50000</v>
      </c>
      <c r="Q304">
        <f>Table1_2[SL Xuất] - Table1_2[SL Xuất KM]</f>
        <v>8</v>
      </c>
    </row>
    <row r="305" spans="1:17" x14ac:dyDescent="0.25">
      <c r="A305">
        <v>304</v>
      </c>
      <c r="B305" t="s">
        <v>811</v>
      </c>
      <c r="C305" t="s">
        <v>812</v>
      </c>
      <c r="D305" t="s">
        <v>468</v>
      </c>
      <c r="E305">
        <v>279996</v>
      </c>
      <c r="F305">
        <v>2</v>
      </c>
      <c r="G305">
        <v>12</v>
      </c>
      <c r="H305">
        <v>288000</v>
      </c>
      <c r="I305">
        <v>8004</v>
      </c>
      <c r="J305" s="1">
        <v>45206</v>
      </c>
      <c r="K305" t="s">
        <v>119</v>
      </c>
      <c r="L305">
        <v>10</v>
      </c>
      <c r="M305">
        <v>2023</v>
      </c>
      <c r="N305">
        <f t="shared" si="4"/>
        <v>-271992</v>
      </c>
      <c r="O305" s="19">
        <f>IF(Table1_2[Tiền Nhập]&lt;&gt;0, Table1_2[Lợi Nhuận Gộp]/Table1_2[Tiền Nhập], 0)</f>
        <v>-0.97141387734110485</v>
      </c>
      <c r="P305">
        <f>IF(Table1_2[SL Xuất]&gt;0, Table1_2[Tiền Xuất]/Table1_2[SL Xuất], 0)</f>
        <v>24000</v>
      </c>
      <c r="Q305">
        <f>Table1_2[SL Xuất] - Table1_2[SL Xuất KM]</f>
        <v>10</v>
      </c>
    </row>
    <row r="306" spans="1:17" x14ac:dyDescent="0.25">
      <c r="A306">
        <v>305</v>
      </c>
      <c r="B306" t="s">
        <v>116</v>
      </c>
      <c r="C306" t="s">
        <v>117</v>
      </c>
      <c r="D306" t="s">
        <v>13</v>
      </c>
      <c r="E306">
        <v>1069200</v>
      </c>
      <c r="F306">
        <v>3</v>
      </c>
      <c r="G306">
        <v>27</v>
      </c>
      <c r="H306">
        <v>1070000</v>
      </c>
      <c r="I306">
        <v>800</v>
      </c>
      <c r="J306" s="1">
        <v>45206</v>
      </c>
      <c r="K306" t="s">
        <v>119</v>
      </c>
      <c r="L306">
        <v>10</v>
      </c>
      <c r="M306">
        <v>2023</v>
      </c>
      <c r="N306">
        <f t="shared" si="4"/>
        <v>-1068400</v>
      </c>
      <c r="O306" s="19">
        <f>IF(Table1_2[Tiền Nhập]&lt;&gt;0, Table1_2[Lợi Nhuận Gộp]/Table1_2[Tiền Nhập], 0)</f>
        <v>-0.99925177702955481</v>
      </c>
      <c r="P306">
        <f>IF(Table1_2[SL Xuất]&gt;0, Table1_2[Tiền Xuất]/Table1_2[SL Xuất], 0)</f>
        <v>39629.629629629628</v>
      </c>
      <c r="Q306">
        <f>Table1_2[SL Xuất] - Table1_2[SL Xuất KM]</f>
        <v>24</v>
      </c>
    </row>
    <row r="307" spans="1:17" x14ac:dyDescent="0.25">
      <c r="A307">
        <v>306</v>
      </c>
      <c r="B307" t="s">
        <v>269</v>
      </c>
      <c r="C307" t="s">
        <v>270</v>
      </c>
      <c r="D307" t="s">
        <v>13</v>
      </c>
      <c r="E307">
        <v>0</v>
      </c>
      <c r="F307">
        <v>0</v>
      </c>
      <c r="G307">
        <v>0</v>
      </c>
      <c r="H307">
        <v>0</v>
      </c>
      <c r="I307">
        <v>0</v>
      </c>
      <c r="J307" s="1">
        <v>45206</v>
      </c>
      <c r="K307" t="s">
        <v>818</v>
      </c>
      <c r="L307">
        <v>10</v>
      </c>
      <c r="M307">
        <v>2023</v>
      </c>
      <c r="N307">
        <f t="shared" si="4"/>
        <v>0</v>
      </c>
      <c r="O307" s="19">
        <f>IF(Table1_2[Tiền Nhập]&lt;&gt;0, Table1_2[Lợi Nhuận Gộp]/Table1_2[Tiền Nhập], 0)</f>
        <v>0</v>
      </c>
      <c r="P307">
        <f>IF(Table1_2[SL Xuất]&gt;0, Table1_2[Tiền Xuất]/Table1_2[SL Xuất], 0)</f>
        <v>0</v>
      </c>
      <c r="Q307">
        <f>Table1_2[SL Xuất] - Table1_2[SL Xuất KM]</f>
        <v>0</v>
      </c>
    </row>
    <row r="308" spans="1:17" x14ac:dyDescent="0.25">
      <c r="A308">
        <v>307</v>
      </c>
      <c r="B308" t="s">
        <v>67</v>
      </c>
      <c r="C308" t="s">
        <v>68</v>
      </c>
      <c r="D308" t="s">
        <v>13</v>
      </c>
      <c r="E308">
        <v>0</v>
      </c>
      <c r="F308">
        <v>0</v>
      </c>
      <c r="G308">
        <v>0</v>
      </c>
      <c r="H308">
        <v>0</v>
      </c>
      <c r="I308">
        <v>0</v>
      </c>
      <c r="J308" s="1">
        <v>45206</v>
      </c>
      <c r="K308" t="s">
        <v>818</v>
      </c>
      <c r="L308">
        <v>10</v>
      </c>
      <c r="M308">
        <v>2023</v>
      </c>
      <c r="N308">
        <f t="shared" si="4"/>
        <v>0</v>
      </c>
      <c r="O308" s="19">
        <f>IF(Table1_2[Tiền Nhập]&lt;&gt;0, Table1_2[Lợi Nhuận Gộp]/Table1_2[Tiền Nhập], 0)</f>
        <v>0</v>
      </c>
      <c r="P308">
        <f>IF(Table1_2[SL Xuất]&gt;0, Table1_2[Tiền Xuất]/Table1_2[SL Xuất], 0)</f>
        <v>0</v>
      </c>
      <c r="Q308">
        <f>Table1_2[SL Xuất] - Table1_2[SL Xuất KM]</f>
        <v>0</v>
      </c>
    </row>
    <row r="309" spans="1:17" x14ac:dyDescent="0.25">
      <c r="A309">
        <v>308</v>
      </c>
      <c r="B309" t="s">
        <v>259</v>
      </c>
      <c r="C309" t="s">
        <v>260</v>
      </c>
      <c r="D309" t="s">
        <v>88</v>
      </c>
      <c r="E309">
        <v>300000</v>
      </c>
      <c r="F309">
        <v>3</v>
      </c>
      <c r="G309">
        <v>3</v>
      </c>
      <c r="H309">
        <v>327000</v>
      </c>
      <c r="I309">
        <v>27000</v>
      </c>
      <c r="J309" s="1">
        <v>45206</v>
      </c>
      <c r="K309" t="s">
        <v>821</v>
      </c>
      <c r="L309">
        <v>10</v>
      </c>
      <c r="M309">
        <v>2023</v>
      </c>
      <c r="N309">
        <f t="shared" si="4"/>
        <v>-273000</v>
      </c>
      <c r="O309" s="19">
        <f>IF(Table1_2[Tiền Nhập]&lt;&gt;0, Table1_2[Lợi Nhuận Gộp]/Table1_2[Tiền Nhập], 0)</f>
        <v>-0.91</v>
      </c>
      <c r="P309">
        <f>IF(Table1_2[SL Xuất]&gt;0, Table1_2[Tiền Xuất]/Table1_2[SL Xuất], 0)</f>
        <v>109000</v>
      </c>
      <c r="Q309">
        <f>Table1_2[SL Xuất] - Table1_2[SL Xuất KM]</f>
        <v>0</v>
      </c>
    </row>
    <row r="310" spans="1:17" x14ac:dyDescent="0.25">
      <c r="A310">
        <v>309</v>
      </c>
      <c r="B310" t="s">
        <v>273</v>
      </c>
      <c r="C310" t="s">
        <v>274</v>
      </c>
      <c r="D310" t="s">
        <v>13</v>
      </c>
      <c r="E310">
        <v>270000</v>
      </c>
      <c r="F310">
        <v>0</v>
      </c>
      <c r="G310">
        <v>40</v>
      </c>
      <c r="H310">
        <v>320000</v>
      </c>
      <c r="I310">
        <v>50000</v>
      </c>
      <c r="J310" s="1">
        <v>45206</v>
      </c>
      <c r="K310" t="s">
        <v>823</v>
      </c>
      <c r="L310">
        <v>10</v>
      </c>
      <c r="M310">
        <v>2023</v>
      </c>
      <c r="N310">
        <f t="shared" si="4"/>
        <v>-220000</v>
      </c>
      <c r="O310" s="19">
        <f>IF(Table1_2[Tiền Nhập]&lt;&gt;0, Table1_2[Lợi Nhuận Gộp]/Table1_2[Tiền Nhập], 0)</f>
        <v>-0.81481481481481477</v>
      </c>
      <c r="P310">
        <f>IF(Table1_2[SL Xuất]&gt;0, Table1_2[Tiền Xuất]/Table1_2[SL Xuất], 0)</f>
        <v>8000</v>
      </c>
      <c r="Q310">
        <f>Table1_2[SL Xuất] - Table1_2[SL Xuất KM]</f>
        <v>40</v>
      </c>
    </row>
    <row r="311" spans="1:17" x14ac:dyDescent="0.25">
      <c r="A311">
        <v>310</v>
      </c>
      <c r="B311" t="s">
        <v>738</v>
      </c>
      <c r="C311" t="s">
        <v>739</v>
      </c>
      <c r="D311" t="s">
        <v>13</v>
      </c>
      <c r="E311">
        <v>1835160</v>
      </c>
      <c r="F311">
        <v>5</v>
      </c>
      <c r="G311">
        <v>40</v>
      </c>
      <c r="H311">
        <v>1849000</v>
      </c>
      <c r="I311">
        <v>13840</v>
      </c>
      <c r="J311" s="1">
        <v>45212</v>
      </c>
      <c r="K311" t="s">
        <v>828</v>
      </c>
      <c r="L311">
        <v>10</v>
      </c>
      <c r="M311">
        <v>2023</v>
      </c>
      <c r="N311">
        <f t="shared" si="4"/>
        <v>-1821320</v>
      </c>
      <c r="O311" s="19">
        <f>IF(Table1_2[Tiền Nhập]&lt;&gt;0, Table1_2[Lợi Nhuận Gộp]/Table1_2[Tiền Nhập], 0)</f>
        <v>-0.99245842324374989</v>
      </c>
      <c r="P311">
        <f>IF(Table1_2[SL Xuất]&gt;0, Table1_2[Tiền Xuất]/Table1_2[SL Xuất], 0)</f>
        <v>46225</v>
      </c>
      <c r="Q311">
        <f>Table1_2[SL Xuất] - Table1_2[SL Xuất KM]</f>
        <v>35</v>
      </c>
    </row>
    <row r="312" spans="1:17" x14ac:dyDescent="0.25">
      <c r="A312">
        <v>311</v>
      </c>
      <c r="B312" t="s">
        <v>829</v>
      </c>
      <c r="C312" t="s">
        <v>830</v>
      </c>
      <c r="D312" t="s">
        <v>88</v>
      </c>
      <c r="E312">
        <v>633600</v>
      </c>
      <c r="F312">
        <v>0</v>
      </c>
      <c r="G312">
        <v>12</v>
      </c>
      <c r="H312">
        <v>720000</v>
      </c>
      <c r="I312">
        <v>86400</v>
      </c>
      <c r="J312" s="1">
        <v>45212</v>
      </c>
      <c r="K312" t="s">
        <v>834</v>
      </c>
      <c r="L312">
        <v>10</v>
      </c>
      <c r="M312">
        <v>2023</v>
      </c>
      <c r="N312">
        <f t="shared" si="4"/>
        <v>-547200</v>
      </c>
      <c r="O312" s="19">
        <f>IF(Table1_2[Tiền Nhập]&lt;&gt;0, Table1_2[Lợi Nhuận Gộp]/Table1_2[Tiền Nhập], 0)</f>
        <v>-0.86363636363636365</v>
      </c>
      <c r="P312">
        <f>IF(Table1_2[SL Xuất]&gt;0, Table1_2[Tiền Xuất]/Table1_2[SL Xuất], 0)</f>
        <v>60000</v>
      </c>
      <c r="Q312">
        <f>Table1_2[SL Xuất] - Table1_2[SL Xuất KM]</f>
        <v>12</v>
      </c>
    </row>
    <row r="313" spans="1:17" x14ac:dyDescent="0.25">
      <c r="A313">
        <v>312</v>
      </c>
      <c r="B313" t="s">
        <v>835</v>
      </c>
      <c r="C313" t="s">
        <v>836</v>
      </c>
      <c r="D313" t="s">
        <v>88</v>
      </c>
      <c r="E313">
        <v>633600</v>
      </c>
      <c r="F313">
        <v>3</v>
      </c>
      <c r="G313">
        <v>12</v>
      </c>
      <c r="H313">
        <v>560000</v>
      </c>
      <c r="I313">
        <v>-73600</v>
      </c>
      <c r="J313" s="1">
        <v>45212</v>
      </c>
      <c r="K313" t="s">
        <v>834</v>
      </c>
      <c r="L313">
        <v>10</v>
      </c>
      <c r="M313">
        <v>2023</v>
      </c>
      <c r="N313">
        <f t="shared" si="4"/>
        <v>-707200</v>
      </c>
      <c r="O313" s="19">
        <f>IF(Table1_2[Tiền Nhập]&lt;&gt;0, Table1_2[Lợi Nhuận Gộp]/Table1_2[Tiền Nhập], 0)</f>
        <v>-1.1161616161616161</v>
      </c>
      <c r="P313">
        <f>IF(Table1_2[SL Xuất]&gt;0, Table1_2[Tiền Xuất]/Table1_2[SL Xuất], 0)</f>
        <v>46666.666666666664</v>
      </c>
      <c r="Q313">
        <f>Table1_2[SL Xuất] - Table1_2[SL Xuất KM]</f>
        <v>9</v>
      </c>
    </row>
    <row r="314" spans="1:17" x14ac:dyDescent="0.25">
      <c r="A314">
        <v>313</v>
      </c>
      <c r="B314" t="s">
        <v>717</v>
      </c>
      <c r="C314" t="s">
        <v>718</v>
      </c>
      <c r="D314" t="s">
        <v>88</v>
      </c>
      <c r="E314">
        <v>362400</v>
      </c>
      <c r="F314">
        <v>3</v>
      </c>
      <c r="G314">
        <v>8</v>
      </c>
      <c r="H314">
        <v>267000</v>
      </c>
      <c r="I314">
        <v>-95400</v>
      </c>
      <c r="J314" s="1">
        <v>45212</v>
      </c>
      <c r="K314" t="s">
        <v>834</v>
      </c>
      <c r="L314">
        <v>10</v>
      </c>
      <c r="M314">
        <v>2023</v>
      </c>
      <c r="N314">
        <f t="shared" si="4"/>
        <v>-457800</v>
      </c>
      <c r="O314" s="19">
        <f>IF(Table1_2[Tiền Nhập]&lt;&gt;0, Table1_2[Lợi Nhuận Gộp]/Table1_2[Tiền Nhập], 0)</f>
        <v>-1.2632450331125828</v>
      </c>
      <c r="P314">
        <f>IF(Table1_2[SL Xuất]&gt;0, Table1_2[Tiền Xuất]/Table1_2[SL Xuất], 0)</f>
        <v>33375</v>
      </c>
      <c r="Q314">
        <f>Table1_2[SL Xuất] - Table1_2[SL Xuất KM]</f>
        <v>5</v>
      </c>
    </row>
    <row r="315" spans="1:17" x14ac:dyDescent="0.25">
      <c r="A315">
        <v>314</v>
      </c>
      <c r="B315" t="s">
        <v>753</v>
      </c>
      <c r="C315" t="s">
        <v>754</v>
      </c>
      <c r="D315" t="s">
        <v>88</v>
      </c>
      <c r="E315">
        <v>362400</v>
      </c>
      <c r="F315">
        <v>0</v>
      </c>
      <c r="G315">
        <v>8</v>
      </c>
      <c r="H315">
        <v>400000</v>
      </c>
      <c r="I315">
        <v>37600</v>
      </c>
      <c r="J315" s="1">
        <v>45212</v>
      </c>
      <c r="K315" t="s">
        <v>834</v>
      </c>
      <c r="L315">
        <v>10</v>
      </c>
      <c r="M315">
        <v>2023</v>
      </c>
      <c r="N315">
        <f t="shared" si="4"/>
        <v>-324800</v>
      </c>
      <c r="O315" s="19">
        <f>IF(Table1_2[Tiền Nhập]&lt;&gt;0, Table1_2[Lợi Nhuận Gộp]/Table1_2[Tiền Nhập], 0)</f>
        <v>-0.89624724061810157</v>
      </c>
      <c r="P315">
        <f>IF(Table1_2[SL Xuất]&gt;0, Table1_2[Tiền Xuất]/Table1_2[SL Xuất], 0)</f>
        <v>50000</v>
      </c>
      <c r="Q315">
        <f>Table1_2[SL Xuất] - Table1_2[SL Xuất KM]</f>
        <v>8</v>
      </c>
    </row>
    <row r="316" spans="1:17" x14ac:dyDescent="0.25">
      <c r="A316">
        <v>315</v>
      </c>
      <c r="B316" t="s">
        <v>757</v>
      </c>
      <c r="C316" t="s">
        <v>758</v>
      </c>
      <c r="D316" t="s">
        <v>88</v>
      </c>
      <c r="E316">
        <v>362400</v>
      </c>
      <c r="F316">
        <v>0</v>
      </c>
      <c r="G316">
        <v>8</v>
      </c>
      <c r="H316">
        <v>400000</v>
      </c>
      <c r="I316">
        <v>37600</v>
      </c>
      <c r="J316" s="1">
        <v>45212</v>
      </c>
      <c r="K316" t="s">
        <v>834</v>
      </c>
      <c r="L316">
        <v>10</v>
      </c>
      <c r="M316">
        <v>2023</v>
      </c>
      <c r="N316">
        <f t="shared" si="4"/>
        <v>-324800</v>
      </c>
      <c r="O316" s="19">
        <f>IF(Table1_2[Tiền Nhập]&lt;&gt;0, Table1_2[Lợi Nhuận Gộp]/Table1_2[Tiền Nhập], 0)</f>
        <v>-0.89624724061810157</v>
      </c>
      <c r="P316">
        <f>IF(Table1_2[SL Xuất]&gt;0, Table1_2[Tiền Xuất]/Table1_2[SL Xuất], 0)</f>
        <v>50000</v>
      </c>
      <c r="Q316">
        <f>Table1_2[SL Xuất] - Table1_2[SL Xuất KM]</f>
        <v>8</v>
      </c>
    </row>
    <row r="317" spans="1:17" x14ac:dyDescent="0.25">
      <c r="A317">
        <v>316</v>
      </c>
      <c r="B317" t="s">
        <v>838</v>
      </c>
      <c r="C317" t="s">
        <v>839</v>
      </c>
      <c r="D317" t="s">
        <v>13</v>
      </c>
      <c r="E317">
        <v>0</v>
      </c>
      <c r="F317">
        <v>10</v>
      </c>
      <c r="G317">
        <v>0</v>
      </c>
      <c r="H317">
        <v>-160000</v>
      </c>
      <c r="I317">
        <v>-160000</v>
      </c>
      <c r="J317" s="1">
        <v>45212</v>
      </c>
      <c r="K317" t="s">
        <v>347</v>
      </c>
      <c r="L317">
        <v>10</v>
      </c>
      <c r="M317">
        <v>2023</v>
      </c>
      <c r="N317">
        <f t="shared" si="4"/>
        <v>-160000</v>
      </c>
      <c r="O317" s="19">
        <f>IF(Table1_2[Tiền Nhập]&lt;&gt;0, Table1_2[Lợi Nhuận Gộp]/Table1_2[Tiền Nhập], 0)</f>
        <v>0</v>
      </c>
      <c r="P317">
        <f>IF(Table1_2[SL Xuất]&gt;0, Table1_2[Tiền Xuất]/Table1_2[SL Xuất], 0)</f>
        <v>0</v>
      </c>
      <c r="Q317">
        <f>Table1_2[SL Xuất] - Table1_2[SL Xuất KM]</f>
        <v>-10</v>
      </c>
    </row>
    <row r="318" spans="1:17" x14ac:dyDescent="0.25">
      <c r="A318">
        <v>317</v>
      </c>
      <c r="B318" t="s">
        <v>841</v>
      </c>
      <c r="C318" t="s">
        <v>842</v>
      </c>
      <c r="D318" t="s">
        <v>13</v>
      </c>
      <c r="E318">
        <v>300000</v>
      </c>
      <c r="F318">
        <v>0</v>
      </c>
      <c r="G318">
        <v>20</v>
      </c>
      <c r="H318">
        <v>540000</v>
      </c>
      <c r="I318">
        <v>240000</v>
      </c>
      <c r="J318" s="1">
        <v>45212</v>
      </c>
      <c r="K318" t="s">
        <v>347</v>
      </c>
      <c r="L318">
        <v>10</v>
      </c>
      <c r="M318">
        <v>2023</v>
      </c>
      <c r="N318">
        <f t="shared" si="4"/>
        <v>-60000</v>
      </c>
      <c r="O318" s="19">
        <f>IF(Table1_2[Tiền Nhập]&lt;&gt;0, Table1_2[Lợi Nhuận Gộp]/Table1_2[Tiền Nhập], 0)</f>
        <v>-0.2</v>
      </c>
      <c r="P318">
        <f>IF(Table1_2[SL Xuất]&gt;0, Table1_2[Tiền Xuất]/Table1_2[SL Xuất], 0)</f>
        <v>27000</v>
      </c>
      <c r="Q318">
        <f>Table1_2[SL Xuất] - Table1_2[SL Xuất KM]</f>
        <v>20</v>
      </c>
    </row>
    <row r="319" spans="1:17" x14ac:dyDescent="0.25">
      <c r="A319">
        <v>318</v>
      </c>
      <c r="B319" t="s">
        <v>147</v>
      </c>
      <c r="C319" t="s">
        <v>148</v>
      </c>
      <c r="D319" t="s">
        <v>149</v>
      </c>
      <c r="E319">
        <v>82500</v>
      </c>
      <c r="F319">
        <v>0</v>
      </c>
      <c r="G319">
        <v>15</v>
      </c>
      <c r="H319">
        <v>97500</v>
      </c>
      <c r="I319">
        <v>15000</v>
      </c>
      <c r="J319" s="1">
        <v>45212</v>
      </c>
      <c r="K319" t="s">
        <v>366</v>
      </c>
      <c r="L319">
        <v>10</v>
      </c>
      <c r="M319">
        <v>2023</v>
      </c>
      <c r="N319">
        <f t="shared" si="4"/>
        <v>-67500</v>
      </c>
      <c r="O319" s="19">
        <f>IF(Table1_2[Tiền Nhập]&lt;&gt;0, Table1_2[Lợi Nhuận Gộp]/Table1_2[Tiền Nhập], 0)</f>
        <v>-0.81818181818181823</v>
      </c>
      <c r="P319">
        <f>IF(Table1_2[SL Xuất]&gt;0, Table1_2[Tiền Xuất]/Table1_2[SL Xuất], 0)</f>
        <v>6500</v>
      </c>
      <c r="Q319">
        <f>Table1_2[SL Xuất] - Table1_2[SL Xuất KM]</f>
        <v>15</v>
      </c>
    </row>
    <row r="320" spans="1:17" x14ac:dyDescent="0.25">
      <c r="A320">
        <v>319</v>
      </c>
      <c r="B320" t="s">
        <v>155</v>
      </c>
      <c r="C320" t="s">
        <v>156</v>
      </c>
      <c r="D320" t="s">
        <v>149</v>
      </c>
      <c r="E320">
        <v>82500</v>
      </c>
      <c r="F320">
        <v>0</v>
      </c>
      <c r="G320">
        <v>15</v>
      </c>
      <c r="H320">
        <v>97500</v>
      </c>
      <c r="I320">
        <v>15000</v>
      </c>
      <c r="J320" s="1">
        <v>45212</v>
      </c>
      <c r="K320" t="s">
        <v>366</v>
      </c>
      <c r="L320">
        <v>10</v>
      </c>
      <c r="M320">
        <v>2023</v>
      </c>
      <c r="N320">
        <f t="shared" si="4"/>
        <v>-67500</v>
      </c>
      <c r="O320" s="19">
        <f>IF(Table1_2[Tiền Nhập]&lt;&gt;0, Table1_2[Lợi Nhuận Gộp]/Table1_2[Tiền Nhập], 0)</f>
        <v>-0.81818181818181823</v>
      </c>
      <c r="P320">
        <f>IF(Table1_2[SL Xuất]&gt;0, Table1_2[Tiền Xuất]/Table1_2[SL Xuất], 0)</f>
        <v>6500</v>
      </c>
      <c r="Q320">
        <f>Table1_2[SL Xuất] - Table1_2[SL Xuất KM]</f>
        <v>15</v>
      </c>
    </row>
    <row r="321" spans="1:17" x14ac:dyDescent="0.25">
      <c r="A321">
        <v>320</v>
      </c>
      <c r="B321" t="s">
        <v>613</v>
      </c>
      <c r="C321" t="s">
        <v>614</v>
      </c>
      <c r="D321" t="s">
        <v>88</v>
      </c>
      <c r="E321">
        <v>42084</v>
      </c>
      <c r="F321">
        <v>0</v>
      </c>
      <c r="G321">
        <v>1</v>
      </c>
      <c r="H321">
        <v>48000</v>
      </c>
      <c r="I321">
        <v>5916</v>
      </c>
      <c r="J321" s="1">
        <v>45212</v>
      </c>
      <c r="K321" t="s">
        <v>366</v>
      </c>
      <c r="L321">
        <v>10</v>
      </c>
      <c r="M321">
        <v>2023</v>
      </c>
      <c r="N321">
        <f t="shared" si="4"/>
        <v>-36168</v>
      </c>
      <c r="O321" s="19">
        <f>IF(Table1_2[Tiền Nhập]&lt;&gt;0, Table1_2[Lợi Nhuận Gộp]/Table1_2[Tiền Nhập], 0)</f>
        <v>-0.85942400912460792</v>
      </c>
      <c r="P321">
        <f>IF(Table1_2[SL Xuất]&gt;0, Table1_2[Tiền Xuất]/Table1_2[SL Xuất], 0)</f>
        <v>48000</v>
      </c>
      <c r="Q321">
        <f>Table1_2[SL Xuất] - Table1_2[SL Xuất KM]</f>
        <v>1</v>
      </c>
    </row>
    <row r="322" spans="1:17" x14ac:dyDescent="0.25">
      <c r="A322">
        <v>321</v>
      </c>
      <c r="B322" t="s">
        <v>618</v>
      </c>
      <c r="C322" t="s">
        <v>619</v>
      </c>
      <c r="D322" t="s">
        <v>88</v>
      </c>
      <c r="E322">
        <v>42084</v>
      </c>
      <c r="F322">
        <v>0</v>
      </c>
      <c r="G322">
        <v>1</v>
      </c>
      <c r="H322">
        <v>48000</v>
      </c>
      <c r="I322">
        <v>5916</v>
      </c>
      <c r="J322" s="1">
        <v>45212</v>
      </c>
      <c r="K322" t="s">
        <v>366</v>
      </c>
      <c r="L322">
        <v>10</v>
      </c>
      <c r="M322">
        <v>2023</v>
      </c>
      <c r="N322">
        <f t="shared" ref="N322:N385" si="5">I322-E322</f>
        <v>-36168</v>
      </c>
      <c r="O322" s="19">
        <f>IF(Table1_2[Tiền Nhập]&lt;&gt;0, Table1_2[Lợi Nhuận Gộp]/Table1_2[Tiền Nhập], 0)</f>
        <v>-0.85942400912460792</v>
      </c>
      <c r="P322">
        <f>IF(Table1_2[SL Xuất]&gt;0, Table1_2[Tiền Xuất]/Table1_2[SL Xuất], 0)</f>
        <v>48000</v>
      </c>
      <c r="Q322">
        <f>Table1_2[SL Xuất] - Table1_2[SL Xuất KM]</f>
        <v>1</v>
      </c>
    </row>
    <row r="323" spans="1:17" x14ac:dyDescent="0.25">
      <c r="A323">
        <v>322</v>
      </c>
      <c r="B323" t="s">
        <v>613</v>
      </c>
      <c r="C323" t="s">
        <v>614</v>
      </c>
      <c r="D323" t="s">
        <v>88</v>
      </c>
      <c r="E323">
        <v>42084</v>
      </c>
      <c r="F323">
        <v>0</v>
      </c>
      <c r="G323">
        <v>1</v>
      </c>
      <c r="H323">
        <v>48000</v>
      </c>
      <c r="I323">
        <v>5916</v>
      </c>
      <c r="J323" s="1">
        <v>45212</v>
      </c>
      <c r="K323" t="s">
        <v>654</v>
      </c>
      <c r="L323">
        <v>10</v>
      </c>
      <c r="M323">
        <v>2023</v>
      </c>
      <c r="N323">
        <f t="shared" si="5"/>
        <v>-36168</v>
      </c>
      <c r="O323" s="19">
        <f>IF(Table1_2[Tiền Nhập]&lt;&gt;0, Table1_2[Lợi Nhuận Gộp]/Table1_2[Tiền Nhập], 0)</f>
        <v>-0.85942400912460792</v>
      </c>
      <c r="P323">
        <f>IF(Table1_2[SL Xuất]&gt;0, Table1_2[Tiền Xuất]/Table1_2[SL Xuất], 0)</f>
        <v>48000</v>
      </c>
      <c r="Q323">
        <f>Table1_2[SL Xuất] - Table1_2[SL Xuất KM]</f>
        <v>1</v>
      </c>
    </row>
    <row r="324" spans="1:17" x14ac:dyDescent="0.25">
      <c r="A324">
        <v>323</v>
      </c>
      <c r="B324" t="s">
        <v>618</v>
      </c>
      <c r="C324" t="s">
        <v>619</v>
      </c>
      <c r="D324" t="s">
        <v>88</v>
      </c>
      <c r="E324">
        <v>42084</v>
      </c>
      <c r="F324">
        <v>0</v>
      </c>
      <c r="G324">
        <v>1</v>
      </c>
      <c r="H324">
        <v>48000</v>
      </c>
      <c r="I324">
        <v>5916</v>
      </c>
      <c r="J324" s="1">
        <v>45212</v>
      </c>
      <c r="K324" t="s">
        <v>654</v>
      </c>
      <c r="L324">
        <v>10</v>
      </c>
      <c r="M324">
        <v>2023</v>
      </c>
      <c r="N324">
        <f t="shared" si="5"/>
        <v>-36168</v>
      </c>
      <c r="O324" s="19">
        <f>IF(Table1_2[Tiền Nhập]&lt;&gt;0, Table1_2[Lợi Nhuận Gộp]/Table1_2[Tiền Nhập], 0)</f>
        <v>-0.85942400912460792</v>
      </c>
      <c r="P324">
        <f>IF(Table1_2[SL Xuất]&gt;0, Table1_2[Tiền Xuất]/Table1_2[SL Xuất], 0)</f>
        <v>48000</v>
      </c>
      <c r="Q324">
        <f>Table1_2[SL Xuất] - Table1_2[SL Xuất KM]</f>
        <v>1</v>
      </c>
    </row>
    <row r="325" spans="1:17" x14ac:dyDescent="0.25">
      <c r="A325">
        <v>324</v>
      </c>
      <c r="B325" t="s">
        <v>378</v>
      </c>
      <c r="C325" t="s">
        <v>379</v>
      </c>
      <c r="D325" t="s">
        <v>23</v>
      </c>
      <c r="E325">
        <v>90000</v>
      </c>
      <c r="F325">
        <v>2</v>
      </c>
      <c r="G325">
        <v>24</v>
      </c>
      <c r="H325">
        <v>168000</v>
      </c>
      <c r="I325">
        <v>78000</v>
      </c>
      <c r="J325" s="1">
        <v>45212</v>
      </c>
      <c r="K325" t="s">
        <v>654</v>
      </c>
      <c r="L325">
        <v>10</v>
      </c>
      <c r="M325">
        <v>2023</v>
      </c>
      <c r="N325">
        <f t="shared" si="5"/>
        <v>-12000</v>
      </c>
      <c r="O325" s="19">
        <f>IF(Table1_2[Tiền Nhập]&lt;&gt;0, Table1_2[Lợi Nhuận Gộp]/Table1_2[Tiền Nhập], 0)</f>
        <v>-0.13333333333333333</v>
      </c>
      <c r="P325">
        <f>IF(Table1_2[SL Xuất]&gt;0, Table1_2[Tiền Xuất]/Table1_2[SL Xuất], 0)</f>
        <v>7000</v>
      </c>
      <c r="Q325">
        <f>Table1_2[SL Xuất] - Table1_2[SL Xuất KM]</f>
        <v>22</v>
      </c>
    </row>
    <row r="326" spans="1:17" x14ac:dyDescent="0.25">
      <c r="A326">
        <v>325</v>
      </c>
      <c r="B326" t="s">
        <v>744</v>
      </c>
      <c r="C326" t="s">
        <v>745</v>
      </c>
      <c r="D326" t="s">
        <v>13</v>
      </c>
      <c r="E326">
        <v>36750</v>
      </c>
      <c r="F326">
        <v>0</v>
      </c>
      <c r="G326">
        <v>7</v>
      </c>
      <c r="H326">
        <v>49000</v>
      </c>
      <c r="I326">
        <v>12250</v>
      </c>
      <c r="J326" s="1">
        <v>45212</v>
      </c>
      <c r="K326" t="s">
        <v>654</v>
      </c>
      <c r="L326">
        <v>10</v>
      </c>
      <c r="M326">
        <v>2023</v>
      </c>
      <c r="N326">
        <f t="shared" si="5"/>
        <v>-24500</v>
      </c>
      <c r="O326" s="19">
        <f>IF(Table1_2[Tiền Nhập]&lt;&gt;0, Table1_2[Lợi Nhuận Gộp]/Table1_2[Tiền Nhập], 0)</f>
        <v>-0.66666666666666663</v>
      </c>
      <c r="P326">
        <f>IF(Table1_2[SL Xuất]&gt;0, Table1_2[Tiền Xuất]/Table1_2[SL Xuất], 0)</f>
        <v>7000</v>
      </c>
      <c r="Q326">
        <f>Table1_2[SL Xuất] - Table1_2[SL Xuất KM]</f>
        <v>7</v>
      </c>
    </row>
    <row r="327" spans="1:17" x14ac:dyDescent="0.25">
      <c r="A327">
        <v>326</v>
      </c>
      <c r="B327" t="s">
        <v>748</v>
      </c>
      <c r="C327" t="s">
        <v>749</v>
      </c>
      <c r="D327" t="s">
        <v>13</v>
      </c>
      <c r="E327">
        <v>36750</v>
      </c>
      <c r="F327">
        <v>0</v>
      </c>
      <c r="G327">
        <v>7</v>
      </c>
      <c r="H327">
        <v>49000</v>
      </c>
      <c r="I327">
        <v>12250</v>
      </c>
      <c r="J327" s="1">
        <v>45212</v>
      </c>
      <c r="K327" t="s">
        <v>654</v>
      </c>
      <c r="L327">
        <v>10</v>
      </c>
      <c r="M327">
        <v>2023</v>
      </c>
      <c r="N327">
        <f t="shared" si="5"/>
        <v>-24500</v>
      </c>
      <c r="O327" s="19">
        <f>IF(Table1_2[Tiền Nhập]&lt;&gt;0, Table1_2[Lợi Nhuận Gộp]/Table1_2[Tiền Nhập], 0)</f>
        <v>-0.66666666666666663</v>
      </c>
      <c r="P327">
        <f>IF(Table1_2[SL Xuất]&gt;0, Table1_2[Tiền Xuất]/Table1_2[SL Xuất], 0)</f>
        <v>7000</v>
      </c>
      <c r="Q327">
        <f>Table1_2[SL Xuất] - Table1_2[SL Xuất KM]</f>
        <v>7</v>
      </c>
    </row>
    <row r="328" spans="1:17" x14ac:dyDescent="0.25">
      <c r="A328">
        <v>327</v>
      </c>
      <c r="B328" t="s">
        <v>632</v>
      </c>
      <c r="C328" t="s">
        <v>633</v>
      </c>
      <c r="D328" t="s">
        <v>13</v>
      </c>
      <c r="E328">
        <v>31500</v>
      </c>
      <c r="F328">
        <v>0</v>
      </c>
      <c r="G328">
        <v>6</v>
      </c>
      <c r="H328">
        <v>42000</v>
      </c>
      <c r="I328">
        <v>10500</v>
      </c>
      <c r="J328" s="1">
        <v>45212</v>
      </c>
      <c r="K328" t="s">
        <v>654</v>
      </c>
      <c r="L328">
        <v>10</v>
      </c>
      <c r="M328">
        <v>2023</v>
      </c>
      <c r="N328">
        <f t="shared" si="5"/>
        <v>-21000</v>
      </c>
      <c r="O328" s="19">
        <f>IF(Table1_2[Tiền Nhập]&lt;&gt;0, Table1_2[Lợi Nhuận Gộp]/Table1_2[Tiền Nhập], 0)</f>
        <v>-0.66666666666666663</v>
      </c>
      <c r="P328">
        <f>IF(Table1_2[SL Xuất]&gt;0, Table1_2[Tiền Xuất]/Table1_2[SL Xuất], 0)</f>
        <v>7000</v>
      </c>
      <c r="Q328">
        <f>Table1_2[SL Xuất] - Table1_2[SL Xuất KM]</f>
        <v>6</v>
      </c>
    </row>
    <row r="329" spans="1:17" x14ac:dyDescent="0.25">
      <c r="A329">
        <v>328</v>
      </c>
      <c r="B329" t="s">
        <v>849</v>
      </c>
      <c r="C329" t="s">
        <v>850</v>
      </c>
      <c r="D329" t="s">
        <v>194</v>
      </c>
      <c r="E329">
        <v>116000</v>
      </c>
      <c r="F329">
        <v>0</v>
      </c>
      <c r="G329">
        <v>2</v>
      </c>
      <c r="H329">
        <v>150000</v>
      </c>
      <c r="I329">
        <v>34000</v>
      </c>
      <c r="J329" s="1">
        <v>45212</v>
      </c>
      <c r="K329" t="s">
        <v>654</v>
      </c>
      <c r="L329">
        <v>10</v>
      </c>
      <c r="M329">
        <v>2023</v>
      </c>
      <c r="N329">
        <f t="shared" si="5"/>
        <v>-82000</v>
      </c>
      <c r="O329" s="19">
        <f>IF(Table1_2[Tiền Nhập]&lt;&gt;0, Table1_2[Lợi Nhuận Gộp]/Table1_2[Tiền Nhập], 0)</f>
        <v>-0.7068965517241379</v>
      </c>
      <c r="P329">
        <f>IF(Table1_2[SL Xuất]&gt;0, Table1_2[Tiền Xuất]/Table1_2[SL Xuất], 0)</f>
        <v>75000</v>
      </c>
      <c r="Q329">
        <f>Table1_2[SL Xuất] - Table1_2[SL Xuất KM]</f>
        <v>2</v>
      </c>
    </row>
    <row r="330" spans="1:17" x14ac:dyDescent="0.25">
      <c r="A330">
        <v>329</v>
      </c>
      <c r="B330" t="s">
        <v>853</v>
      </c>
      <c r="C330" t="s">
        <v>854</v>
      </c>
      <c r="D330" t="s">
        <v>194</v>
      </c>
      <c r="E330">
        <v>116000</v>
      </c>
      <c r="F330">
        <v>0</v>
      </c>
      <c r="G330">
        <v>2</v>
      </c>
      <c r="H330">
        <v>150000</v>
      </c>
      <c r="I330">
        <v>34000</v>
      </c>
      <c r="J330" s="1">
        <v>45212</v>
      </c>
      <c r="K330" t="s">
        <v>654</v>
      </c>
      <c r="L330">
        <v>10</v>
      </c>
      <c r="M330">
        <v>2023</v>
      </c>
      <c r="N330">
        <f t="shared" si="5"/>
        <v>-82000</v>
      </c>
      <c r="O330" s="19">
        <f>IF(Table1_2[Tiền Nhập]&lt;&gt;0, Table1_2[Lợi Nhuận Gộp]/Table1_2[Tiền Nhập], 0)</f>
        <v>-0.7068965517241379</v>
      </c>
      <c r="P330">
        <f>IF(Table1_2[SL Xuất]&gt;0, Table1_2[Tiền Xuất]/Table1_2[SL Xuất], 0)</f>
        <v>75000</v>
      </c>
      <c r="Q330">
        <f>Table1_2[SL Xuất] - Table1_2[SL Xuất KM]</f>
        <v>2</v>
      </c>
    </row>
    <row r="331" spans="1:17" x14ac:dyDescent="0.25">
      <c r="A331">
        <v>330</v>
      </c>
      <c r="B331" t="s">
        <v>855</v>
      </c>
      <c r="C331" t="s">
        <v>856</v>
      </c>
      <c r="D331" t="s">
        <v>194</v>
      </c>
      <c r="E331">
        <v>58000</v>
      </c>
      <c r="F331">
        <v>0</v>
      </c>
      <c r="G331">
        <v>1</v>
      </c>
      <c r="H331">
        <v>75000</v>
      </c>
      <c r="I331">
        <v>17000</v>
      </c>
      <c r="J331" s="1">
        <v>45212</v>
      </c>
      <c r="K331" t="s">
        <v>654</v>
      </c>
      <c r="L331">
        <v>10</v>
      </c>
      <c r="M331">
        <v>2023</v>
      </c>
      <c r="N331">
        <f t="shared" si="5"/>
        <v>-41000</v>
      </c>
      <c r="O331" s="19">
        <f>IF(Table1_2[Tiền Nhập]&lt;&gt;0, Table1_2[Lợi Nhuận Gộp]/Table1_2[Tiền Nhập], 0)</f>
        <v>-0.7068965517241379</v>
      </c>
      <c r="P331">
        <f>IF(Table1_2[SL Xuất]&gt;0, Table1_2[Tiền Xuất]/Table1_2[SL Xuất], 0)</f>
        <v>75000</v>
      </c>
      <c r="Q331">
        <f>Table1_2[SL Xuất] - Table1_2[SL Xuất KM]</f>
        <v>1</v>
      </c>
    </row>
    <row r="332" spans="1:17" x14ac:dyDescent="0.25">
      <c r="A332">
        <v>331</v>
      </c>
      <c r="B332" t="s">
        <v>858</v>
      </c>
      <c r="C332" t="s">
        <v>859</v>
      </c>
      <c r="D332" t="s">
        <v>194</v>
      </c>
      <c r="E332">
        <v>58000</v>
      </c>
      <c r="F332">
        <v>0</v>
      </c>
      <c r="G332">
        <v>1</v>
      </c>
      <c r="H332">
        <v>75000</v>
      </c>
      <c r="I332">
        <v>17000</v>
      </c>
      <c r="J332" s="1">
        <v>45212</v>
      </c>
      <c r="K332" t="s">
        <v>654</v>
      </c>
      <c r="L332">
        <v>10</v>
      </c>
      <c r="M332">
        <v>2023</v>
      </c>
      <c r="N332">
        <f t="shared" si="5"/>
        <v>-41000</v>
      </c>
      <c r="O332" s="19">
        <f>IF(Table1_2[Tiền Nhập]&lt;&gt;0, Table1_2[Lợi Nhuận Gộp]/Table1_2[Tiền Nhập], 0)</f>
        <v>-0.7068965517241379</v>
      </c>
      <c r="P332">
        <f>IF(Table1_2[SL Xuất]&gt;0, Table1_2[Tiền Xuất]/Table1_2[SL Xuất], 0)</f>
        <v>75000</v>
      </c>
      <c r="Q332">
        <f>Table1_2[SL Xuất] - Table1_2[SL Xuất KM]</f>
        <v>1</v>
      </c>
    </row>
    <row r="333" spans="1:17" x14ac:dyDescent="0.25">
      <c r="A333">
        <v>332</v>
      </c>
      <c r="B333" t="s">
        <v>860</v>
      </c>
      <c r="C333" t="s">
        <v>861</v>
      </c>
      <c r="D333" t="s">
        <v>30</v>
      </c>
      <c r="E333">
        <v>0</v>
      </c>
      <c r="F333">
        <v>1</v>
      </c>
      <c r="G333">
        <v>0</v>
      </c>
      <c r="H333">
        <v>0</v>
      </c>
      <c r="I333">
        <v>0</v>
      </c>
      <c r="J333" s="1">
        <v>45212</v>
      </c>
      <c r="K333" t="s">
        <v>654</v>
      </c>
      <c r="L333">
        <v>10</v>
      </c>
      <c r="M333">
        <v>2023</v>
      </c>
      <c r="N333">
        <f t="shared" si="5"/>
        <v>0</v>
      </c>
      <c r="O333" s="19">
        <f>IF(Table1_2[Tiền Nhập]&lt;&gt;0, Table1_2[Lợi Nhuận Gộp]/Table1_2[Tiền Nhập], 0)</f>
        <v>0</v>
      </c>
      <c r="P333">
        <f>IF(Table1_2[SL Xuất]&gt;0, Table1_2[Tiền Xuất]/Table1_2[SL Xuất], 0)</f>
        <v>0</v>
      </c>
      <c r="Q333">
        <f>Table1_2[SL Xuất] - Table1_2[SL Xuất KM]</f>
        <v>-1</v>
      </c>
    </row>
    <row r="334" spans="1:17" x14ac:dyDescent="0.25">
      <c r="A334">
        <v>333</v>
      </c>
      <c r="B334" t="s">
        <v>605</v>
      </c>
      <c r="C334" t="s">
        <v>606</v>
      </c>
      <c r="D334" t="s">
        <v>23</v>
      </c>
      <c r="E334">
        <v>190176</v>
      </c>
      <c r="F334">
        <v>0</v>
      </c>
      <c r="G334">
        <v>24</v>
      </c>
      <c r="H334">
        <v>276000</v>
      </c>
      <c r="I334">
        <v>85824</v>
      </c>
      <c r="J334" s="1">
        <v>45212</v>
      </c>
      <c r="K334" t="s">
        <v>654</v>
      </c>
      <c r="L334">
        <v>10</v>
      </c>
      <c r="M334">
        <v>2023</v>
      </c>
      <c r="N334">
        <f t="shared" si="5"/>
        <v>-104352</v>
      </c>
      <c r="O334" s="19">
        <f>IF(Table1_2[Tiền Nhập]&lt;&gt;0, Table1_2[Lợi Nhuận Gộp]/Table1_2[Tiền Nhập], 0)</f>
        <v>-0.54871277132761231</v>
      </c>
      <c r="P334">
        <f>IF(Table1_2[SL Xuất]&gt;0, Table1_2[Tiền Xuất]/Table1_2[SL Xuất], 0)</f>
        <v>11500</v>
      </c>
      <c r="Q334">
        <f>Table1_2[SL Xuất] - Table1_2[SL Xuất KM]</f>
        <v>24</v>
      </c>
    </row>
    <row r="335" spans="1:17" x14ac:dyDescent="0.25">
      <c r="A335">
        <v>334</v>
      </c>
      <c r="B335" t="s">
        <v>864</v>
      </c>
      <c r="C335" t="s">
        <v>865</v>
      </c>
      <c r="D335" t="s">
        <v>23</v>
      </c>
      <c r="E335">
        <v>212384</v>
      </c>
      <c r="F335">
        <v>0</v>
      </c>
      <c r="G335">
        <v>16</v>
      </c>
      <c r="H335">
        <v>304000</v>
      </c>
      <c r="I335">
        <v>91616</v>
      </c>
      <c r="J335" s="1">
        <v>45212</v>
      </c>
      <c r="K335" t="s">
        <v>654</v>
      </c>
      <c r="L335">
        <v>10</v>
      </c>
      <c r="M335">
        <v>2023</v>
      </c>
      <c r="N335">
        <f t="shared" si="5"/>
        <v>-120768</v>
      </c>
      <c r="O335" s="19">
        <f>IF(Table1_2[Tiền Nhập]&lt;&gt;0, Table1_2[Lợi Nhuận Gộp]/Table1_2[Tiền Nhập], 0)</f>
        <v>-0.56863040530360098</v>
      </c>
      <c r="P335">
        <f>IF(Table1_2[SL Xuất]&gt;0, Table1_2[Tiền Xuất]/Table1_2[SL Xuất], 0)</f>
        <v>19000</v>
      </c>
      <c r="Q335">
        <f>Table1_2[SL Xuất] - Table1_2[SL Xuất KM]</f>
        <v>16</v>
      </c>
    </row>
    <row r="336" spans="1:17" x14ac:dyDescent="0.25">
      <c r="A336">
        <v>335</v>
      </c>
      <c r="B336" t="s">
        <v>248</v>
      </c>
      <c r="C336" t="s">
        <v>249</v>
      </c>
      <c r="D336" t="s">
        <v>250</v>
      </c>
      <c r="E336">
        <v>57000</v>
      </c>
      <c r="F336">
        <v>0</v>
      </c>
      <c r="G336">
        <v>1</v>
      </c>
      <c r="H336">
        <v>75000</v>
      </c>
      <c r="I336">
        <v>18000</v>
      </c>
      <c r="J336" s="1">
        <v>45212</v>
      </c>
      <c r="K336" t="s">
        <v>659</v>
      </c>
      <c r="L336">
        <v>10</v>
      </c>
      <c r="M336">
        <v>2023</v>
      </c>
      <c r="N336">
        <f t="shared" si="5"/>
        <v>-39000</v>
      </c>
      <c r="O336" s="19">
        <f>IF(Table1_2[Tiền Nhập]&lt;&gt;0, Table1_2[Lợi Nhuận Gộp]/Table1_2[Tiền Nhập], 0)</f>
        <v>-0.68421052631578949</v>
      </c>
      <c r="P336">
        <f>IF(Table1_2[SL Xuất]&gt;0, Table1_2[Tiền Xuất]/Table1_2[SL Xuất], 0)</f>
        <v>75000</v>
      </c>
      <c r="Q336">
        <f>Table1_2[SL Xuất] - Table1_2[SL Xuất KM]</f>
        <v>1</v>
      </c>
    </row>
    <row r="337" spans="1:17" x14ac:dyDescent="0.25">
      <c r="A337">
        <v>336</v>
      </c>
      <c r="B337" t="s">
        <v>11</v>
      </c>
      <c r="C337" t="s">
        <v>12</v>
      </c>
      <c r="D337" t="s">
        <v>13</v>
      </c>
      <c r="E337">
        <v>345600</v>
      </c>
      <c r="F337">
        <v>4</v>
      </c>
      <c r="G337">
        <v>48</v>
      </c>
      <c r="H337">
        <v>536000</v>
      </c>
      <c r="I337">
        <v>190400</v>
      </c>
      <c r="J337" s="1">
        <v>45213</v>
      </c>
      <c r="K337" t="s">
        <v>191</v>
      </c>
      <c r="L337">
        <v>10</v>
      </c>
      <c r="M337">
        <v>2023</v>
      </c>
      <c r="N337">
        <f t="shared" si="5"/>
        <v>-155200</v>
      </c>
      <c r="O337" s="19">
        <f>IF(Table1_2[Tiền Nhập]&lt;&gt;0, Table1_2[Lợi Nhuận Gộp]/Table1_2[Tiền Nhập], 0)</f>
        <v>-0.44907407407407407</v>
      </c>
      <c r="P337">
        <f>IF(Table1_2[SL Xuất]&gt;0, Table1_2[Tiền Xuất]/Table1_2[SL Xuất], 0)</f>
        <v>11166.666666666666</v>
      </c>
      <c r="Q337">
        <f>Table1_2[SL Xuất] - Table1_2[SL Xuất KM]</f>
        <v>44</v>
      </c>
    </row>
    <row r="338" spans="1:17" x14ac:dyDescent="0.25">
      <c r="A338">
        <v>337</v>
      </c>
      <c r="B338" t="s">
        <v>163</v>
      </c>
      <c r="C338" t="s">
        <v>164</v>
      </c>
      <c r="D338" t="s">
        <v>45</v>
      </c>
      <c r="E338">
        <v>0</v>
      </c>
      <c r="F338">
        <v>1</v>
      </c>
      <c r="G338">
        <v>0</v>
      </c>
      <c r="H338">
        <v>-31000</v>
      </c>
      <c r="I338">
        <v>-31000</v>
      </c>
      <c r="J338" s="1">
        <v>45213</v>
      </c>
      <c r="K338" t="s">
        <v>428</v>
      </c>
      <c r="L338">
        <v>10</v>
      </c>
      <c r="M338">
        <v>2023</v>
      </c>
      <c r="N338">
        <f t="shared" si="5"/>
        <v>-31000</v>
      </c>
      <c r="O338" s="19">
        <f>IF(Table1_2[Tiền Nhập]&lt;&gt;0, Table1_2[Lợi Nhuận Gộp]/Table1_2[Tiền Nhập], 0)</f>
        <v>0</v>
      </c>
      <c r="P338">
        <f>IF(Table1_2[SL Xuất]&gt;0, Table1_2[Tiền Xuất]/Table1_2[SL Xuất], 0)</f>
        <v>0</v>
      </c>
      <c r="Q338">
        <f>Table1_2[SL Xuất] - Table1_2[SL Xuất KM]</f>
        <v>-1</v>
      </c>
    </row>
    <row r="339" spans="1:17" x14ac:dyDescent="0.25">
      <c r="A339">
        <v>338</v>
      </c>
      <c r="B339" t="s">
        <v>314</v>
      </c>
      <c r="C339" t="s">
        <v>315</v>
      </c>
      <c r="D339" t="s">
        <v>13</v>
      </c>
      <c r="E339">
        <v>288000</v>
      </c>
      <c r="F339">
        <v>0</v>
      </c>
      <c r="G339">
        <v>48</v>
      </c>
      <c r="H339">
        <v>360000</v>
      </c>
      <c r="I339">
        <v>72000</v>
      </c>
      <c r="J339" s="1">
        <v>45213</v>
      </c>
      <c r="K339" t="s">
        <v>428</v>
      </c>
      <c r="L339">
        <v>10</v>
      </c>
      <c r="M339">
        <v>2023</v>
      </c>
      <c r="N339">
        <f t="shared" si="5"/>
        <v>-216000</v>
      </c>
      <c r="O339" s="19">
        <f>IF(Table1_2[Tiền Nhập]&lt;&gt;0, Table1_2[Lợi Nhuận Gộp]/Table1_2[Tiền Nhập], 0)</f>
        <v>-0.75</v>
      </c>
      <c r="P339">
        <f>IF(Table1_2[SL Xuất]&gt;0, Table1_2[Tiền Xuất]/Table1_2[SL Xuất], 0)</f>
        <v>7500</v>
      </c>
      <c r="Q339">
        <f>Table1_2[SL Xuất] - Table1_2[SL Xuất KM]</f>
        <v>48</v>
      </c>
    </row>
    <row r="340" spans="1:17" x14ac:dyDescent="0.25">
      <c r="A340">
        <v>339</v>
      </c>
      <c r="B340" t="s">
        <v>871</v>
      </c>
      <c r="C340" t="s">
        <v>872</v>
      </c>
      <c r="D340" t="s">
        <v>45</v>
      </c>
      <c r="E340">
        <v>155004</v>
      </c>
      <c r="F340">
        <v>0</v>
      </c>
      <c r="G340">
        <v>6</v>
      </c>
      <c r="H340">
        <v>222000</v>
      </c>
      <c r="I340">
        <v>66996</v>
      </c>
      <c r="J340" s="1">
        <v>45213</v>
      </c>
      <c r="K340" t="s">
        <v>450</v>
      </c>
      <c r="L340">
        <v>10</v>
      </c>
      <c r="M340">
        <v>2023</v>
      </c>
      <c r="N340">
        <f t="shared" si="5"/>
        <v>-88008</v>
      </c>
      <c r="O340" s="19">
        <f>IF(Table1_2[Tiền Nhập]&lt;&gt;0, Table1_2[Lợi Nhuận Gộp]/Table1_2[Tiền Nhập], 0)</f>
        <v>-0.56777889602848963</v>
      </c>
      <c r="P340">
        <f>IF(Table1_2[SL Xuất]&gt;0, Table1_2[Tiền Xuất]/Table1_2[SL Xuất], 0)</f>
        <v>37000</v>
      </c>
      <c r="Q340">
        <f>Table1_2[SL Xuất] - Table1_2[SL Xuất KM]</f>
        <v>6</v>
      </c>
    </row>
    <row r="341" spans="1:17" x14ac:dyDescent="0.25">
      <c r="A341">
        <v>340</v>
      </c>
      <c r="B341" t="s">
        <v>421</v>
      </c>
      <c r="C341" t="s">
        <v>422</v>
      </c>
      <c r="D341" t="s">
        <v>45</v>
      </c>
      <c r="E341">
        <v>0</v>
      </c>
      <c r="F341">
        <v>1</v>
      </c>
      <c r="G341">
        <v>0</v>
      </c>
      <c r="H341">
        <v>-31000</v>
      </c>
      <c r="I341">
        <v>-31000</v>
      </c>
      <c r="J341" s="1">
        <v>45213</v>
      </c>
      <c r="K341" t="s">
        <v>450</v>
      </c>
      <c r="L341">
        <v>10</v>
      </c>
      <c r="M341">
        <v>2023</v>
      </c>
      <c r="N341">
        <f t="shared" si="5"/>
        <v>-31000</v>
      </c>
      <c r="O341" s="19">
        <f>IF(Table1_2[Tiền Nhập]&lt;&gt;0, Table1_2[Lợi Nhuận Gộp]/Table1_2[Tiền Nhập], 0)</f>
        <v>0</v>
      </c>
      <c r="P341">
        <f>IF(Table1_2[SL Xuất]&gt;0, Table1_2[Tiền Xuất]/Table1_2[SL Xuất], 0)</f>
        <v>0</v>
      </c>
      <c r="Q341">
        <f>Table1_2[SL Xuất] - Table1_2[SL Xuất KM]</f>
        <v>-1</v>
      </c>
    </row>
    <row r="342" spans="1:17" x14ac:dyDescent="0.25">
      <c r="A342">
        <v>341</v>
      </c>
      <c r="B342" t="s">
        <v>28</v>
      </c>
      <c r="C342" t="s">
        <v>29</v>
      </c>
      <c r="D342" t="s">
        <v>30</v>
      </c>
      <c r="E342">
        <v>1460000</v>
      </c>
      <c r="F342">
        <v>0</v>
      </c>
      <c r="G342">
        <v>16</v>
      </c>
      <c r="H342">
        <v>1840000</v>
      </c>
      <c r="I342">
        <v>380000</v>
      </c>
      <c r="J342" s="1">
        <v>45213</v>
      </c>
      <c r="K342" t="s">
        <v>35</v>
      </c>
      <c r="L342">
        <v>10</v>
      </c>
      <c r="M342">
        <v>2023</v>
      </c>
      <c r="N342">
        <f t="shared" si="5"/>
        <v>-1080000</v>
      </c>
      <c r="O342" s="19">
        <f>IF(Table1_2[Tiền Nhập]&lt;&gt;0, Table1_2[Lợi Nhuận Gộp]/Table1_2[Tiền Nhập], 0)</f>
        <v>-0.73972602739726023</v>
      </c>
      <c r="P342">
        <f>IF(Table1_2[SL Xuất]&gt;0, Table1_2[Tiền Xuất]/Table1_2[SL Xuất], 0)</f>
        <v>115000</v>
      </c>
      <c r="Q342">
        <f>Table1_2[SL Xuất] - Table1_2[SL Xuất KM]</f>
        <v>16</v>
      </c>
    </row>
    <row r="343" spans="1:17" x14ac:dyDescent="0.25">
      <c r="A343">
        <v>342</v>
      </c>
      <c r="B343" t="s">
        <v>476</v>
      </c>
      <c r="C343" t="s">
        <v>477</v>
      </c>
      <c r="D343" t="s">
        <v>30</v>
      </c>
      <c r="E343">
        <v>365000</v>
      </c>
      <c r="F343">
        <v>0</v>
      </c>
      <c r="G343">
        <v>4</v>
      </c>
      <c r="H343">
        <v>460000</v>
      </c>
      <c r="I343">
        <v>95000</v>
      </c>
      <c r="J343" s="1">
        <v>45213</v>
      </c>
      <c r="K343" t="s">
        <v>35</v>
      </c>
      <c r="L343">
        <v>10</v>
      </c>
      <c r="M343">
        <v>2023</v>
      </c>
      <c r="N343">
        <f t="shared" si="5"/>
        <v>-270000</v>
      </c>
      <c r="O343" s="19">
        <f>IF(Table1_2[Tiền Nhập]&lt;&gt;0, Table1_2[Lợi Nhuận Gộp]/Table1_2[Tiền Nhập], 0)</f>
        <v>-0.73972602739726023</v>
      </c>
      <c r="P343">
        <f>IF(Table1_2[SL Xuất]&gt;0, Table1_2[Tiền Xuất]/Table1_2[SL Xuất], 0)</f>
        <v>115000</v>
      </c>
      <c r="Q343">
        <f>Table1_2[SL Xuất] - Table1_2[SL Xuất KM]</f>
        <v>4</v>
      </c>
    </row>
    <row r="344" spans="1:17" x14ac:dyDescent="0.25">
      <c r="A344">
        <v>343</v>
      </c>
      <c r="B344" t="s">
        <v>476</v>
      </c>
      <c r="C344" t="s">
        <v>477</v>
      </c>
      <c r="D344" t="s">
        <v>30</v>
      </c>
      <c r="E344">
        <v>365000</v>
      </c>
      <c r="F344">
        <v>2</v>
      </c>
      <c r="G344">
        <v>4</v>
      </c>
      <c r="H344">
        <v>520000</v>
      </c>
      <c r="I344">
        <v>155000</v>
      </c>
      <c r="J344" s="1">
        <v>45213</v>
      </c>
      <c r="K344" t="s">
        <v>473</v>
      </c>
      <c r="L344">
        <v>10</v>
      </c>
      <c r="M344">
        <v>2023</v>
      </c>
      <c r="N344">
        <f t="shared" si="5"/>
        <v>-210000</v>
      </c>
      <c r="O344" s="19">
        <f>IF(Table1_2[Tiền Nhập]&lt;&gt;0, Table1_2[Lợi Nhuận Gộp]/Table1_2[Tiền Nhập], 0)</f>
        <v>-0.57534246575342463</v>
      </c>
      <c r="P344">
        <f>IF(Table1_2[SL Xuất]&gt;0, Table1_2[Tiền Xuất]/Table1_2[SL Xuất], 0)</f>
        <v>130000</v>
      </c>
      <c r="Q344">
        <f>Table1_2[SL Xuất] - Table1_2[SL Xuất KM]</f>
        <v>2</v>
      </c>
    </row>
    <row r="345" spans="1:17" x14ac:dyDescent="0.25">
      <c r="A345">
        <v>344</v>
      </c>
      <c r="B345" t="s">
        <v>849</v>
      </c>
      <c r="C345" t="s">
        <v>850</v>
      </c>
      <c r="D345" t="s">
        <v>194</v>
      </c>
      <c r="E345">
        <v>290000</v>
      </c>
      <c r="F345">
        <v>1</v>
      </c>
      <c r="G345">
        <v>5</v>
      </c>
      <c r="H345">
        <v>375000</v>
      </c>
      <c r="I345">
        <v>85000</v>
      </c>
      <c r="J345" s="1">
        <v>45213</v>
      </c>
      <c r="K345" t="s">
        <v>473</v>
      </c>
      <c r="L345">
        <v>10</v>
      </c>
      <c r="M345">
        <v>2023</v>
      </c>
      <c r="N345">
        <f t="shared" si="5"/>
        <v>-205000</v>
      </c>
      <c r="O345" s="19">
        <f>IF(Table1_2[Tiền Nhập]&lt;&gt;0, Table1_2[Lợi Nhuận Gộp]/Table1_2[Tiền Nhập], 0)</f>
        <v>-0.7068965517241379</v>
      </c>
      <c r="P345">
        <f>IF(Table1_2[SL Xuất]&gt;0, Table1_2[Tiền Xuất]/Table1_2[SL Xuất], 0)</f>
        <v>75000</v>
      </c>
      <c r="Q345">
        <f>Table1_2[SL Xuất] - Table1_2[SL Xuất KM]</f>
        <v>4</v>
      </c>
    </row>
    <row r="346" spans="1:17" x14ac:dyDescent="0.25">
      <c r="A346">
        <v>345</v>
      </c>
      <c r="B346" t="s">
        <v>416</v>
      </c>
      <c r="C346" t="s">
        <v>417</v>
      </c>
      <c r="D346" t="s">
        <v>45</v>
      </c>
      <c r="E346">
        <v>180000</v>
      </c>
      <c r="F346">
        <v>0</v>
      </c>
      <c r="G346">
        <v>10</v>
      </c>
      <c r="H346">
        <v>200000</v>
      </c>
      <c r="I346">
        <v>20000</v>
      </c>
      <c r="J346" s="1">
        <v>45213</v>
      </c>
      <c r="K346" t="s">
        <v>881</v>
      </c>
      <c r="L346">
        <v>10</v>
      </c>
      <c r="M346">
        <v>2023</v>
      </c>
      <c r="N346">
        <f t="shared" si="5"/>
        <v>-160000</v>
      </c>
      <c r="O346" s="19">
        <f>IF(Table1_2[Tiền Nhập]&lt;&gt;0, Table1_2[Lợi Nhuận Gộp]/Table1_2[Tiền Nhập], 0)</f>
        <v>-0.88888888888888884</v>
      </c>
      <c r="P346">
        <f>IF(Table1_2[SL Xuất]&gt;0, Table1_2[Tiền Xuất]/Table1_2[SL Xuất], 0)</f>
        <v>20000</v>
      </c>
      <c r="Q346">
        <f>Table1_2[SL Xuất] - Table1_2[SL Xuất KM]</f>
        <v>10</v>
      </c>
    </row>
    <row r="347" spans="1:17" x14ac:dyDescent="0.25">
      <c r="A347">
        <v>346</v>
      </c>
      <c r="B347" t="s">
        <v>105</v>
      </c>
      <c r="C347" t="s">
        <v>106</v>
      </c>
      <c r="D347" t="s">
        <v>107</v>
      </c>
      <c r="E347">
        <v>211200</v>
      </c>
      <c r="F347">
        <v>1</v>
      </c>
      <c r="G347">
        <v>8</v>
      </c>
      <c r="H347">
        <v>256000</v>
      </c>
      <c r="I347">
        <v>44800</v>
      </c>
      <c r="J347" s="1">
        <v>45213</v>
      </c>
      <c r="K347" t="s">
        <v>885</v>
      </c>
      <c r="L347">
        <v>10</v>
      </c>
      <c r="M347">
        <v>2023</v>
      </c>
      <c r="N347">
        <f t="shared" si="5"/>
        <v>-166400</v>
      </c>
      <c r="O347" s="19">
        <f>IF(Table1_2[Tiền Nhập]&lt;&gt;0, Table1_2[Lợi Nhuận Gộp]/Table1_2[Tiền Nhập], 0)</f>
        <v>-0.78787878787878785</v>
      </c>
      <c r="P347">
        <f>IF(Table1_2[SL Xuất]&gt;0, Table1_2[Tiền Xuất]/Table1_2[SL Xuất], 0)</f>
        <v>32000</v>
      </c>
      <c r="Q347">
        <f>Table1_2[SL Xuất] - Table1_2[SL Xuất KM]</f>
        <v>7</v>
      </c>
    </row>
    <row r="348" spans="1:17" x14ac:dyDescent="0.25">
      <c r="A348">
        <v>347</v>
      </c>
      <c r="B348" t="s">
        <v>163</v>
      </c>
      <c r="C348" t="s">
        <v>164</v>
      </c>
      <c r="D348" t="s">
        <v>45</v>
      </c>
      <c r="E348">
        <v>310008</v>
      </c>
      <c r="F348">
        <v>0</v>
      </c>
      <c r="G348">
        <v>12</v>
      </c>
      <c r="H348">
        <v>444000</v>
      </c>
      <c r="I348">
        <v>133992</v>
      </c>
      <c r="J348" s="1">
        <v>45213</v>
      </c>
      <c r="K348" t="s">
        <v>885</v>
      </c>
      <c r="L348">
        <v>10</v>
      </c>
      <c r="M348">
        <v>2023</v>
      </c>
      <c r="N348">
        <f t="shared" si="5"/>
        <v>-176016</v>
      </c>
      <c r="O348" s="19">
        <f>IF(Table1_2[Tiền Nhập]&lt;&gt;0, Table1_2[Lợi Nhuận Gộp]/Table1_2[Tiền Nhập], 0)</f>
        <v>-0.56777889602848963</v>
      </c>
      <c r="P348">
        <f>IF(Table1_2[SL Xuất]&gt;0, Table1_2[Tiền Xuất]/Table1_2[SL Xuất], 0)</f>
        <v>37000</v>
      </c>
      <c r="Q348">
        <f>Table1_2[SL Xuất] - Table1_2[SL Xuất KM]</f>
        <v>12</v>
      </c>
    </row>
    <row r="349" spans="1:17" x14ac:dyDescent="0.25">
      <c r="A349">
        <v>348</v>
      </c>
      <c r="B349" t="s">
        <v>421</v>
      </c>
      <c r="C349" t="s">
        <v>422</v>
      </c>
      <c r="D349" t="s">
        <v>45</v>
      </c>
      <c r="E349">
        <v>0</v>
      </c>
      <c r="F349">
        <v>2</v>
      </c>
      <c r="G349">
        <v>0</v>
      </c>
      <c r="H349">
        <v>-63000</v>
      </c>
      <c r="I349">
        <v>-63000</v>
      </c>
      <c r="J349" s="1">
        <v>45213</v>
      </c>
      <c r="K349" t="s">
        <v>885</v>
      </c>
      <c r="L349">
        <v>10</v>
      </c>
      <c r="M349">
        <v>2023</v>
      </c>
      <c r="N349">
        <f t="shared" si="5"/>
        <v>-63000</v>
      </c>
      <c r="O349" s="19">
        <f>IF(Table1_2[Tiền Nhập]&lt;&gt;0, Table1_2[Lợi Nhuận Gộp]/Table1_2[Tiền Nhập], 0)</f>
        <v>0</v>
      </c>
      <c r="P349">
        <f>IF(Table1_2[SL Xuất]&gt;0, Table1_2[Tiền Xuất]/Table1_2[SL Xuất], 0)</f>
        <v>0</v>
      </c>
      <c r="Q349">
        <f>Table1_2[SL Xuất] - Table1_2[SL Xuất KM]</f>
        <v>-2</v>
      </c>
    </row>
    <row r="350" spans="1:17" x14ac:dyDescent="0.25">
      <c r="A350">
        <v>349</v>
      </c>
      <c r="B350" t="s">
        <v>888</v>
      </c>
      <c r="C350" t="s">
        <v>889</v>
      </c>
      <c r="D350" t="s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 s="1">
        <v>45213</v>
      </c>
      <c r="K350" t="s">
        <v>885</v>
      </c>
      <c r="L350">
        <v>10</v>
      </c>
      <c r="M350">
        <v>2023</v>
      </c>
      <c r="N350">
        <f t="shared" si="5"/>
        <v>0</v>
      </c>
      <c r="O350" s="19">
        <f>IF(Table1_2[Tiền Nhập]&lt;&gt;0, Table1_2[Lợi Nhuận Gộp]/Table1_2[Tiền Nhập], 0)</f>
        <v>0</v>
      </c>
      <c r="P350">
        <f>IF(Table1_2[SL Xuất]&gt;0, Table1_2[Tiền Xuất]/Table1_2[SL Xuất], 0)</f>
        <v>0</v>
      </c>
      <c r="Q350">
        <f>Table1_2[SL Xuất] - Table1_2[SL Xuất KM]</f>
        <v>0</v>
      </c>
    </row>
    <row r="351" spans="1:17" x14ac:dyDescent="0.25">
      <c r="A351">
        <v>350</v>
      </c>
      <c r="B351" t="s">
        <v>890</v>
      </c>
      <c r="C351" t="s">
        <v>891</v>
      </c>
      <c r="D351" t="s">
        <v>13</v>
      </c>
      <c r="E351">
        <v>230000</v>
      </c>
      <c r="F351">
        <v>5</v>
      </c>
      <c r="G351">
        <v>20</v>
      </c>
      <c r="H351">
        <v>352000</v>
      </c>
      <c r="I351">
        <v>122000</v>
      </c>
      <c r="J351" s="1">
        <v>45213</v>
      </c>
      <c r="K351" t="s">
        <v>885</v>
      </c>
      <c r="L351">
        <v>10</v>
      </c>
      <c r="M351">
        <v>2023</v>
      </c>
      <c r="N351">
        <f t="shared" si="5"/>
        <v>-108000</v>
      </c>
      <c r="O351" s="19">
        <f>IF(Table1_2[Tiền Nhập]&lt;&gt;0, Table1_2[Lợi Nhuận Gộp]/Table1_2[Tiền Nhập], 0)</f>
        <v>-0.46956521739130436</v>
      </c>
      <c r="P351">
        <f>IF(Table1_2[SL Xuất]&gt;0, Table1_2[Tiền Xuất]/Table1_2[SL Xuất], 0)</f>
        <v>17600</v>
      </c>
      <c r="Q351">
        <f>Table1_2[SL Xuất] - Table1_2[SL Xuất KM]</f>
        <v>15</v>
      </c>
    </row>
    <row r="352" spans="1:17" x14ac:dyDescent="0.25">
      <c r="A352">
        <v>351</v>
      </c>
      <c r="B352" t="s">
        <v>893</v>
      </c>
      <c r="C352" t="s">
        <v>894</v>
      </c>
      <c r="D352" t="s">
        <v>23</v>
      </c>
      <c r="E352">
        <v>348000</v>
      </c>
      <c r="F352">
        <v>1</v>
      </c>
      <c r="G352">
        <v>24</v>
      </c>
      <c r="H352">
        <v>415000</v>
      </c>
      <c r="I352">
        <v>67000</v>
      </c>
      <c r="J352" s="1">
        <v>45213</v>
      </c>
      <c r="K352" t="s">
        <v>885</v>
      </c>
      <c r="L352">
        <v>10</v>
      </c>
      <c r="M352">
        <v>2023</v>
      </c>
      <c r="N352">
        <f t="shared" si="5"/>
        <v>-281000</v>
      </c>
      <c r="O352" s="19">
        <f>IF(Table1_2[Tiền Nhập]&lt;&gt;0, Table1_2[Lợi Nhuận Gộp]/Table1_2[Tiền Nhập], 0)</f>
        <v>-0.80747126436781613</v>
      </c>
      <c r="P352">
        <f>IF(Table1_2[SL Xuất]&gt;0, Table1_2[Tiền Xuất]/Table1_2[SL Xuất], 0)</f>
        <v>17291.666666666668</v>
      </c>
      <c r="Q352">
        <f>Table1_2[SL Xuất] - Table1_2[SL Xuất KM]</f>
        <v>23</v>
      </c>
    </row>
    <row r="353" spans="1:17" x14ac:dyDescent="0.25">
      <c r="A353">
        <v>352</v>
      </c>
      <c r="B353" t="s">
        <v>829</v>
      </c>
      <c r="C353" t="s">
        <v>830</v>
      </c>
      <c r="D353" t="s">
        <v>88</v>
      </c>
      <c r="E353">
        <v>1267200</v>
      </c>
      <c r="F353">
        <v>2</v>
      </c>
      <c r="G353">
        <v>24</v>
      </c>
      <c r="H353">
        <v>1301200</v>
      </c>
      <c r="I353">
        <v>34000</v>
      </c>
      <c r="J353" s="1">
        <v>45213</v>
      </c>
      <c r="K353" t="s">
        <v>900</v>
      </c>
      <c r="L353">
        <v>10</v>
      </c>
      <c r="M353">
        <v>2023</v>
      </c>
      <c r="N353">
        <f t="shared" si="5"/>
        <v>-1233200</v>
      </c>
      <c r="O353" s="19">
        <f>IF(Table1_2[Tiền Nhập]&lt;&gt;0, Table1_2[Lợi Nhuận Gộp]/Table1_2[Tiền Nhập], 0)</f>
        <v>-0.97316919191919193</v>
      </c>
      <c r="P353">
        <f>IF(Table1_2[SL Xuất]&gt;0, Table1_2[Tiền Xuất]/Table1_2[SL Xuất], 0)</f>
        <v>54216.666666666664</v>
      </c>
      <c r="Q353">
        <f>Table1_2[SL Xuất] - Table1_2[SL Xuất KM]</f>
        <v>22</v>
      </c>
    </row>
    <row r="354" spans="1:17" x14ac:dyDescent="0.25">
      <c r="A354">
        <v>353</v>
      </c>
      <c r="B354" t="s">
        <v>835</v>
      </c>
      <c r="C354" t="s">
        <v>836</v>
      </c>
      <c r="D354" t="s">
        <v>88</v>
      </c>
      <c r="E354">
        <v>1267200</v>
      </c>
      <c r="F354">
        <v>2</v>
      </c>
      <c r="G354">
        <v>24</v>
      </c>
      <c r="H354">
        <v>1301200</v>
      </c>
      <c r="I354">
        <v>34000</v>
      </c>
      <c r="J354" s="1">
        <v>45213</v>
      </c>
      <c r="K354" t="s">
        <v>900</v>
      </c>
      <c r="L354">
        <v>10</v>
      </c>
      <c r="M354">
        <v>2023</v>
      </c>
      <c r="N354">
        <f t="shared" si="5"/>
        <v>-1233200</v>
      </c>
      <c r="O354" s="19">
        <f>IF(Table1_2[Tiền Nhập]&lt;&gt;0, Table1_2[Lợi Nhuận Gộp]/Table1_2[Tiền Nhập], 0)</f>
        <v>-0.97316919191919193</v>
      </c>
      <c r="P354">
        <f>IF(Table1_2[SL Xuất]&gt;0, Table1_2[Tiền Xuất]/Table1_2[SL Xuất], 0)</f>
        <v>54216.666666666664</v>
      </c>
      <c r="Q354">
        <f>Table1_2[SL Xuất] - Table1_2[SL Xuất KM]</f>
        <v>22</v>
      </c>
    </row>
    <row r="355" spans="1:17" x14ac:dyDescent="0.25">
      <c r="A355">
        <v>354</v>
      </c>
      <c r="B355" t="s">
        <v>717</v>
      </c>
      <c r="C355" t="s">
        <v>718</v>
      </c>
      <c r="D355" t="s">
        <v>88</v>
      </c>
      <c r="E355">
        <v>2174400</v>
      </c>
      <c r="F355">
        <v>8</v>
      </c>
      <c r="G355">
        <v>48</v>
      </c>
      <c r="H355">
        <v>2008000</v>
      </c>
      <c r="I355">
        <v>-166400</v>
      </c>
      <c r="J355" s="1">
        <v>45213</v>
      </c>
      <c r="K355" t="s">
        <v>900</v>
      </c>
      <c r="L355">
        <v>10</v>
      </c>
      <c r="M355">
        <v>2023</v>
      </c>
      <c r="N355">
        <f t="shared" si="5"/>
        <v>-2340800</v>
      </c>
      <c r="O355" s="19">
        <f>IF(Table1_2[Tiền Nhập]&lt;&gt;0, Table1_2[Lợi Nhuận Gộp]/Table1_2[Tiền Nhập], 0)</f>
        <v>-1.0765268579838116</v>
      </c>
      <c r="P355">
        <f>IF(Table1_2[SL Xuất]&gt;0, Table1_2[Tiền Xuất]/Table1_2[SL Xuất], 0)</f>
        <v>41833.333333333336</v>
      </c>
      <c r="Q355">
        <f>Table1_2[SL Xuất] - Table1_2[SL Xuất KM]</f>
        <v>40</v>
      </c>
    </row>
    <row r="356" spans="1:17" x14ac:dyDescent="0.25">
      <c r="A356">
        <v>355</v>
      </c>
      <c r="B356" t="s">
        <v>753</v>
      </c>
      <c r="C356" t="s">
        <v>754</v>
      </c>
      <c r="D356" t="s">
        <v>88</v>
      </c>
      <c r="E356">
        <v>2174400</v>
      </c>
      <c r="F356">
        <v>8</v>
      </c>
      <c r="G356">
        <v>48</v>
      </c>
      <c r="H356">
        <v>2008000</v>
      </c>
      <c r="I356">
        <v>-166400</v>
      </c>
      <c r="J356" s="1">
        <v>45213</v>
      </c>
      <c r="K356" t="s">
        <v>900</v>
      </c>
      <c r="L356">
        <v>10</v>
      </c>
      <c r="M356">
        <v>2023</v>
      </c>
      <c r="N356">
        <f t="shared" si="5"/>
        <v>-2340800</v>
      </c>
      <c r="O356" s="19">
        <f>IF(Table1_2[Tiền Nhập]&lt;&gt;0, Table1_2[Lợi Nhuận Gộp]/Table1_2[Tiền Nhập], 0)</f>
        <v>-1.0765268579838116</v>
      </c>
      <c r="P356">
        <f>IF(Table1_2[SL Xuất]&gt;0, Table1_2[Tiền Xuất]/Table1_2[SL Xuất], 0)</f>
        <v>41833.333333333336</v>
      </c>
      <c r="Q356">
        <f>Table1_2[SL Xuất] - Table1_2[SL Xuất KM]</f>
        <v>40</v>
      </c>
    </row>
    <row r="357" spans="1:17" x14ac:dyDescent="0.25">
      <c r="A357">
        <v>356</v>
      </c>
      <c r="B357" t="s">
        <v>757</v>
      </c>
      <c r="C357" t="s">
        <v>758</v>
      </c>
      <c r="D357" t="s">
        <v>88</v>
      </c>
      <c r="E357">
        <v>2174400</v>
      </c>
      <c r="F357">
        <v>8</v>
      </c>
      <c r="G357">
        <v>48</v>
      </c>
      <c r="H357">
        <v>2008000</v>
      </c>
      <c r="I357">
        <v>-166400</v>
      </c>
      <c r="J357" s="1">
        <v>45213</v>
      </c>
      <c r="K357" t="s">
        <v>900</v>
      </c>
      <c r="L357">
        <v>10</v>
      </c>
      <c r="M357">
        <v>2023</v>
      </c>
      <c r="N357">
        <f t="shared" si="5"/>
        <v>-2340800</v>
      </c>
      <c r="O357" s="19">
        <f>IF(Table1_2[Tiền Nhập]&lt;&gt;0, Table1_2[Lợi Nhuận Gộp]/Table1_2[Tiền Nhập], 0)</f>
        <v>-1.0765268579838116</v>
      </c>
      <c r="P357">
        <f>IF(Table1_2[SL Xuất]&gt;0, Table1_2[Tiền Xuất]/Table1_2[SL Xuất], 0)</f>
        <v>41833.333333333336</v>
      </c>
      <c r="Q357">
        <f>Table1_2[SL Xuất] - Table1_2[SL Xuất KM]</f>
        <v>40</v>
      </c>
    </row>
    <row r="358" spans="1:17" x14ac:dyDescent="0.25">
      <c r="A358">
        <v>357</v>
      </c>
      <c r="B358" t="s">
        <v>516</v>
      </c>
      <c r="C358" t="s">
        <v>517</v>
      </c>
      <c r="D358" t="s">
        <v>518</v>
      </c>
      <c r="E358">
        <v>0</v>
      </c>
      <c r="F358">
        <v>0</v>
      </c>
      <c r="G358">
        <v>0</v>
      </c>
      <c r="H358">
        <v>-7878000</v>
      </c>
      <c r="I358">
        <v>-7878000</v>
      </c>
      <c r="J358" s="1">
        <v>45213</v>
      </c>
      <c r="K358" t="s">
        <v>900</v>
      </c>
      <c r="L358">
        <v>10</v>
      </c>
      <c r="M358">
        <v>2023</v>
      </c>
      <c r="N358">
        <f t="shared" si="5"/>
        <v>-7878000</v>
      </c>
      <c r="O358" s="19">
        <f>IF(Table1_2[Tiền Nhập]&lt;&gt;0, Table1_2[Lợi Nhuận Gộp]/Table1_2[Tiền Nhập], 0)</f>
        <v>0</v>
      </c>
      <c r="P358">
        <f>IF(Table1_2[SL Xuất]&gt;0, Table1_2[Tiền Xuất]/Table1_2[SL Xuất], 0)</f>
        <v>0</v>
      </c>
      <c r="Q358">
        <f>Table1_2[SL Xuất] - Table1_2[SL Xuất KM]</f>
        <v>0</v>
      </c>
    </row>
    <row r="359" spans="1:17" x14ac:dyDescent="0.25">
      <c r="A359">
        <v>358</v>
      </c>
      <c r="B359" t="s">
        <v>905</v>
      </c>
      <c r="C359" t="s">
        <v>906</v>
      </c>
      <c r="D359" t="s">
        <v>88</v>
      </c>
      <c r="E359">
        <v>0</v>
      </c>
      <c r="F359">
        <v>0</v>
      </c>
      <c r="G359">
        <v>0</v>
      </c>
      <c r="H359">
        <v>0</v>
      </c>
      <c r="I359">
        <v>0</v>
      </c>
      <c r="J359" s="1">
        <v>45213</v>
      </c>
      <c r="K359" t="s">
        <v>119</v>
      </c>
      <c r="L359">
        <v>10</v>
      </c>
      <c r="M359">
        <v>2023</v>
      </c>
      <c r="N359">
        <f t="shared" si="5"/>
        <v>0</v>
      </c>
      <c r="O359" s="19">
        <f>IF(Table1_2[Tiền Nhập]&lt;&gt;0, Table1_2[Lợi Nhuận Gộp]/Table1_2[Tiền Nhập], 0)</f>
        <v>0</v>
      </c>
      <c r="P359">
        <f>IF(Table1_2[SL Xuất]&gt;0, Table1_2[Tiền Xuất]/Table1_2[SL Xuất], 0)</f>
        <v>0</v>
      </c>
      <c r="Q359">
        <f>Table1_2[SL Xuất] - Table1_2[SL Xuất KM]</f>
        <v>0</v>
      </c>
    </row>
    <row r="360" spans="1:17" x14ac:dyDescent="0.25">
      <c r="A360">
        <v>359</v>
      </c>
      <c r="B360" t="s">
        <v>907</v>
      </c>
      <c r="C360" t="s">
        <v>908</v>
      </c>
      <c r="D360" t="s">
        <v>88</v>
      </c>
      <c r="E360">
        <v>240000</v>
      </c>
      <c r="F360">
        <v>0</v>
      </c>
      <c r="G360">
        <v>1</v>
      </c>
      <c r="H360">
        <v>240000</v>
      </c>
      <c r="I360">
        <v>0</v>
      </c>
      <c r="J360" s="1">
        <v>45213</v>
      </c>
      <c r="K360" t="s">
        <v>119</v>
      </c>
      <c r="L360">
        <v>10</v>
      </c>
      <c r="M360">
        <v>2023</v>
      </c>
      <c r="N360">
        <f t="shared" si="5"/>
        <v>-240000</v>
      </c>
      <c r="O360" s="19">
        <f>IF(Table1_2[Tiền Nhập]&lt;&gt;0, Table1_2[Lợi Nhuận Gộp]/Table1_2[Tiền Nhập], 0)</f>
        <v>-1</v>
      </c>
      <c r="P360">
        <f>IF(Table1_2[SL Xuất]&gt;0, Table1_2[Tiền Xuất]/Table1_2[SL Xuất], 0)</f>
        <v>240000</v>
      </c>
      <c r="Q360">
        <f>Table1_2[SL Xuất] - Table1_2[SL Xuất KM]</f>
        <v>1</v>
      </c>
    </row>
    <row r="361" spans="1:17" x14ac:dyDescent="0.25">
      <c r="A361">
        <v>360</v>
      </c>
      <c r="B361" t="s">
        <v>183</v>
      </c>
      <c r="C361" t="s">
        <v>184</v>
      </c>
      <c r="D361" t="s">
        <v>23</v>
      </c>
      <c r="E361">
        <v>190008</v>
      </c>
      <c r="F361">
        <v>0</v>
      </c>
      <c r="G361">
        <v>12</v>
      </c>
      <c r="H361">
        <v>312000</v>
      </c>
      <c r="I361">
        <v>121992</v>
      </c>
      <c r="J361" s="1">
        <v>45213</v>
      </c>
      <c r="K361" t="s">
        <v>909</v>
      </c>
      <c r="L361">
        <v>10</v>
      </c>
      <c r="M361">
        <v>2023</v>
      </c>
      <c r="N361">
        <f t="shared" si="5"/>
        <v>-68016</v>
      </c>
      <c r="O361" s="19">
        <f>IF(Table1_2[Tiền Nhập]&lt;&gt;0, Table1_2[Lợi Nhuận Gộp]/Table1_2[Tiền Nhập], 0)</f>
        <v>-0.35796387520525452</v>
      </c>
      <c r="P361">
        <f>IF(Table1_2[SL Xuất]&gt;0, Table1_2[Tiền Xuất]/Table1_2[SL Xuất], 0)</f>
        <v>26000</v>
      </c>
      <c r="Q361">
        <f>Table1_2[SL Xuất] - Table1_2[SL Xuất KM]</f>
        <v>12</v>
      </c>
    </row>
    <row r="362" spans="1:17" x14ac:dyDescent="0.25">
      <c r="A362">
        <v>361</v>
      </c>
      <c r="B362" t="s">
        <v>910</v>
      </c>
      <c r="C362" t="s">
        <v>911</v>
      </c>
      <c r="D362" t="s">
        <v>45</v>
      </c>
      <c r="E362">
        <v>110000</v>
      </c>
      <c r="F362">
        <v>0</v>
      </c>
      <c r="G362">
        <v>10</v>
      </c>
      <c r="H362">
        <v>170000</v>
      </c>
      <c r="I362">
        <v>60000</v>
      </c>
      <c r="J362" s="1">
        <v>45213</v>
      </c>
      <c r="K362" t="s">
        <v>913</v>
      </c>
      <c r="L362">
        <v>10</v>
      </c>
      <c r="M362">
        <v>2023</v>
      </c>
      <c r="N362">
        <f t="shared" si="5"/>
        <v>-50000</v>
      </c>
      <c r="O362" s="19">
        <f>IF(Table1_2[Tiền Nhập]&lt;&gt;0, Table1_2[Lợi Nhuận Gộp]/Table1_2[Tiền Nhập], 0)</f>
        <v>-0.45454545454545453</v>
      </c>
      <c r="P362">
        <f>IF(Table1_2[SL Xuất]&gt;0, Table1_2[Tiền Xuất]/Table1_2[SL Xuất], 0)</f>
        <v>17000</v>
      </c>
      <c r="Q362">
        <f>Table1_2[SL Xuất] - Table1_2[SL Xuất KM]</f>
        <v>10</v>
      </c>
    </row>
    <row r="363" spans="1:17" x14ac:dyDescent="0.25">
      <c r="A363">
        <v>362</v>
      </c>
      <c r="B363" t="s">
        <v>163</v>
      </c>
      <c r="C363" t="s">
        <v>164</v>
      </c>
      <c r="D363" t="s">
        <v>45</v>
      </c>
      <c r="E363">
        <v>310008</v>
      </c>
      <c r="F363">
        <v>0</v>
      </c>
      <c r="G363">
        <v>12</v>
      </c>
      <c r="H363">
        <v>384000</v>
      </c>
      <c r="I363">
        <v>73992</v>
      </c>
      <c r="J363" s="1">
        <v>45213</v>
      </c>
      <c r="K363" t="s">
        <v>913</v>
      </c>
      <c r="L363">
        <v>10</v>
      </c>
      <c r="M363">
        <v>2023</v>
      </c>
      <c r="N363">
        <f t="shared" si="5"/>
        <v>-236016</v>
      </c>
      <c r="O363" s="19">
        <f>IF(Table1_2[Tiền Nhập]&lt;&gt;0, Table1_2[Lợi Nhuận Gộp]/Table1_2[Tiền Nhập], 0)</f>
        <v>-0.76132228845707206</v>
      </c>
      <c r="P363">
        <f>IF(Table1_2[SL Xuất]&gt;0, Table1_2[Tiền Xuất]/Table1_2[SL Xuất], 0)</f>
        <v>32000</v>
      </c>
      <c r="Q363">
        <f>Table1_2[SL Xuất] - Table1_2[SL Xuất KM]</f>
        <v>12</v>
      </c>
    </row>
    <row r="364" spans="1:17" x14ac:dyDescent="0.25">
      <c r="A364">
        <v>363</v>
      </c>
      <c r="B364" t="s">
        <v>67</v>
      </c>
      <c r="C364" t="s">
        <v>68</v>
      </c>
      <c r="D364" t="s">
        <v>13</v>
      </c>
      <c r="E364">
        <v>528000</v>
      </c>
      <c r="F364">
        <v>0</v>
      </c>
      <c r="G364">
        <v>48</v>
      </c>
      <c r="H364">
        <v>480000</v>
      </c>
      <c r="I364">
        <v>-48000</v>
      </c>
      <c r="J364" s="1">
        <v>45213</v>
      </c>
      <c r="K364" t="s">
        <v>913</v>
      </c>
      <c r="L364">
        <v>10</v>
      </c>
      <c r="M364">
        <v>2023</v>
      </c>
      <c r="N364">
        <f t="shared" si="5"/>
        <v>-576000</v>
      </c>
      <c r="O364" s="19">
        <f>IF(Table1_2[Tiền Nhập]&lt;&gt;0, Table1_2[Lợi Nhuận Gộp]/Table1_2[Tiền Nhập], 0)</f>
        <v>-1.0909090909090908</v>
      </c>
      <c r="P364">
        <f>IF(Table1_2[SL Xuất]&gt;0, Table1_2[Tiền Xuất]/Table1_2[SL Xuất], 0)</f>
        <v>10000</v>
      </c>
      <c r="Q364">
        <f>Table1_2[SL Xuất] - Table1_2[SL Xuất KM]</f>
        <v>48</v>
      </c>
    </row>
    <row r="365" spans="1:17" x14ac:dyDescent="0.25">
      <c r="A365">
        <v>364</v>
      </c>
      <c r="B365" t="s">
        <v>916</v>
      </c>
      <c r="C365" t="s">
        <v>917</v>
      </c>
      <c r="D365" t="s">
        <v>45</v>
      </c>
      <c r="E365">
        <v>500000</v>
      </c>
      <c r="F365">
        <v>4</v>
      </c>
      <c r="G365">
        <v>10</v>
      </c>
      <c r="H365">
        <v>358000</v>
      </c>
      <c r="I365">
        <v>-142000</v>
      </c>
      <c r="J365" s="1">
        <v>45213</v>
      </c>
      <c r="K365" t="s">
        <v>728</v>
      </c>
      <c r="L365">
        <v>10</v>
      </c>
      <c r="M365">
        <v>2023</v>
      </c>
      <c r="N365">
        <f t="shared" si="5"/>
        <v>-642000</v>
      </c>
      <c r="O365" s="19">
        <f>IF(Table1_2[Tiền Nhập]&lt;&gt;0, Table1_2[Lợi Nhuận Gộp]/Table1_2[Tiền Nhập], 0)</f>
        <v>-1.284</v>
      </c>
      <c r="P365">
        <f>IF(Table1_2[SL Xuất]&gt;0, Table1_2[Tiền Xuất]/Table1_2[SL Xuất], 0)</f>
        <v>35800</v>
      </c>
      <c r="Q365">
        <f>Table1_2[SL Xuất] - Table1_2[SL Xuất KM]</f>
        <v>6</v>
      </c>
    </row>
    <row r="366" spans="1:17" x14ac:dyDescent="0.25">
      <c r="A366">
        <v>365</v>
      </c>
      <c r="B366" t="s">
        <v>441</v>
      </c>
      <c r="C366" t="s">
        <v>442</v>
      </c>
      <c r="D366" t="s">
        <v>23</v>
      </c>
      <c r="E366">
        <v>540000</v>
      </c>
      <c r="F366">
        <v>0</v>
      </c>
      <c r="G366">
        <v>30</v>
      </c>
      <c r="H366">
        <v>630000</v>
      </c>
      <c r="I366">
        <v>90000</v>
      </c>
      <c r="J366" s="1">
        <v>45213</v>
      </c>
      <c r="K366" t="s">
        <v>525</v>
      </c>
      <c r="L366">
        <v>10</v>
      </c>
      <c r="M366">
        <v>2023</v>
      </c>
      <c r="N366">
        <f t="shared" si="5"/>
        <v>-450000</v>
      </c>
      <c r="O366" s="19">
        <f>IF(Table1_2[Tiền Nhập]&lt;&gt;0, Table1_2[Lợi Nhuận Gộp]/Table1_2[Tiền Nhập], 0)</f>
        <v>-0.83333333333333337</v>
      </c>
      <c r="P366">
        <f>IF(Table1_2[SL Xuất]&gt;0, Table1_2[Tiền Xuất]/Table1_2[SL Xuất], 0)</f>
        <v>21000</v>
      </c>
      <c r="Q366">
        <f>Table1_2[SL Xuất] - Table1_2[SL Xuất KM]</f>
        <v>30</v>
      </c>
    </row>
    <row r="367" spans="1:17" x14ac:dyDescent="0.25">
      <c r="A367">
        <v>366</v>
      </c>
      <c r="B367" t="s">
        <v>261</v>
      </c>
      <c r="C367" t="s">
        <v>262</v>
      </c>
      <c r="D367" t="s">
        <v>88</v>
      </c>
      <c r="E367">
        <v>600000</v>
      </c>
      <c r="F367">
        <v>6</v>
      </c>
      <c r="G367">
        <v>6</v>
      </c>
      <c r="H367">
        <v>654000</v>
      </c>
      <c r="I367">
        <v>54000</v>
      </c>
      <c r="J367" s="1">
        <v>45213</v>
      </c>
      <c r="K367" t="s">
        <v>433</v>
      </c>
      <c r="L367">
        <v>10</v>
      </c>
      <c r="M367">
        <v>2023</v>
      </c>
      <c r="N367">
        <f t="shared" si="5"/>
        <v>-546000</v>
      </c>
      <c r="O367" s="19">
        <f>IF(Table1_2[Tiền Nhập]&lt;&gt;0, Table1_2[Lợi Nhuận Gộp]/Table1_2[Tiền Nhập], 0)</f>
        <v>-0.91</v>
      </c>
      <c r="P367">
        <f>IF(Table1_2[SL Xuất]&gt;0, Table1_2[Tiền Xuất]/Table1_2[SL Xuất], 0)</f>
        <v>109000</v>
      </c>
      <c r="Q367">
        <f>Table1_2[SL Xuất] - Table1_2[SL Xuất KM]</f>
        <v>0</v>
      </c>
    </row>
    <row r="368" spans="1:17" x14ac:dyDescent="0.25">
      <c r="A368">
        <v>367</v>
      </c>
      <c r="B368" t="s">
        <v>259</v>
      </c>
      <c r="C368" t="s">
        <v>260</v>
      </c>
      <c r="D368" t="s">
        <v>88</v>
      </c>
      <c r="E368">
        <v>400000</v>
      </c>
      <c r="F368">
        <v>0</v>
      </c>
      <c r="G368">
        <v>4</v>
      </c>
      <c r="H368">
        <v>540000</v>
      </c>
      <c r="I368">
        <v>140000</v>
      </c>
      <c r="J368" s="1">
        <v>45216</v>
      </c>
      <c r="K368" t="s">
        <v>110</v>
      </c>
      <c r="L368">
        <v>10</v>
      </c>
      <c r="M368">
        <v>2023</v>
      </c>
      <c r="N368">
        <f t="shared" si="5"/>
        <v>-260000</v>
      </c>
      <c r="O368" s="19">
        <f>IF(Table1_2[Tiền Nhập]&lt;&gt;0, Table1_2[Lợi Nhuận Gộp]/Table1_2[Tiền Nhập], 0)</f>
        <v>-0.65</v>
      </c>
      <c r="P368">
        <f>IF(Table1_2[SL Xuất]&gt;0, Table1_2[Tiền Xuất]/Table1_2[SL Xuất], 0)</f>
        <v>135000</v>
      </c>
      <c r="Q368">
        <f>Table1_2[SL Xuất] - Table1_2[SL Xuất KM]</f>
        <v>4</v>
      </c>
    </row>
    <row r="369" spans="1:17" x14ac:dyDescent="0.25">
      <c r="A369">
        <v>368</v>
      </c>
      <c r="B369" t="s">
        <v>36</v>
      </c>
      <c r="C369" t="s">
        <v>37</v>
      </c>
      <c r="D369" t="s">
        <v>13</v>
      </c>
      <c r="E369">
        <v>1296000</v>
      </c>
      <c r="F369">
        <v>0</v>
      </c>
      <c r="G369">
        <v>180</v>
      </c>
      <c r="H369">
        <v>1692000</v>
      </c>
      <c r="I369">
        <v>396000</v>
      </c>
      <c r="J369" s="1">
        <v>45219</v>
      </c>
      <c r="K369" t="s">
        <v>42</v>
      </c>
      <c r="L369">
        <v>10</v>
      </c>
      <c r="M369">
        <v>2023</v>
      </c>
      <c r="N369">
        <f t="shared" si="5"/>
        <v>-900000</v>
      </c>
      <c r="O369" s="19">
        <f>IF(Table1_2[Tiền Nhập]&lt;&gt;0, Table1_2[Lợi Nhuận Gộp]/Table1_2[Tiền Nhập], 0)</f>
        <v>-0.69444444444444442</v>
      </c>
      <c r="P369">
        <f>IF(Table1_2[SL Xuất]&gt;0, Table1_2[Tiền Xuất]/Table1_2[SL Xuất], 0)</f>
        <v>9400</v>
      </c>
      <c r="Q369">
        <f>Table1_2[SL Xuất] - Table1_2[SL Xuất KM]</f>
        <v>180</v>
      </c>
    </row>
    <row r="370" spans="1:17" x14ac:dyDescent="0.25">
      <c r="A370">
        <v>369</v>
      </c>
      <c r="B370" t="s">
        <v>922</v>
      </c>
      <c r="C370" t="s">
        <v>923</v>
      </c>
      <c r="D370" t="s">
        <v>85</v>
      </c>
      <c r="E370">
        <v>130000</v>
      </c>
      <c r="F370">
        <v>0</v>
      </c>
      <c r="G370">
        <v>5</v>
      </c>
      <c r="H370">
        <v>120000</v>
      </c>
      <c r="I370">
        <v>-10000</v>
      </c>
      <c r="J370" s="1">
        <v>45219</v>
      </c>
      <c r="K370" t="s">
        <v>925</v>
      </c>
      <c r="L370">
        <v>10</v>
      </c>
      <c r="M370">
        <v>2023</v>
      </c>
      <c r="N370">
        <f t="shared" si="5"/>
        <v>-140000</v>
      </c>
      <c r="O370" s="19">
        <f>IF(Table1_2[Tiền Nhập]&lt;&gt;0, Table1_2[Lợi Nhuận Gộp]/Table1_2[Tiền Nhập], 0)</f>
        <v>-1.0769230769230769</v>
      </c>
      <c r="P370">
        <f>IF(Table1_2[SL Xuất]&gt;0, Table1_2[Tiền Xuất]/Table1_2[SL Xuất], 0)</f>
        <v>24000</v>
      </c>
      <c r="Q370">
        <f>Table1_2[SL Xuất] - Table1_2[SL Xuất KM]</f>
        <v>5</v>
      </c>
    </row>
    <row r="371" spans="1:17" x14ac:dyDescent="0.25">
      <c r="A371">
        <v>370</v>
      </c>
      <c r="B371" t="s">
        <v>926</v>
      </c>
      <c r="C371" t="s">
        <v>927</v>
      </c>
      <c r="D371" t="s">
        <v>85</v>
      </c>
      <c r="E371">
        <v>122500</v>
      </c>
      <c r="F371">
        <v>0</v>
      </c>
      <c r="G371">
        <v>5</v>
      </c>
      <c r="H371">
        <v>120000</v>
      </c>
      <c r="I371">
        <v>-2500</v>
      </c>
      <c r="J371" s="1">
        <v>45219</v>
      </c>
      <c r="K371" t="s">
        <v>925</v>
      </c>
      <c r="L371">
        <v>10</v>
      </c>
      <c r="M371">
        <v>2023</v>
      </c>
      <c r="N371">
        <f t="shared" si="5"/>
        <v>-125000</v>
      </c>
      <c r="O371" s="19">
        <f>IF(Table1_2[Tiền Nhập]&lt;&gt;0, Table1_2[Lợi Nhuận Gộp]/Table1_2[Tiền Nhập], 0)</f>
        <v>-1.0204081632653061</v>
      </c>
      <c r="P371">
        <f>IF(Table1_2[SL Xuất]&gt;0, Table1_2[Tiền Xuất]/Table1_2[SL Xuất], 0)</f>
        <v>24000</v>
      </c>
      <c r="Q371">
        <f>Table1_2[SL Xuất] - Table1_2[SL Xuất KM]</f>
        <v>5</v>
      </c>
    </row>
    <row r="372" spans="1:17" x14ac:dyDescent="0.25">
      <c r="A372">
        <v>371</v>
      </c>
      <c r="B372" t="s">
        <v>479</v>
      </c>
      <c r="C372" t="s">
        <v>480</v>
      </c>
      <c r="D372" t="s">
        <v>45</v>
      </c>
      <c r="E372">
        <v>150000</v>
      </c>
      <c r="F372">
        <v>0</v>
      </c>
      <c r="G372">
        <v>6</v>
      </c>
      <c r="H372">
        <v>222000</v>
      </c>
      <c r="I372">
        <v>72000</v>
      </c>
      <c r="J372" s="1">
        <v>45219</v>
      </c>
      <c r="K372" t="s">
        <v>925</v>
      </c>
      <c r="L372">
        <v>10</v>
      </c>
      <c r="M372">
        <v>2023</v>
      </c>
      <c r="N372">
        <f t="shared" si="5"/>
        <v>-78000</v>
      </c>
      <c r="O372" s="19">
        <f>IF(Table1_2[Tiền Nhập]&lt;&gt;0, Table1_2[Lợi Nhuận Gộp]/Table1_2[Tiền Nhập], 0)</f>
        <v>-0.52</v>
      </c>
      <c r="P372">
        <f>IF(Table1_2[SL Xuất]&gt;0, Table1_2[Tiền Xuất]/Table1_2[SL Xuất], 0)</f>
        <v>37000</v>
      </c>
      <c r="Q372">
        <f>Table1_2[SL Xuất] - Table1_2[SL Xuất KM]</f>
        <v>6</v>
      </c>
    </row>
    <row r="373" spans="1:17" x14ac:dyDescent="0.25">
      <c r="A373">
        <v>372</v>
      </c>
      <c r="B373" t="s">
        <v>163</v>
      </c>
      <c r="C373" t="s">
        <v>164</v>
      </c>
      <c r="D373" t="s">
        <v>45</v>
      </c>
      <c r="E373">
        <v>155004</v>
      </c>
      <c r="F373">
        <v>1</v>
      </c>
      <c r="G373">
        <v>6</v>
      </c>
      <c r="H373">
        <v>191000</v>
      </c>
      <c r="I373">
        <v>35996</v>
      </c>
      <c r="J373" s="1">
        <v>45219</v>
      </c>
      <c r="K373" t="s">
        <v>925</v>
      </c>
      <c r="L373">
        <v>10</v>
      </c>
      <c r="M373">
        <v>2023</v>
      </c>
      <c r="N373">
        <f t="shared" si="5"/>
        <v>-119008</v>
      </c>
      <c r="O373" s="19">
        <f>IF(Table1_2[Tiền Nhập]&lt;&gt;0, Table1_2[Lợi Nhuận Gộp]/Table1_2[Tiền Nhập], 0)</f>
        <v>-0.76777373487135814</v>
      </c>
      <c r="P373">
        <f>IF(Table1_2[SL Xuất]&gt;0, Table1_2[Tiền Xuất]/Table1_2[SL Xuất], 0)</f>
        <v>31833.333333333332</v>
      </c>
      <c r="Q373">
        <f>Table1_2[SL Xuất] - Table1_2[SL Xuất KM]</f>
        <v>5</v>
      </c>
    </row>
    <row r="374" spans="1:17" x14ac:dyDescent="0.25">
      <c r="A374">
        <v>373</v>
      </c>
      <c r="B374" t="s">
        <v>111</v>
      </c>
      <c r="C374" t="s">
        <v>112</v>
      </c>
      <c r="D374" t="s">
        <v>13</v>
      </c>
      <c r="E374">
        <v>231000</v>
      </c>
      <c r="F374">
        <v>0</v>
      </c>
      <c r="G374">
        <v>30</v>
      </c>
      <c r="H374">
        <v>300000</v>
      </c>
      <c r="I374">
        <v>69000</v>
      </c>
      <c r="J374" s="1">
        <v>45219</v>
      </c>
      <c r="K374" t="s">
        <v>925</v>
      </c>
      <c r="L374">
        <v>10</v>
      </c>
      <c r="M374">
        <v>2023</v>
      </c>
      <c r="N374">
        <f t="shared" si="5"/>
        <v>-162000</v>
      </c>
      <c r="O374" s="19">
        <f>IF(Table1_2[Tiền Nhập]&lt;&gt;0, Table1_2[Lợi Nhuận Gộp]/Table1_2[Tiền Nhập], 0)</f>
        <v>-0.70129870129870131</v>
      </c>
      <c r="P374">
        <f>IF(Table1_2[SL Xuất]&gt;0, Table1_2[Tiền Xuất]/Table1_2[SL Xuất], 0)</f>
        <v>10000</v>
      </c>
      <c r="Q374">
        <f>Table1_2[SL Xuất] - Table1_2[SL Xuất KM]</f>
        <v>30</v>
      </c>
    </row>
    <row r="375" spans="1:17" x14ac:dyDescent="0.25">
      <c r="A375">
        <v>374</v>
      </c>
      <c r="B375" t="s">
        <v>269</v>
      </c>
      <c r="C375" t="s">
        <v>270</v>
      </c>
      <c r="D375" t="s">
        <v>13</v>
      </c>
      <c r="E375">
        <v>120000</v>
      </c>
      <c r="F375">
        <v>0</v>
      </c>
      <c r="G375">
        <v>30</v>
      </c>
      <c r="H375">
        <v>180000</v>
      </c>
      <c r="I375">
        <v>60000</v>
      </c>
      <c r="J375" s="1">
        <v>45220</v>
      </c>
      <c r="K375" t="s">
        <v>932</v>
      </c>
      <c r="L375">
        <v>10</v>
      </c>
      <c r="M375">
        <v>2023</v>
      </c>
      <c r="N375">
        <f t="shared" si="5"/>
        <v>-60000</v>
      </c>
      <c r="O375" s="19">
        <f>IF(Table1_2[Tiền Nhập]&lt;&gt;0, Table1_2[Lợi Nhuận Gộp]/Table1_2[Tiền Nhập], 0)</f>
        <v>-0.5</v>
      </c>
      <c r="P375">
        <f>IF(Table1_2[SL Xuất]&gt;0, Table1_2[Tiền Xuất]/Table1_2[SL Xuất], 0)</f>
        <v>6000</v>
      </c>
      <c r="Q375">
        <f>Table1_2[SL Xuất] - Table1_2[SL Xuất KM]</f>
        <v>30</v>
      </c>
    </row>
    <row r="376" spans="1:17" x14ac:dyDescent="0.25">
      <c r="A376">
        <v>375</v>
      </c>
      <c r="B376" t="s">
        <v>11</v>
      </c>
      <c r="C376" t="s">
        <v>12</v>
      </c>
      <c r="D376" t="s">
        <v>13</v>
      </c>
      <c r="E376">
        <v>172800</v>
      </c>
      <c r="F376">
        <v>0</v>
      </c>
      <c r="G376">
        <v>24</v>
      </c>
      <c r="H376">
        <v>288000</v>
      </c>
      <c r="I376">
        <v>115200</v>
      </c>
      <c r="J376" s="1">
        <v>45220</v>
      </c>
      <c r="K376" t="s">
        <v>932</v>
      </c>
      <c r="L376">
        <v>10</v>
      </c>
      <c r="M376">
        <v>2023</v>
      </c>
      <c r="N376">
        <f t="shared" si="5"/>
        <v>-57600</v>
      </c>
      <c r="O376" s="19">
        <f>IF(Table1_2[Tiền Nhập]&lt;&gt;0, Table1_2[Lợi Nhuận Gộp]/Table1_2[Tiền Nhập], 0)</f>
        <v>-0.33333333333333331</v>
      </c>
      <c r="P376">
        <f>IF(Table1_2[SL Xuất]&gt;0, Table1_2[Tiền Xuất]/Table1_2[SL Xuất], 0)</f>
        <v>12000</v>
      </c>
      <c r="Q376">
        <f>Table1_2[SL Xuất] - Table1_2[SL Xuất KM]</f>
        <v>24</v>
      </c>
    </row>
    <row r="377" spans="1:17" x14ac:dyDescent="0.25">
      <c r="A377">
        <v>376</v>
      </c>
      <c r="B377" t="s">
        <v>67</v>
      </c>
      <c r="C377" t="s">
        <v>68</v>
      </c>
      <c r="D377" t="s">
        <v>13</v>
      </c>
      <c r="E377">
        <v>0</v>
      </c>
      <c r="F377">
        <v>3</v>
      </c>
      <c r="G377">
        <v>0</v>
      </c>
      <c r="H377">
        <v>-30000</v>
      </c>
      <c r="I377">
        <v>-30000</v>
      </c>
      <c r="J377" s="1">
        <v>45220</v>
      </c>
      <c r="K377" t="s">
        <v>932</v>
      </c>
      <c r="L377">
        <v>10</v>
      </c>
      <c r="M377">
        <v>2023</v>
      </c>
      <c r="N377">
        <f t="shared" si="5"/>
        <v>-30000</v>
      </c>
      <c r="O377" s="19">
        <f>IF(Table1_2[Tiền Nhập]&lt;&gt;0, Table1_2[Lợi Nhuận Gộp]/Table1_2[Tiền Nhập], 0)</f>
        <v>0</v>
      </c>
      <c r="P377">
        <f>IF(Table1_2[SL Xuất]&gt;0, Table1_2[Tiền Xuất]/Table1_2[SL Xuất], 0)</f>
        <v>0</v>
      </c>
      <c r="Q377">
        <f>Table1_2[SL Xuất] - Table1_2[SL Xuất KM]</f>
        <v>-3</v>
      </c>
    </row>
    <row r="378" spans="1:17" x14ac:dyDescent="0.25">
      <c r="A378">
        <v>377</v>
      </c>
      <c r="B378" t="s">
        <v>935</v>
      </c>
      <c r="C378" t="s">
        <v>936</v>
      </c>
      <c r="D378" t="s">
        <v>446</v>
      </c>
      <c r="E378">
        <v>210000</v>
      </c>
      <c r="F378">
        <v>0</v>
      </c>
      <c r="G378">
        <v>10</v>
      </c>
      <c r="H378">
        <v>320000</v>
      </c>
      <c r="I378">
        <v>110000</v>
      </c>
      <c r="J378" s="1">
        <v>45220</v>
      </c>
      <c r="K378" t="s">
        <v>682</v>
      </c>
      <c r="L378">
        <v>10</v>
      </c>
      <c r="M378">
        <v>2023</v>
      </c>
      <c r="N378">
        <f t="shared" si="5"/>
        <v>-100000</v>
      </c>
      <c r="O378" s="19">
        <f>IF(Table1_2[Tiền Nhập]&lt;&gt;0, Table1_2[Lợi Nhuận Gộp]/Table1_2[Tiền Nhập], 0)</f>
        <v>-0.47619047619047616</v>
      </c>
      <c r="P378">
        <f>IF(Table1_2[SL Xuất]&gt;0, Table1_2[Tiền Xuất]/Table1_2[SL Xuất], 0)</f>
        <v>32000</v>
      </c>
      <c r="Q378">
        <f>Table1_2[SL Xuất] - Table1_2[SL Xuất KM]</f>
        <v>10</v>
      </c>
    </row>
    <row r="379" spans="1:17" x14ac:dyDescent="0.25">
      <c r="A379">
        <v>378</v>
      </c>
      <c r="B379" t="s">
        <v>680</v>
      </c>
      <c r="C379" t="s">
        <v>681</v>
      </c>
      <c r="D379" t="s">
        <v>30</v>
      </c>
      <c r="E379">
        <v>0</v>
      </c>
      <c r="F379">
        <v>0</v>
      </c>
      <c r="G379">
        <v>0</v>
      </c>
      <c r="H379">
        <v>-180000</v>
      </c>
      <c r="I379">
        <v>-180000</v>
      </c>
      <c r="J379" s="1">
        <v>45220</v>
      </c>
      <c r="K379" t="s">
        <v>682</v>
      </c>
      <c r="L379">
        <v>10</v>
      </c>
      <c r="M379">
        <v>2023</v>
      </c>
      <c r="N379">
        <f t="shared" si="5"/>
        <v>-180000</v>
      </c>
      <c r="O379" s="19">
        <f>IF(Table1_2[Tiền Nhập]&lt;&gt;0, Table1_2[Lợi Nhuận Gộp]/Table1_2[Tiền Nhập], 0)</f>
        <v>0</v>
      </c>
      <c r="P379">
        <f>IF(Table1_2[SL Xuất]&gt;0, Table1_2[Tiền Xuất]/Table1_2[SL Xuất], 0)</f>
        <v>0</v>
      </c>
      <c r="Q379">
        <f>Table1_2[SL Xuất] - Table1_2[SL Xuất KM]</f>
        <v>0</v>
      </c>
    </row>
    <row r="380" spans="1:17" x14ac:dyDescent="0.25">
      <c r="A380">
        <v>379</v>
      </c>
      <c r="B380" t="s">
        <v>938</v>
      </c>
      <c r="C380" t="s">
        <v>939</v>
      </c>
      <c r="D380" t="s">
        <v>13</v>
      </c>
      <c r="E380">
        <v>61000</v>
      </c>
      <c r="F380">
        <v>0</v>
      </c>
      <c r="G380">
        <v>5</v>
      </c>
      <c r="H380">
        <v>65000</v>
      </c>
      <c r="I380">
        <v>4000</v>
      </c>
      <c r="J380" s="1">
        <v>45220</v>
      </c>
      <c r="K380" t="s">
        <v>687</v>
      </c>
      <c r="L380">
        <v>10</v>
      </c>
      <c r="M380">
        <v>2023</v>
      </c>
      <c r="N380">
        <f t="shared" si="5"/>
        <v>-57000</v>
      </c>
      <c r="O380" s="19">
        <f>IF(Table1_2[Tiền Nhập]&lt;&gt;0, Table1_2[Lợi Nhuận Gộp]/Table1_2[Tiền Nhập], 0)</f>
        <v>-0.93442622950819676</v>
      </c>
      <c r="P380">
        <f>IF(Table1_2[SL Xuất]&gt;0, Table1_2[Tiền Xuất]/Table1_2[SL Xuất], 0)</f>
        <v>13000</v>
      </c>
      <c r="Q380">
        <f>Table1_2[SL Xuất] - Table1_2[SL Xuất KM]</f>
        <v>5</v>
      </c>
    </row>
    <row r="381" spans="1:17" x14ac:dyDescent="0.25">
      <c r="A381">
        <v>380</v>
      </c>
      <c r="B381" t="s">
        <v>941</v>
      </c>
      <c r="C381" t="s">
        <v>942</v>
      </c>
      <c r="D381" t="s">
        <v>13</v>
      </c>
      <c r="E381">
        <v>73200</v>
      </c>
      <c r="F381">
        <v>0</v>
      </c>
      <c r="G381">
        <v>6</v>
      </c>
      <c r="H381">
        <v>78000</v>
      </c>
      <c r="I381">
        <v>4800</v>
      </c>
      <c r="J381" s="1">
        <v>45220</v>
      </c>
      <c r="K381" t="s">
        <v>687</v>
      </c>
      <c r="L381">
        <v>10</v>
      </c>
      <c r="M381">
        <v>2023</v>
      </c>
      <c r="N381">
        <f t="shared" si="5"/>
        <v>-68400</v>
      </c>
      <c r="O381" s="19">
        <f>IF(Table1_2[Tiền Nhập]&lt;&gt;0, Table1_2[Lợi Nhuận Gộp]/Table1_2[Tiền Nhập], 0)</f>
        <v>-0.93442622950819676</v>
      </c>
      <c r="P381">
        <f>IF(Table1_2[SL Xuất]&gt;0, Table1_2[Tiền Xuất]/Table1_2[SL Xuất], 0)</f>
        <v>13000</v>
      </c>
      <c r="Q381">
        <f>Table1_2[SL Xuất] - Table1_2[SL Xuất KM]</f>
        <v>6</v>
      </c>
    </row>
    <row r="382" spans="1:17" x14ac:dyDescent="0.25">
      <c r="A382">
        <v>381</v>
      </c>
      <c r="B382" t="s">
        <v>945</v>
      </c>
      <c r="C382" t="s">
        <v>946</v>
      </c>
      <c r="D382" t="s">
        <v>13</v>
      </c>
      <c r="E382">
        <v>61000</v>
      </c>
      <c r="F382">
        <v>0</v>
      </c>
      <c r="G382">
        <v>5</v>
      </c>
      <c r="H382">
        <v>65000</v>
      </c>
      <c r="I382">
        <v>4000</v>
      </c>
      <c r="J382" s="1">
        <v>45220</v>
      </c>
      <c r="K382" t="s">
        <v>687</v>
      </c>
      <c r="L382">
        <v>10</v>
      </c>
      <c r="M382">
        <v>2023</v>
      </c>
      <c r="N382">
        <f t="shared" si="5"/>
        <v>-57000</v>
      </c>
      <c r="O382" s="19">
        <f>IF(Table1_2[Tiền Nhập]&lt;&gt;0, Table1_2[Lợi Nhuận Gộp]/Table1_2[Tiền Nhập], 0)</f>
        <v>-0.93442622950819676</v>
      </c>
      <c r="P382">
        <f>IF(Table1_2[SL Xuất]&gt;0, Table1_2[Tiền Xuất]/Table1_2[SL Xuất], 0)</f>
        <v>13000</v>
      </c>
      <c r="Q382">
        <f>Table1_2[SL Xuất] - Table1_2[SL Xuất KM]</f>
        <v>5</v>
      </c>
    </row>
    <row r="383" spans="1:17" x14ac:dyDescent="0.25">
      <c r="A383">
        <v>382</v>
      </c>
      <c r="B383" t="s">
        <v>947</v>
      </c>
      <c r="C383" t="s">
        <v>948</v>
      </c>
      <c r="D383" t="s">
        <v>13</v>
      </c>
      <c r="E383">
        <v>61000</v>
      </c>
      <c r="F383">
        <v>0</v>
      </c>
      <c r="G383">
        <v>5</v>
      </c>
      <c r="H383">
        <v>65000</v>
      </c>
      <c r="I383">
        <v>4000</v>
      </c>
      <c r="J383" s="1">
        <v>45220</v>
      </c>
      <c r="K383" t="s">
        <v>687</v>
      </c>
      <c r="L383">
        <v>10</v>
      </c>
      <c r="M383">
        <v>2023</v>
      </c>
      <c r="N383">
        <f t="shared" si="5"/>
        <v>-57000</v>
      </c>
      <c r="O383" s="19">
        <f>IF(Table1_2[Tiền Nhập]&lt;&gt;0, Table1_2[Lợi Nhuận Gộp]/Table1_2[Tiền Nhập], 0)</f>
        <v>-0.93442622950819676</v>
      </c>
      <c r="P383">
        <f>IF(Table1_2[SL Xuất]&gt;0, Table1_2[Tiền Xuất]/Table1_2[SL Xuất], 0)</f>
        <v>13000</v>
      </c>
      <c r="Q383">
        <f>Table1_2[SL Xuất] - Table1_2[SL Xuất KM]</f>
        <v>5</v>
      </c>
    </row>
    <row r="384" spans="1:17" x14ac:dyDescent="0.25">
      <c r="A384">
        <v>383</v>
      </c>
      <c r="B384" t="s">
        <v>86</v>
      </c>
      <c r="C384" t="s">
        <v>87</v>
      </c>
      <c r="D384" t="s">
        <v>88</v>
      </c>
      <c r="E384">
        <v>362268</v>
      </c>
      <c r="F384">
        <v>0</v>
      </c>
      <c r="G384">
        <v>6</v>
      </c>
      <c r="H384">
        <v>312000</v>
      </c>
      <c r="I384">
        <v>-50268</v>
      </c>
      <c r="J384" s="1">
        <v>45220</v>
      </c>
      <c r="K384" t="s">
        <v>410</v>
      </c>
      <c r="L384">
        <v>10</v>
      </c>
      <c r="M384">
        <v>2023</v>
      </c>
      <c r="N384">
        <f t="shared" si="5"/>
        <v>-412536</v>
      </c>
      <c r="O384" s="19">
        <f>IF(Table1_2[Tiền Nhập]&lt;&gt;0, Table1_2[Lợi Nhuận Gộp]/Table1_2[Tiền Nhập], 0)</f>
        <v>-1.138759150684024</v>
      </c>
      <c r="P384">
        <f>IF(Table1_2[SL Xuất]&gt;0, Table1_2[Tiền Xuất]/Table1_2[SL Xuất], 0)</f>
        <v>52000</v>
      </c>
      <c r="Q384">
        <f>Table1_2[SL Xuất] - Table1_2[SL Xuất KM]</f>
        <v>6</v>
      </c>
    </row>
    <row r="385" spans="1:17" x14ac:dyDescent="0.25">
      <c r="A385">
        <v>384</v>
      </c>
      <c r="B385" t="s">
        <v>11</v>
      </c>
      <c r="C385" t="s">
        <v>12</v>
      </c>
      <c r="D385" t="s">
        <v>13</v>
      </c>
      <c r="E385">
        <v>345600</v>
      </c>
      <c r="F385">
        <v>0</v>
      </c>
      <c r="G385">
        <v>48</v>
      </c>
      <c r="H385">
        <v>518400</v>
      </c>
      <c r="I385">
        <v>172800</v>
      </c>
      <c r="J385" s="1">
        <v>45220</v>
      </c>
      <c r="K385" t="s">
        <v>20</v>
      </c>
      <c r="L385">
        <v>10</v>
      </c>
      <c r="M385">
        <v>2023</v>
      </c>
      <c r="N385">
        <f t="shared" si="5"/>
        <v>-172800</v>
      </c>
      <c r="O385" s="19">
        <f>IF(Table1_2[Tiền Nhập]&lt;&gt;0, Table1_2[Lợi Nhuận Gộp]/Table1_2[Tiền Nhập], 0)</f>
        <v>-0.5</v>
      </c>
      <c r="P385">
        <f>IF(Table1_2[SL Xuất]&gt;0, Table1_2[Tiền Xuất]/Table1_2[SL Xuất], 0)</f>
        <v>10800</v>
      </c>
      <c r="Q385">
        <f>Table1_2[SL Xuất] - Table1_2[SL Xuất KM]</f>
        <v>48</v>
      </c>
    </row>
    <row r="386" spans="1:17" x14ac:dyDescent="0.25">
      <c r="A386">
        <v>385</v>
      </c>
      <c r="B386" t="s">
        <v>67</v>
      </c>
      <c r="C386" t="s">
        <v>68</v>
      </c>
      <c r="D386" t="s">
        <v>13</v>
      </c>
      <c r="E386">
        <v>1056000</v>
      </c>
      <c r="F386">
        <v>0</v>
      </c>
      <c r="G386">
        <v>96</v>
      </c>
      <c r="H386">
        <v>960000</v>
      </c>
      <c r="I386">
        <v>-96000</v>
      </c>
      <c r="J386" s="1">
        <v>45220</v>
      </c>
      <c r="K386" t="s">
        <v>20</v>
      </c>
      <c r="L386">
        <v>10</v>
      </c>
      <c r="M386">
        <v>2023</v>
      </c>
      <c r="N386">
        <f t="shared" ref="N386:N449" si="6">I386-E386</f>
        <v>-1152000</v>
      </c>
      <c r="O386" s="19">
        <f>IF(Table1_2[Tiền Nhập]&lt;&gt;0, Table1_2[Lợi Nhuận Gộp]/Table1_2[Tiền Nhập], 0)</f>
        <v>-1.0909090909090908</v>
      </c>
      <c r="P386">
        <f>IF(Table1_2[SL Xuất]&gt;0, Table1_2[Tiền Xuất]/Table1_2[SL Xuất], 0)</f>
        <v>10000</v>
      </c>
      <c r="Q386">
        <f>Table1_2[SL Xuất] - Table1_2[SL Xuất KM]</f>
        <v>96</v>
      </c>
    </row>
    <row r="387" spans="1:17" x14ac:dyDescent="0.25">
      <c r="A387">
        <v>386</v>
      </c>
      <c r="B387" t="s">
        <v>21</v>
      </c>
      <c r="C387" t="s">
        <v>22</v>
      </c>
      <c r="D387" t="s">
        <v>23</v>
      </c>
      <c r="E387">
        <v>320016</v>
      </c>
      <c r="F387">
        <v>0</v>
      </c>
      <c r="G387">
        <v>24</v>
      </c>
      <c r="H387">
        <v>440016</v>
      </c>
      <c r="I387">
        <v>120000</v>
      </c>
      <c r="J387" s="1">
        <v>45220</v>
      </c>
      <c r="K387" t="s">
        <v>20</v>
      </c>
      <c r="L387">
        <v>10</v>
      </c>
      <c r="M387">
        <v>2023</v>
      </c>
      <c r="N387">
        <f t="shared" si="6"/>
        <v>-200016</v>
      </c>
      <c r="O387" s="19">
        <f>IF(Table1_2[Tiền Nhập]&lt;&gt;0, Table1_2[Lợi Nhuận Gộp]/Table1_2[Tiền Nhập], 0)</f>
        <v>-0.62501874906254684</v>
      </c>
      <c r="P387">
        <f>IF(Table1_2[SL Xuất]&gt;0, Table1_2[Tiền Xuất]/Table1_2[SL Xuất], 0)</f>
        <v>18334</v>
      </c>
      <c r="Q387">
        <f>Table1_2[SL Xuất] - Table1_2[SL Xuất KM]</f>
        <v>24</v>
      </c>
    </row>
    <row r="388" spans="1:17" x14ac:dyDescent="0.25">
      <c r="A388">
        <v>387</v>
      </c>
      <c r="B388" t="s">
        <v>269</v>
      </c>
      <c r="C388" t="s">
        <v>270</v>
      </c>
      <c r="D388" t="s">
        <v>13</v>
      </c>
      <c r="E388">
        <v>200000</v>
      </c>
      <c r="F388">
        <v>0</v>
      </c>
      <c r="G388">
        <v>50</v>
      </c>
      <c r="H388">
        <v>300000</v>
      </c>
      <c r="I388">
        <v>100000</v>
      </c>
      <c r="J388" s="1">
        <v>45220</v>
      </c>
      <c r="K388" t="s">
        <v>575</v>
      </c>
      <c r="L388">
        <v>10</v>
      </c>
      <c r="M388">
        <v>2023</v>
      </c>
      <c r="N388">
        <f t="shared" si="6"/>
        <v>-100000</v>
      </c>
      <c r="O388" s="19">
        <f>IF(Table1_2[Tiền Nhập]&lt;&gt;0, Table1_2[Lợi Nhuận Gộp]/Table1_2[Tiền Nhập], 0)</f>
        <v>-0.5</v>
      </c>
      <c r="P388">
        <f>IF(Table1_2[SL Xuất]&gt;0, Table1_2[Tiền Xuất]/Table1_2[SL Xuất], 0)</f>
        <v>6000</v>
      </c>
      <c r="Q388">
        <f>Table1_2[SL Xuất] - Table1_2[SL Xuất KM]</f>
        <v>50</v>
      </c>
    </row>
    <row r="389" spans="1:17" x14ac:dyDescent="0.25">
      <c r="A389">
        <v>388</v>
      </c>
      <c r="B389" t="s">
        <v>429</v>
      </c>
      <c r="C389" t="s">
        <v>430</v>
      </c>
      <c r="D389" t="s">
        <v>88</v>
      </c>
      <c r="E389">
        <v>0</v>
      </c>
      <c r="F389">
        <v>3</v>
      </c>
      <c r="G389">
        <v>0</v>
      </c>
      <c r="H389">
        <v>-327000</v>
      </c>
      <c r="I389">
        <v>-327000</v>
      </c>
      <c r="J389" s="1">
        <v>45220</v>
      </c>
      <c r="K389" t="s">
        <v>212</v>
      </c>
      <c r="L389">
        <v>10</v>
      </c>
      <c r="M389">
        <v>2023</v>
      </c>
      <c r="N389">
        <f t="shared" si="6"/>
        <v>-327000</v>
      </c>
      <c r="O389" s="19">
        <f>IF(Table1_2[Tiền Nhập]&lt;&gt;0, Table1_2[Lợi Nhuận Gộp]/Table1_2[Tiền Nhập], 0)</f>
        <v>0</v>
      </c>
      <c r="P389">
        <f>IF(Table1_2[SL Xuất]&gt;0, Table1_2[Tiền Xuất]/Table1_2[SL Xuất], 0)</f>
        <v>0</v>
      </c>
      <c r="Q389">
        <f>Table1_2[SL Xuất] - Table1_2[SL Xuất KM]</f>
        <v>-3</v>
      </c>
    </row>
    <row r="390" spans="1:17" x14ac:dyDescent="0.25">
      <c r="A390">
        <v>389</v>
      </c>
      <c r="B390" t="s">
        <v>259</v>
      </c>
      <c r="C390" t="s">
        <v>260</v>
      </c>
      <c r="D390" t="s">
        <v>88</v>
      </c>
      <c r="E390">
        <v>300000</v>
      </c>
      <c r="F390">
        <v>0</v>
      </c>
      <c r="G390">
        <v>3</v>
      </c>
      <c r="H390">
        <v>654000</v>
      </c>
      <c r="I390">
        <v>354000</v>
      </c>
      <c r="J390" s="1">
        <v>45220</v>
      </c>
      <c r="K390" t="s">
        <v>212</v>
      </c>
      <c r="L390">
        <v>10</v>
      </c>
      <c r="M390">
        <v>2023</v>
      </c>
      <c r="N390">
        <f t="shared" si="6"/>
        <v>54000</v>
      </c>
      <c r="O390" s="19">
        <f>IF(Table1_2[Tiền Nhập]&lt;&gt;0, Table1_2[Lợi Nhuận Gộp]/Table1_2[Tiền Nhập], 0)</f>
        <v>0.18</v>
      </c>
      <c r="P390">
        <f>IF(Table1_2[SL Xuất]&gt;0, Table1_2[Tiền Xuất]/Table1_2[SL Xuất], 0)</f>
        <v>218000</v>
      </c>
      <c r="Q390">
        <f>Table1_2[SL Xuất] - Table1_2[SL Xuất KM]</f>
        <v>3</v>
      </c>
    </row>
    <row r="391" spans="1:17" x14ac:dyDescent="0.25">
      <c r="A391">
        <v>390</v>
      </c>
      <c r="B391" t="s">
        <v>400</v>
      </c>
      <c r="C391" t="s">
        <v>401</v>
      </c>
      <c r="D391" t="s">
        <v>13</v>
      </c>
      <c r="E391">
        <v>225000</v>
      </c>
      <c r="F391">
        <v>8</v>
      </c>
      <c r="G391">
        <v>30</v>
      </c>
      <c r="H391">
        <v>261000</v>
      </c>
      <c r="I391">
        <v>36000</v>
      </c>
      <c r="J391" s="1">
        <v>45220</v>
      </c>
      <c r="K391" t="s">
        <v>212</v>
      </c>
      <c r="L391">
        <v>10</v>
      </c>
      <c r="M391">
        <v>2023</v>
      </c>
      <c r="N391">
        <f t="shared" si="6"/>
        <v>-189000</v>
      </c>
      <c r="O391" s="19">
        <f>IF(Table1_2[Tiền Nhập]&lt;&gt;0, Table1_2[Lợi Nhuận Gộp]/Table1_2[Tiền Nhập], 0)</f>
        <v>-0.84</v>
      </c>
      <c r="P391">
        <f>IF(Table1_2[SL Xuất]&gt;0, Table1_2[Tiền Xuất]/Table1_2[SL Xuất], 0)</f>
        <v>8700</v>
      </c>
      <c r="Q391">
        <f>Table1_2[SL Xuất] - Table1_2[SL Xuất KM]</f>
        <v>22</v>
      </c>
    </row>
    <row r="392" spans="1:17" x14ac:dyDescent="0.25">
      <c r="A392">
        <v>391</v>
      </c>
      <c r="B392" t="s">
        <v>28</v>
      </c>
      <c r="C392" t="s">
        <v>29</v>
      </c>
      <c r="D392" t="s">
        <v>30</v>
      </c>
      <c r="E392">
        <v>0</v>
      </c>
      <c r="F392">
        <v>1</v>
      </c>
      <c r="G392">
        <v>0</v>
      </c>
      <c r="H392">
        <v>-130000</v>
      </c>
      <c r="I392">
        <v>-130000</v>
      </c>
      <c r="J392" s="1">
        <v>45220</v>
      </c>
      <c r="K392" t="s">
        <v>212</v>
      </c>
      <c r="L392">
        <v>10</v>
      </c>
      <c r="M392">
        <v>2023</v>
      </c>
      <c r="N392">
        <f t="shared" si="6"/>
        <v>-130000</v>
      </c>
      <c r="O392" s="19">
        <f>IF(Table1_2[Tiền Nhập]&lt;&gt;0, Table1_2[Lợi Nhuận Gộp]/Table1_2[Tiền Nhập], 0)</f>
        <v>0</v>
      </c>
      <c r="P392">
        <f>IF(Table1_2[SL Xuất]&gt;0, Table1_2[Tiền Xuất]/Table1_2[SL Xuất], 0)</f>
        <v>0</v>
      </c>
      <c r="Q392">
        <f>Table1_2[SL Xuất] - Table1_2[SL Xuất KM]</f>
        <v>-1</v>
      </c>
    </row>
    <row r="393" spans="1:17" x14ac:dyDescent="0.25">
      <c r="A393">
        <v>392</v>
      </c>
      <c r="B393" t="s">
        <v>476</v>
      </c>
      <c r="C393" t="s">
        <v>477</v>
      </c>
      <c r="D393" t="s">
        <v>30</v>
      </c>
      <c r="E393">
        <v>182500</v>
      </c>
      <c r="F393">
        <v>0</v>
      </c>
      <c r="G393">
        <v>2</v>
      </c>
      <c r="H393">
        <v>390000</v>
      </c>
      <c r="I393">
        <v>207500</v>
      </c>
      <c r="J393" s="1">
        <v>45220</v>
      </c>
      <c r="K393" t="s">
        <v>212</v>
      </c>
      <c r="L393">
        <v>10</v>
      </c>
      <c r="M393">
        <v>2023</v>
      </c>
      <c r="N393">
        <f t="shared" si="6"/>
        <v>25000</v>
      </c>
      <c r="O393" s="19">
        <f>IF(Table1_2[Tiền Nhập]&lt;&gt;0, Table1_2[Lợi Nhuận Gộp]/Table1_2[Tiền Nhập], 0)</f>
        <v>0.13698630136986301</v>
      </c>
      <c r="P393">
        <f>IF(Table1_2[SL Xuất]&gt;0, Table1_2[Tiền Xuất]/Table1_2[SL Xuất], 0)</f>
        <v>195000</v>
      </c>
      <c r="Q393">
        <f>Table1_2[SL Xuất] - Table1_2[SL Xuất KM]</f>
        <v>2</v>
      </c>
    </row>
    <row r="394" spans="1:17" x14ac:dyDescent="0.25">
      <c r="A394">
        <v>393</v>
      </c>
      <c r="B394" t="s">
        <v>957</v>
      </c>
      <c r="C394" t="s">
        <v>958</v>
      </c>
      <c r="D394" t="s">
        <v>88</v>
      </c>
      <c r="E394">
        <v>79998</v>
      </c>
      <c r="F394">
        <v>1</v>
      </c>
      <c r="G394">
        <v>6</v>
      </c>
      <c r="H394">
        <v>83000</v>
      </c>
      <c r="I394">
        <v>3002</v>
      </c>
      <c r="J394" s="1">
        <v>45220</v>
      </c>
      <c r="K394" t="s">
        <v>483</v>
      </c>
      <c r="L394">
        <v>10</v>
      </c>
      <c r="M394">
        <v>2023</v>
      </c>
      <c r="N394">
        <f t="shared" si="6"/>
        <v>-76996</v>
      </c>
      <c r="O394" s="19">
        <f>IF(Table1_2[Tiền Nhập]&lt;&gt;0, Table1_2[Lợi Nhuận Gộp]/Table1_2[Tiền Nhập], 0)</f>
        <v>-0.96247406185154627</v>
      </c>
      <c r="P394">
        <f>IF(Table1_2[SL Xuất]&gt;0, Table1_2[Tiền Xuất]/Table1_2[SL Xuất], 0)</f>
        <v>13833.333333333334</v>
      </c>
      <c r="Q394">
        <f>Table1_2[SL Xuất] - Table1_2[SL Xuất KM]</f>
        <v>5</v>
      </c>
    </row>
    <row r="395" spans="1:17" x14ac:dyDescent="0.25">
      <c r="A395">
        <v>394</v>
      </c>
      <c r="B395" t="s">
        <v>962</v>
      </c>
      <c r="C395" t="s">
        <v>963</v>
      </c>
      <c r="D395" t="s">
        <v>88</v>
      </c>
      <c r="E395">
        <v>79998</v>
      </c>
      <c r="F395">
        <v>1</v>
      </c>
      <c r="G395">
        <v>6</v>
      </c>
      <c r="H395">
        <v>83000</v>
      </c>
      <c r="I395">
        <v>3002</v>
      </c>
      <c r="J395" s="1">
        <v>45220</v>
      </c>
      <c r="K395" t="s">
        <v>483</v>
      </c>
      <c r="L395">
        <v>10</v>
      </c>
      <c r="M395">
        <v>2023</v>
      </c>
      <c r="N395">
        <f t="shared" si="6"/>
        <v>-76996</v>
      </c>
      <c r="O395" s="19">
        <f>IF(Table1_2[Tiền Nhập]&lt;&gt;0, Table1_2[Lợi Nhuận Gộp]/Table1_2[Tiền Nhập], 0)</f>
        <v>-0.96247406185154627</v>
      </c>
      <c r="P395">
        <f>IF(Table1_2[SL Xuất]&gt;0, Table1_2[Tiền Xuất]/Table1_2[SL Xuất], 0)</f>
        <v>13833.333333333334</v>
      </c>
      <c r="Q395">
        <f>Table1_2[SL Xuất] - Table1_2[SL Xuất KM]</f>
        <v>5</v>
      </c>
    </row>
    <row r="396" spans="1:17" x14ac:dyDescent="0.25">
      <c r="A396">
        <v>395</v>
      </c>
      <c r="B396" t="s">
        <v>36</v>
      </c>
      <c r="C396" t="s">
        <v>37</v>
      </c>
      <c r="D396" t="s">
        <v>13</v>
      </c>
      <c r="E396">
        <v>216000</v>
      </c>
      <c r="F396">
        <v>3</v>
      </c>
      <c r="G396">
        <v>30</v>
      </c>
      <c r="H396">
        <v>300000</v>
      </c>
      <c r="I396">
        <v>84000</v>
      </c>
      <c r="J396" s="1">
        <v>45220</v>
      </c>
      <c r="K396" t="s">
        <v>483</v>
      </c>
      <c r="L396">
        <v>10</v>
      </c>
      <c r="M396">
        <v>2023</v>
      </c>
      <c r="N396">
        <f t="shared" si="6"/>
        <v>-132000</v>
      </c>
      <c r="O396" s="19">
        <f>IF(Table1_2[Tiền Nhập]&lt;&gt;0, Table1_2[Lợi Nhuận Gộp]/Table1_2[Tiền Nhập], 0)</f>
        <v>-0.61111111111111116</v>
      </c>
      <c r="P396">
        <f>IF(Table1_2[SL Xuất]&gt;0, Table1_2[Tiền Xuất]/Table1_2[SL Xuất], 0)</f>
        <v>10000</v>
      </c>
      <c r="Q396">
        <f>Table1_2[SL Xuất] - Table1_2[SL Xuất KM]</f>
        <v>27</v>
      </c>
    </row>
    <row r="397" spans="1:17" x14ac:dyDescent="0.25">
      <c r="A397">
        <v>396</v>
      </c>
      <c r="B397" t="s">
        <v>964</v>
      </c>
      <c r="C397" t="s">
        <v>965</v>
      </c>
      <c r="D397" t="s">
        <v>13</v>
      </c>
      <c r="E397">
        <v>37585</v>
      </c>
      <c r="F397">
        <v>0</v>
      </c>
      <c r="G397">
        <v>5</v>
      </c>
      <c r="H397">
        <v>30000</v>
      </c>
      <c r="I397">
        <v>-7585</v>
      </c>
      <c r="J397" s="1">
        <v>45220</v>
      </c>
      <c r="K397" t="s">
        <v>483</v>
      </c>
      <c r="L397">
        <v>10</v>
      </c>
      <c r="M397">
        <v>2023</v>
      </c>
      <c r="N397">
        <f t="shared" si="6"/>
        <v>-45170</v>
      </c>
      <c r="O397" s="19">
        <f>IF(Table1_2[Tiền Nhập]&lt;&gt;0, Table1_2[Lợi Nhuận Gộp]/Table1_2[Tiền Nhập], 0)</f>
        <v>-1.2018092324065452</v>
      </c>
      <c r="P397">
        <f>IF(Table1_2[SL Xuất]&gt;0, Table1_2[Tiền Xuất]/Table1_2[SL Xuất], 0)</f>
        <v>6000</v>
      </c>
      <c r="Q397">
        <f>Table1_2[SL Xuất] - Table1_2[SL Xuất KM]</f>
        <v>5</v>
      </c>
    </row>
    <row r="398" spans="1:17" x14ac:dyDescent="0.25">
      <c r="A398">
        <v>397</v>
      </c>
      <c r="B398" t="s">
        <v>968</v>
      </c>
      <c r="C398" t="s">
        <v>969</v>
      </c>
      <c r="D398" t="s">
        <v>13</v>
      </c>
      <c r="E398">
        <v>115000</v>
      </c>
      <c r="F398">
        <v>0</v>
      </c>
      <c r="G398">
        <v>5</v>
      </c>
      <c r="H398">
        <v>165000</v>
      </c>
      <c r="I398">
        <v>50000</v>
      </c>
      <c r="J398" s="1">
        <v>45220</v>
      </c>
      <c r="K398" t="s">
        <v>483</v>
      </c>
      <c r="L398">
        <v>10</v>
      </c>
      <c r="M398">
        <v>2023</v>
      </c>
      <c r="N398">
        <f t="shared" si="6"/>
        <v>-65000</v>
      </c>
      <c r="O398" s="19">
        <f>IF(Table1_2[Tiền Nhập]&lt;&gt;0, Table1_2[Lợi Nhuận Gộp]/Table1_2[Tiền Nhập], 0)</f>
        <v>-0.56521739130434778</v>
      </c>
      <c r="P398">
        <f>IF(Table1_2[SL Xuất]&gt;0, Table1_2[Tiền Xuất]/Table1_2[SL Xuất], 0)</f>
        <v>33000</v>
      </c>
      <c r="Q398">
        <f>Table1_2[SL Xuất] - Table1_2[SL Xuất KM]</f>
        <v>5</v>
      </c>
    </row>
    <row r="399" spans="1:17" x14ac:dyDescent="0.25">
      <c r="A399">
        <v>398</v>
      </c>
      <c r="B399" t="s">
        <v>922</v>
      </c>
      <c r="C399" t="s">
        <v>923</v>
      </c>
      <c r="D399" t="s">
        <v>85</v>
      </c>
      <c r="E399">
        <v>260000</v>
      </c>
      <c r="F399">
        <v>0</v>
      </c>
      <c r="G399">
        <v>10</v>
      </c>
      <c r="H399">
        <v>250000</v>
      </c>
      <c r="I399">
        <v>-10000</v>
      </c>
      <c r="J399" s="1">
        <v>45220</v>
      </c>
      <c r="K399" t="s">
        <v>593</v>
      </c>
      <c r="L399">
        <v>10</v>
      </c>
      <c r="M399">
        <v>2023</v>
      </c>
      <c r="N399">
        <f t="shared" si="6"/>
        <v>-270000</v>
      </c>
      <c r="O399" s="19">
        <f>IF(Table1_2[Tiền Nhập]&lt;&gt;0, Table1_2[Lợi Nhuận Gộp]/Table1_2[Tiền Nhập], 0)</f>
        <v>-1.0384615384615385</v>
      </c>
      <c r="P399">
        <f>IF(Table1_2[SL Xuất]&gt;0, Table1_2[Tiền Xuất]/Table1_2[SL Xuất], 0)</f>
        <v>25000</v>
      </c>
      <c r="Q399">
        <f>Table1_2[SL Xuất] - Table1_2[SL Xuất KM]</f>
        <v>10</v>
      </c>
    </row>
    <row r="400" spans="1:17" x14ac:dyDescent="0.25">
      <c r="A400">
        <v>399</v>
      </c>
      <c r="B400" t="s">
        <v>259</v>
      </c>
      <c r="C400" t="s">
        <v>260</v>
      </c>
      <c r="D400" t="s">
        <v>88</v>
      </c>
      <c r="E400">
        <v>200000</v>
      </c>
      <c r="F400">
        <v>0</v>
      </c>
      <c r="G400">
        <v>2</v>
      </c>
      <c r="H400">
        <v>260000</v>
      </c>
      <c r="I400">
        <v>60000</v>
      </c>
      <c r="J400" s="1">
        <v>45220</v>
      </c>
      <c r="K400" t="s">
        <v>593</v>
      </c>
      <c r="L400">
        <v>10</v>
      </c>
      <c r="M400">
        <v>2023</v>
      </c>
      <c r="N400">
        <f t="shared" si="6"/>
        <v>-140000</v>
      </c>
      <c r="O400" s="19">
        <f>IF(Table1_2[Tiền Nhập]&lt;&gt;0, Table1_2[Lợi Nhuận Gộp]/Table1_2[Tiền Nhập], 0)</f>
        <v>-0.7</v>
      </c>
      <c r="P400">
        <f>IF(Table1_2[SL Xuất]&gt;0, Table1_2[Tiền Xuất]/Table1_2[SL Xuất], 0)</f>
        <v>130000</v>
      </c>
      <c r="Q400">
        <f>Table1_2[SL Xuất] - Table1_2[SL Xuất KM]</f>
        <v>2</v>
      </c>
    </row>
    <row r="401" spans="1:17" x14ac:dyDescent="0.25">
      <c r="A401">
        <v>400</v>
      </c>
      <c r="B401" t="s">
        <v>400</v>
      </c>
      <c r="C401" t="s">
        <v>401</v>
      </c>
      <c r="D401" t="s">
        <v>13</v>
      </c>
      <c r="E401">
        <v>225000</v>
      </c>
      <c r="F401">
        <v>0</v>
      </c>
      <c r="G401">
        <v>30</v>
      </c>
      <c r="H401">
        <v>330000</v>
      </c>
      <c r="I401">
        <v>105000</v>
      </c>
      <c r="J401" s="1">
        <v>45220</v>
      </c>
      <c r="K401" t="s">
        <v>593</v>
      </c>
      <c r="L401">
        <v>10</v>
      </c>
      <c r="M401">
        <v>2023</v>
      </c>
      <c r="N401">
        <f t="shared" si="6"/>
        <v>-120000</v>
      </c>
      <c r="O401" s="19">
        <f>IF(Table1_2[Tiền Nhập]&lt;&gt;0, Table1_2[Lợi Nhuận Gộp]/Table1_2[Tiền Nhập], 0)</f>
        <v>-0.53333333333333333</v>
      </c>
      <c r="P401">
        <f>IF(Table1_2[SL Xuất]&gt;0, Table1_2[Tiền Xuất]/Table1_2[SL Xuất], 0)</f>
        <v>11000</v>
      </c>
      <c r="Q401">
        <f>Table1_2[SL Xuất] - Table1_2[SL Xuất KM]</f>
        <v>30</v>
      </c>
    </row>
    <row r="402" spans="1:17" x14ac:dyDescent="0.25">
      <c r="A402">
        <v>401</v>
      </c>
      <c r="B402" t="s">
        <v>36</v>
      </c>
      <c r="C402" t="s">
        <v>37</v>
      </c>
      <c r="D402" t="s">
        <v>13</v>
      </c>
      <c r="E402">
        <v>0</v>
      </c>
      <c r="F402">
        <v>8</v>
      </c>
      <c r="G402">
        <v>0</v>
      </c>
      <c r="H402">
        <v>-80000</v>
      </c>
      <c r="I402">
        <v>-80000</v>
      </c>
      <c r="J402" s="1">
        <v>45220</v>
      </c>
      <c r="K402" t="s">
        <v>593</v>
      </c>
      <c r="L402">
        <v>10</v>
      </c>
      <c r="M402">
        <v>2023</v>
      </c>
      <c r="N402">
        <f t="shared" si="6"/>
        <v>-80000</v>
      </c>
      <c r="O402" s="19">
        <f>IF(Table1_2[Tiền Nhập]&lt;&gt;0, Table1_2[Lợi Nhuận Gộp]/Table1_2[Tiền Nhập], 0)</f>
        <v>0</v>
      </c>
      <c r="P402">
        <f>IF(Table1_2[SL Xuất]&gt;0, Table1_2[Tiền Xuất]/Table1_2[SL Xuất], 0)</f>
        <v>0</v>
      </c>
      <c r="Q402">
        <f>Table1_2[SL Xuất] - Table1_2[SL Xuất KM]</f>
        <v>-8</v>
      </c>
    </row>
    <row r="403" spans="1:17" x14ac:dyDescent="0.25">
      <c r="A403">
        <v>402</v>
      </c>
      <c r="B403" t="s">
        <v>183</v>
      </c>
      <c r="C403" t="s">
        <v>184</v>
      </c>
      <c r="D403" t="s">
        <v>23</v>
      </c>
      <c r="E403">
        <v>190008</v>
      </c>
      <c r="F403">
        <v>0</v>
      </c>
      <c r="G403">
        <v>12</v>
      </c>
      <c r="H403">
        <v>312000</v>
      </c>
      <c r="I403">
        <v>121992</v>
      </c>
      <c r="J403" s="1">
        <v>45220</v>
      </c>
      <c r="K403" t="s">
        <v>593</v>
      </c>
      <c r="L403">
        <v>10</v>
      </c>
      <c r="M403">
        <v>2023</v>
      </c>
      <c r="N403">
        <f t="shared" si="6"/>
        <v>-68016</v>
      </c>
      <c r="O403" s="19">
        <f>IF(Table1_2[Tiền Nhập]&lt;&gt;0, Table1_2[Lợi Nhuận Gộp]/Table1_2[Tiền Nhập], 0)</f>
        <v>-0.35796387520525452</v>
      </c>
      <c r="P403">
        <f>IF(Table1_2[SL Xuất]&gt;0, Table1_2[Tiền Xuất]/Table1_2[SL Xuất], 0)</f>
        <v>26000</v>
      </c>
      <c r="Q403">
        <f>Table1_2[SL Xuất] - Table1_2[SL Xuất KM]</f>
        <v>12</v>
      </c>
    </row>
    <row r="404" spans="1:17" x14ac:dyDescent="0.25">
      <c r="A404">
        <v>403</v>
      </c>
      <c r="B404" t="s">
        <v>717</v>
      </c>
      <c r="C404" t="s">
        <v>718</v>
      </c>
      <c r="D404" t="s">
        <v>88</v>
      </c>
      <c r="E404">
        <v>135900</v>
      </c>
      <c r="F404">
        <v>4</v>
      </c>
      <c r="G404">
        <v>3</v>
      </c>
      <c r="H404">
        <v>-25000</v>
      </c>
      <c r="I404">
        <v>-160900</v>
      </c>
      <c r="J404" s="1">
        <v>45220</v>
      </c>
      <c r="K404" t="s">
        <v>728</v>
      </c>
      <c r="L404">
        <v>10</v>
      </c>
      <c r="M404">
        <v>2023</v>
      </c>
      <c r="N404">
        <f t="shared" si="6"/>
        <v>-296800</v>
      </c>
      <c r="O404" s="19">
        <f>IF(Table1_2[Tiền Nhập]&lt;&gt;0, Table1_2[Lợi Nhuận Gộp]/Table1_2[Tiền Nhập], 0)</f>
        <v>-2.1839587932303166</v>
      </c>
      <c r="P404">
        <f>IF(Table1_2[SL Xuất]&gt;0, Table1_2[Tiền Xuất]/Table1_2[SL Xuất], 0)</f>
        <v>-8333.3333333333339</v>
      </c>
      <c r="Q404">
        <f>Table1_2[SL Xuất] - Table1_2[SL Xuất KM]</f>
        <v>-1</v>
      </c>
    </row>
    <row r="405" spans="1:17" x14ac:dyDescent="0.25">
      <c r="A405">
        <v>404</v>
      </c>
      <c r="B405" t="s">
        <v>753</v>
      </c>
      <c r="C405" t="s">
        <v>754</v>
      </c>
      <c r="D405" t="s">
        <v>88</v>
      </c>
      <c r="E405">
        <v>317100</v>
      </c>
      <c r="F405">
        <v>0</v>
      </c>
      <c r="G405">
        <v>7</v>
      </c>
      <c r="H405">
        <v>343000</v>
      </c>
      <c r="I405">
        <v>25900</v>
      </c>
      <c r="J405" s="1">
        <v>45220</v>
      </c>
      <c r="K405" t="s">
        <v>728</v>
      </c>
      <c r="L405">
        <v>10</v>
      </c>
      <c r="M405">
        <v>2023</v>
      </c>
      <c r="N405">
        <f t="shared" si="6"/>
        <v>-291200</v>
      </c>
      <c r="O405" s="19">
        <f>IF(Table1_2[Tiền Nhập]&lt;&gt;0, Table1_2[Lợi Nhuận Gộp]/Table1_2[Tiền Nhập], 0)</f>
        <v>-0.91832229580573954</v>
      </c>
      <c r="P405">
        <f>IF(Table1_2[SL Xuất]&gt;0, Table1_2[Tiền Xuất]/Table1_2[SL Xuất], 0)</f>
        <v>49000</v>
      </c>
      <c r="Q405">
        <f>Table1_2[SL Xuất] - Table1_2[SL Xuất KM]</f>
        <v>7</v>
      </c>
    </row>
    <row r="406" spans="1:17" x14ac:dyDescent="0.25">
      <c r="A406">
        <v>405</v>
      </c>
      <c r="B406" t="s">
        <v>757</v>
      </c>
      <c r="C406" t="s">
        <v>758</v>
      </c>
      <c r="D406" t="s">
        <v>88</v>
      </c>
      <c r="E406">
        <v>634200</v>
      </c>
      <c r="F406">
        <v>0</v>
      </c>
      <c r="G406">
        <v>14</v>
      </c>
      <c r="H406">
        <v>686000</v>
      </c>
      <c r="I406">
        <v>51800</v>
      </c>
      <c r="J406" s="1">
        <v>45220</v>
      </c>
      <c r="K406" t="s">
        <v>728</v>
      </c>
      <c r="L406">
        <v>10</v>
      </c>
      <c r="M406">
        <v>2023</v>
      </c>
      <c r="N406">
        <f t="shared" si="6"/>
        <v>-582400</v>
      </c>
      <c r="O406" s="19">
        <f>IF(Table1_2[Tiền Nhập]&lt;&gt;0, Table1_2[Lợi Nhuận Gộp]/Table1_2[Tiền Nhập], 0)</f>
        <v>-0.91832229580573954</v>
      </c>
      <c r="P406">
        <f>IF(Table1_2[SL Xuất]&gt;0, Table1_2[Tiền Xuất]/Table1_2[SL Xuất], 0)</f>
        <v>49000</v>
      </c>
      <c r="Q406">
        <f>Table1_2[SL Xuất] - Table1_2[SL Xuất KM]</f>
        <v>14</v>
      </c>
    </row>
    <row r="407" spans="1:17" x14ac:dyDescent="0.25">
      <c r="A407">
        <v>406</v>
      </c>
      <c r="B407" t="s">
        <v>981</v>
      </c>
      <c r="C407" t="s">
        <v>982</v>
      </c>
      <c r="D407" t="s">
        <v>13</v>
      </c>
      <c r="E407">
        <v>331520</v>
      </c>
      <c r="F407">
        <v>0</v>
      </c>
      <c r="G407">
        <v>4</v>
      </c>
      <c r="H407">
        <v>408000</v>
      </c>
      <c r="I407">
        <v>76480</v>
      </c>
      <c r="J407" s="1">
        <v>45220</v>
      </c>
      <c r="K407" t="s">
        <v>525</v>
      </c>
      <c r="L407">
        <v>10</v>
      </c>
      <c r="M407">
        <v>2023</v>
      </c>
      <c r="N407">
        <f t="shared" si="6"/>
        <v>-255040</v>
      </c>
      <c r="O407" s="19">
        <f>IF(Table1_2[Tiền Nhập]&lt;&gt;0, Table1_2[Lợi Nhuận Gộp]/Table1_2[Tiền Nhập], 0)</f>
        <v>-0.76930501930501927</v>
      </c>
      <c r="P407">
        <f>IF(Table1_2[SL Xuất]&gt;0, Table1_2[Tiền Xuất]/Table1_2[SL Xuất], 0)</f>
        <v>102000</v>
      </c>
      <c r="Q407">
        <f>Table1_2[SL Xuất] - Table1_2[SL Xuất KM]</f>
        <v>4</v>
      </c>
    </row>
    <row r="408" spans="1:17" x14ac:dyDescent="0.25">
      <c r="A408">
        <v>407</v>
      </c>
      <c r="B408" t="s">
        <v>764</v>
      </c>
      <c r="C408" t="s">
        <v>765</v>
      </c>
      <c r="D408" t="s">
        <v>13</v>
      </c>
      <c r="E408">
        <v>50000</v>
      </c>
      <c r="F408">
        <v>0</v>
      </c>
      <c r="G408">
        <v>20</v>
      </c>
      <c r="H408">
        <v>80000</v>
      </c>
      <c r="I408">
        <v>30000</v>
      </c>
      <c r="J408" s="1">
        <v>45220</v>
      </c>
      <c r="K408" t="s">
        <v>525</v>
      </c>
      <c r="L408">
        <v>10</v>
      </c>
      <c r="M408">
        <v>2023</v>
      </c>
      <c r="N408">
        <f t="shared" si="6"/>
        <v>-20000</v>
      </c>
      <c r="O408" s="19">
        <f>IF(Table1_2[Tiền Nhập]&lt;&gt;0, Table1_2[Lợi Nhuận Gộp]/Table1_2[Tiền Nhập], 0)</f>
        <v>-0.4</v>
      </c>
      <c r="P408">
        <f>IF(Table1_2[SL Xuất]&gt;0, Table1_2[Tiền Xuất]/Table1_2[SL Xuất], 0)</f>
        <v>4000</v>
      </c>
      <c r="Q408">
        <f>Table1_2[SL Xuất] - Table1_2[SL Xuất KM]</f>
        <v>20</v>
      </c>
    </row>
    <row r="409" spans="1:17" x14ac:dyDescent="0.25">
      <c r="A409">
        <v>408</v>
      </c>
      <c r="B409" t="s">
        <v>261</v>
      </c>
      <c r="C409" t="s">
        <v>262</v>
      </c>
      <c r="D409" t="s">
        <v>88</v>
      </c>
      <c r="E409">
        <v>600000</v>
      </c>
      <c r="F409">
        <v>6</v>
      </c>
      <c r="G409">
        <v>6</v>
      </c>
      <c r="H409">
        <v>654000</v>
      </c>
      <c r="I409">
        <v>54000</v>
      </c>
      <c r="J409" s="1">
        <v>45220</v>
      </c>
      <c r="K409" t="s">
        <v>433</v>
      </c>
      <c r="L409">
        <v>10</v>
      </c>
      <c r="M409">
        <v>2023</v>
      </c>
      <c r="N409">
        <f t="shared" si="6"/>
        <v>-546000</v>
      </c>
      <c r="O409" s="19">
        <f>IF(Table1_2[Tiền Nhập]&lt;&gt;0, Table1_2[Lợi Nhuận Gộp]/Table1_2[Tiền Nhập], 0)</f>
        <v>-0.91</v>
      </c>
      <c r="P409">
        <f>IF(Table1_2[SL Xuất]&gt;0, Table1_2[Tiền Xuất]/Table1_2[SL Xuất], 0)</f>
        <v>109000</v>
      </c>
      <c r="Q409">
        <f>Table1_2[SL Xuất] - Table1_2[SL Xuất KM]</f>
        <v>0</v>
      </c>
    </row>
    <row r="410" spans="1:17" x14ac:dyDescent="0.25">
      <c r="A410">
        <v>409</v>
      </c>
      <c r="B410" t="s">
        <v>314</v>
      </c>
      <c r="C410" t="s">
        <v>315</v>
      </c>
      <c r="D410" t="s">
        <v>13</v>
      </c>
      <c r="E410">
        <v>288000</v>
      </c>
      <c r="F410">
        <v>0</v>
      </c>
      <c r="G410">
        <v>48</v>
      </c>
      <c r="H410">
        <v>360000</v>
      </c>
      <c r="I410">
        <v>72000</v>
      </c>
      <c r="J410" s="1">
        <v>45220</v>
      </c>
      <c r="K410" t="s">
        <v>127</v>
      </c>
      <c r="L410">
        <v>10</v>
      </c>
      <c r="M410">
        <v>2023</v>
      </c>
      <c r="N410">
        <f t="shared" si="6"/>
        <v>-216000</v>
      </c>
      <c r="O410" s="19">
        <f>IF(Table1_2[Tiền Nhập]&lt;&gt;0, Table1_2[Lợi Nhuận Gộp]/Table1_2[Tiền Nhập], 0)</f>
        <v>-0.75</v>
      </c>
      <c r="P410">
        <f>IF(Table1_2[SL Xuất]&gt;0, Table1_2[Tiền Xuất]/Table1_2[SL Xuất], 0)</f>
        <v>7500</v>
      </c>
      <c r="Q410">
        <f>Table1_2[SL Xuất] - Table1_2[SL Xuất KM]</f>
        <v>48</v>
      </c>
    </row>
    <row r="411" spans="1:17" x14ac:dyDescent="0.25">
      <c r="A411">
        <v>410</v>
      </c>
      <c r="B411" t="s">
        <v>133</v>
      </c>
      <c r="C411" t="s">
        <v>134</v>
      </c>
      <c r="D411" t="s">
        <v>13</v>
      </c>
      <c r="E411">
        <v>200010</v>
      </c>
      <c r="F411">
        <v>0</v>
      </c>
      <c r="G411">
        <v>30</v>
      </c>
      <c r="H411">
        <v>225000</v>
      </c>
      <c r="I411">
        <v>24990</v>
      </c>
      <c r="J411" s="1">
        <v>45220</v>
      </c>
      <c r="K411" t="s">
        <v>127</v>
      </c>
      <c r="L411">
        <v>10</v>
      </c>
      <c r="M411">
        <v>2023</v>
      </c>
      <c r="N411">
        <f t="shared" si="6"/>
        <v>-175020</v>
      </c>
      <c r="O411" s="19">
        <f>IF(Table1_2[Tiền Nhập]&lt;&gt;0, Table1_2[Lợi Nhuận Gộp]/Table1_2[Tiền Nhập], 0)</f>
        <v>-0.87505624718764063</v>
      </c>
      <c r="P411">
        <f>IF(Table1_2[SL Xuất]&gt;0, Table1_2[Tiền Xuất]/Table1_2[SL Xuất], 0)</f>
        <v>7500</v>
      </c>
      <c r="Q411">
        <f>Table1_2[SL Xuất] - Table1_2[SL Xuất KM]</f>
        <v>30</v>
      </c>
    </row>
    <row r="412" spans="1:17" x14ac:dyDescent="0.25">
      <c r="A412">
        <v>411</v>
      </c>
      <c r="B412" t="s">
        <v>251</v>
      </c>
      <c r="C412" t="s">
        <v>252</v>
      </c>
      <c r="D412" t="s">
        <v>88</v>
      </c>
      <c r="E412">
        <v>0</v>
      </c>
      <c r="F412">
        <v>3</v>
      </c>
      <c r="G412">
        <v>0</v>
      </c>
      <c r="H412">
        <v>-327000</v>
      </c>
      <c r="I412">
        <v>-327000</v>
      </c>
      <c r="J412" s="1">
        <v>45220</v>
      </c>
      <c r="K412" t="s">
        <v>821</v>
      </c>
      <c r="L412">
        <v>10</v>
      </c>
      <c r="M412">
        <v>2023</v>
      </c>
      <c r="N412">
        <f t="shared" si="6"/>
        <v>-327000</v>
      </c>
      <c r="O412" s="19">
        <f>IF(Table1_2[Tiền Nhập]&lt;&gt;0, Table1_2[Lợi Nhuận Gộp]/Table1_2[Tiền Nhập], 0)</f>
        <v>0</v>
      </c>
      <c r="P412">
        <f>IF(Table1_2[SL Xuất]&gt;0, Table1_2[Tiền Xuất]/Table1_2[SL Xuất], 0)</f>
        <v>0</v>
      </c>
      <c r="Q412">
        <f>Table1_2[SL Xuất] - Table1_2[SL Xuất KM]</f>
        <v>-3</v>
      </c>
    </row>
    <row r="413" spans="1:17" x14ac:dyDescent="0.25">
      <c r="A413">
        <v>412</v>
      </c>
      <c r="B413" t="s">
        <v>259</v>
      </c>
      <c r="C413" t="s">
        <v>260</v>
      </c>
      <c r="D413" t="s">
        <v>88</v>
      </c>
      <c r="E413">
        <v>300000</v>
      </c>
      <c r="F413">
        <v>0</v>
      </c>
      <c r="G413">
        <v>3</v>
      </c>
      <c r="H413">
        <v>654000</v>
      </c>
      <c r="I413">
        <v>354000</v>
      </c>
      <c r="J413" s="1">
        <v>45220</v>
      </c>
      <c r="K413" t="s">
        <v>821</v>
      </c>
      <c r="L413">
        <v>10</v>
      </c>
      <c r="M413">
        <v>2023</v>
      </c>
      <c r="N413">
        <f t="shared" si="6"/>
        <v>54000</v>
      </c>
      <c r="O413" s="19">
        <f>IF(Table1_2[Tiền Nhập]&lt;&gt;0, Table1_2[Lợi Nhuận Gộp]/Table1_2[Tiền Nhập], 0)</f>
        <v>0.18</v>
      </c>
      <c r="P413">
        <f>IF(Table1_2[SL Xuất]&gt;0, Table1_2[Tiền Xuất]/Table1_2[SL Xuất], 0)</f>
        <v>218000</v>
      </c>
      <c r="Q413">
        <f>Table1_2[SL Xuất] - Table1_2[SL Xuất KM]</f>
        <v>3</v>
      </c>
    </row>
    <row r="414" spans="1:17" x14ac:dyDescent="0.25">
      <c r="A414">
        <v>413</v>
      </c>
      <c r="B414" t="s">
        <v>94</v>
      </c>
      <c r="C414" t="s">
        <v>95</v>
      </c>
      <c r="D414" t="s">
        <v>45</v>
      </c>
      <c r="E414">
        <v>0</v>
      </c>
      <c r="F414">
        <v>0</v>
      </c>
      <c r="G414">
        <v>0</v>
      </c>
      <c r="H414">
        <v>0</v>
      </c>
      <c r="I414">
        <v>0</v>
      </c>
      <c r="J414" s="1">
        <v>45222</v>
      </c>
      <c r="K414" t="s">
        <v>66</v>
      </c>
      <c r="L414">
        <v>10</v>
      </c>
      <c r="M414">
        <v>2023</v>
      </c>
      <c r="N414">
        <f t="shared" si="6"/>
        <v>0</v>
      </c>
      <c r="O414" s="19">
        <f>IF(Table1_2[Tiền Nhập]&lt;&gt;0, Table1_2[Lợi Nhuận Gộp]/Table1_2[Tiền Nhập], 0)</f>
        <v>0</v>
      </c>
      <c r="P414">
        <f>IF(Table1_2[SL Xuất]&gt;0, Table1_2[Tiền Xuất]/Table1_2[SL Xuất], 0)</f>
        <v>0</v>
      </c>
      <c r="Q414">
        <f>Table1_2[SL Xuất] - Table1_2[SL Xuất KM]</f>
        <v>0</v>
      </c>
    </row>
    <row r="415" spans="1:17" x14ac:dyDescent="0.25">
      <c r="A415">
        <v>414</v>
      </c>
      <c r="B415" t="s">
        <v>987</v>
      </c>
      <c r="C415" t="s">
        <v>988</v>
      </c>
      <c r="D415" t="s">
        <v>149</v>
      </c>
      <c r="E415">
        <v>693000</v>
      </c>
      <c r="F415">
        <v>5</v>
      </c>
      <c r="G415">
        <v>44</v>
      </c>
      <c r="H415">
        <v>792000</v>
      </c>
      <c r="I415">
        <v>99000</v>
      </c>
      <c r="J415" s="1">
        <v>45225</v>
      </c>
      <c r="K415" t="s">
        <v>535</v>
      </c>
      <c r="L415">
        <v>10</v>
      </c>
      <c r="M415">
        <v>2023</v>
      </c>
      <c r="N415">
        <f t="shared" si="6"/>
        <v>-594000</v>
      </c>
      <c r="O415" s="19">
        <f>IF(Table1_2[Tiền Nhập]&lt;&gt;0, Table1_2[Lợi Nhuận Gộp]/Table1_2[Tiền Nhập], 0)</f>
        <v>-0.8571428571428571</v>
      </c>
      <c r="P415">
        <f>IF(Table1_2[SL Xuất]&gt;0, Table1_2[Tiền Xuất]/Table1_2[SL Xuất], 0)</f>
        <v>18000</v>
      </c>
      <c r="Q415">
        <f>Table1_2[SL Xuất] - Table1_2[SL Xuất KM]</f>
        <v>39</v>
      </c>
    </row>
    <row r="416" spans="1:17" x14ac:dyDescent="0.25">
      <c r="A416">
        <v>415</v>
      </c>
      <c r="B416" t="s">
        <v>905</v>
      </c>
      <c r="C416" t="s">
        <v>906</v>
      </c>
      <c r="D416" t="s">
        <v>88</v>
      </c>
      <c r="E416">
        <v>240000</v>
      </c>
      <c r="F416">
        <v>0</v>
      </c>
      <c r="G416">
        <v>1</v>
      </c>
      <c r="H416">
        <v>250000</v>
      </c>
      <c r="I416">
        <v>10000</v>
      </c>
      <c r="J416" s="1">
        <v>45225</v>
      </c>
      <c r="K416" t="s">
        <v>154</v>
      </c>
      <c r="L416">
        <v>10</v>
      </c>
      <c r="M416">
        <v>2023</v>
      </c>
      <c r="N416">
        <f t="shared" si="6"/>
        <v>-230000</v>
      </c>
      <c r="O416" s="19">
        <f>IF(Table1_2[Tiền Nhập]&lt;&gt;0, Table1_2[Lợi Nhuận Gộp]/Table1_2[Tiền Nhập], 0)</f>
        <v>-0.95833333333333337</v>
      </c>
      <c r="P416">
        <f>IF(Table1_2[SL Xuất]&gt;0, Table1_2[Tiền Xuất]/Table1_2[SL Xuất], 0)</f>
        <v>250000</v>
      </c>
      <c r="Q416">
        <f>Table1_2[SL Xuất] - Table1_2[SL Xuất KM]</f>
        <v>1</v>
      </c>
    </row>
    <row r="417" spans="1:17" x14ac:dyDescent="0.25">
      <c r="A417">
        <v>416</v>
      </c>
      <c r="B417" t="s">
        <v>183</v>
      </c>
      <c r="C417" t="s">
        <v>184</v>
      </c>
      <c r="D417" t="s">
        <v>23</v>
      </c>
      <c r="E417">
        <v>950040</v>
      </c>
      <c r="F417">
        <v>12</v>
      </c>
      <c r="G417">
        <v>60</v>
      </c>
      <c r="H417">
        <v>1325000</v>
      </c>
      <c r="I417">
        <v>374960</v>
      </c>
      <c r="J417" s="1">
        <v>45225</v>
      </c>
      <c r="K417" t="s">
        <v>154</v>
      </c>
      <c r="L417">
        <v>10</v>
      </c>
      <c r="M417">
        <v>2023</v>
      </c>
      <c r="N417">
        <f t="shared" si="6"/>
        <v>-575080</v>
      </c>
      <c r="O417" s="19">
        <f>IF(Table1_2[Tiền Nhập]&lt;&gt;0, Table1_2[Lợi Nhuận Gộp]/Table1_2[Tiền Nhập], 0)</f>
        <v>-0.60532188118395014</v>
      </c>
      <c r="P417">
        <f>IF(Table1_2[SL Xuất]&gt;0, Table1_2[Tiền Xuất]/Table1_2[SL Xuất], 0)</f>
        <v>22083.333333333332</v>
      </c>
      <c r="Q417">
        <f>Table1_2[SL Xuất] - Table1_2[SL Xuất KM]</f>
        <v>48</v>
      </c>
    </row>
    <row r="418" spans="1:17" x14ac:dyDescent="0.25">
      <c r="A418">
        <v>417</v>
      </c>
      <c r="B418" t="s">
        <v>147</v>
      </c>
      <c r="C418" t="s">
        <v>148</v>
      </c>
      <c r="D418" t="s">
        <v>149</v>
      </c>
      <c r="E418">
        <v>55000</v>
      </c>
      <c r="F418">
        <v>0</v>
      </c>
      <c r="G418">
        <v>10</v>
      </c>
      <c r="H418">
        <v>60000</v>
      </c>
      <c r="I418">
        <v>5000</v>
      </c>
      <c r="J418" s="1">
        <v>45225</v>
      </c>
      <c r="K418" t="s">
        <v>996</v>
      </c>
      <c r="L418">
        <v>10</v>
      </c>
      <c r="M418">
        <v>2023</v>
      </c>
      <c r="N418">
        <f t="shared" si="6"/>
        <v>-50000</v>
      </c>
      <c r="O418" s="19">
        <f>IF(Table1_2[Tiền Nhập]&lt;&gt;0, Table1_2[Lợi Nhuận Gộp]/Table1_2[Tiền Nhập], 0)</f>
        <v>-0.90909090909090906</v>
      </c>
      <c r="P418">
        <f>IF(Table1_2[SL Xuất]&gt;0, Table1_2[Tiền Xuất]/Table1_2[SL Xuất], 0)</f>
        <v>6000</v>
      </c>
      <c r="Q418">
        <f>Table1_2[SL Xuất] - Table1_2[SL Xuất KM]</f>
        <v>10</v>
      </c>
    </row>
    <row r="419" spans="1:17" x14ac:dyDescent="0.25">
      <c r="A419">
        <v>418</v>
      </c>
      <c r="B419" t="s">
        <v>155</v>
      </c>
      <c r="C419" t="s">
        <v>156</v>
      </c>
      <c r="D419" t="s">
        <v>149</v>
      </c>
      <c r="E419">
        <v>110000</v>
      </c>
      <c r="F419">
        <v>0</v>
      </c>
      <c r="G419">
        <v>20</v>
      </c>
      <c r="H419">
        <v>120000</v>
      </c>
      <c r="I419">
        <v>10000</v>
      </c>
      <c r="J419" s="1">
        <v>45225</v>
      </c>
      <c r="K419" t="s">
        <v>996</v>
      </c>
      <c r="L419">
        <v>10</v>
      </c>
      <c r="M419">
        <v>2023</v>
      </c>
      <c r="N419">
        <f t="shared" si="6"/>
        <v>-100000</v>
      </c>
      <c r="O419" s="19">
        <f>IF(Table1_2[Tiền Nhập]&lt;&gt;0, Table1_2[Lợi Nhuận Gộp]/Table1_2[Tiền Nhập], 0)</f>
        <v>-0.90909090909090906</v>
      </c>
      <c r="P419">
        <f>IF(Table1_2[SL Xuất]&gt;0, Table1_2[Tiền Xuất]/Table1_2[SL Xuất], 0)</f>
        <v>6000</v>
      </c>
      <c r="Q419">
        <f>Table1_2[SL Xuất] - Table1_2[SL Xuất KM]</f>
        <v>20</v>
      </c>
    </row>
    <row r="420" spans="1:17" x14ac:dyDescent="0.25">
      <c r="A420">
        <v>419</v>
      </c>
      <c r="B420" t="s">
        <v>632</v>
      </c>
      <c r="C420" t="s">
        <v>633</v>
      </c>
      <c r="D420" t="s">
        <v>13</v>
      </c>
      <c r="E420">
        <v>52500</v>
      </c>
      <c r="F420">
        <v>0</v>
      </c>
      <c r="G420">
        <v>10</v>
      </c>
      <c r="H420">
        <v>70000</v>
      </c>
      <c r="I420">
        <v>17500</v>
      </c>
      <c r="J420" s="1">
        <v>45225</v>
      </c>
      <c r="K420" t="s">
        <v>996</v>
      </c>
      <c r="L420">
        <v>10</v>
      </c>
      <c r="M420">
        <v>2023</v>
      </c>
      <c r="N420">
        <f t="shared" si="6"/>
        <v>-35000</v>
      </c>
      <c r="O420" s="19">
        <f>IF(Table1_2[Tiền Nhập]&lt;&gt;0, Table1_2[Lợi Nhuận Gộp]/Table1_2[Tiền Nhập], 0)</f>
        <v>-0.66666666666666663</v>
      </c>
      <c r="P420">
        <f>IF(Table1_2[SL Xuất]&gt;0, Table1_2[Tiền Xuất]/Table1_2[SL Xuất], 0)</f>
        <v>7000</v>
      </c>
      <c r="Q420">
        <f>Table1_2[SL Xuất] - Table1_2[SL Xuất KM]</f>
        <v>10</v>
      </c>
    </row>
    <row r="421" spans="1:17" x14ac:dyDescent="0.25">
      <c r="A421">
        <v>420</v>
      </c>
      <c r="B421" t="s">
        <v>147</v>
      </c>
      <c r="C421" t="s">
        <v>148</v>
      </c>
      <c r="D421" t="s">
        <v>149</v>
      </c>
      <c r="E421">
        <v>165000</v>
      </c>
      <c r="F421">
        <v>0</v>
      </c>
      <c r="G421">
        <v>30</v>
      </c>
      <c r="H421">
        <v>180000</v>
      </c>
      <c r="I421">
        <v>15000</v>
      </c>
      <c r="J421" s="1">
        <v>45225</v>
      </c>
      <c r="K421" t="s">
        <v>316</v>
      </c>
      <c r="L421">
        <v>10</v>
      </c>
      <c r="M421">
        <v>2023</v>
      </c>
      <c r="N421">
        <f t="shared" si="6"/>
        <v>-150000</v>
      </c>
      <c r="O421" s="19">
        <f>IF(Table1_2[Tiền Nhập]&lt;&gt;0, Table1_2[Lợi Nhuận Gộp]/Table1_2[Tiền Nhập], 0)</f>
        <v>-0.90909090909090906</v>
      </c>
      <c r="P421">
        <f>IF(Table1_2[SL Xuất]&gt;0, Table1_2[Tiền Xuất]/Table1_2[SL Xuất], 0)</f>
        <v>6000</v>
      </c>
      <c r="Q421">
        <f>Table1_2[SL Xuất] - Table1_2[SL Xuất KM]</f>
        <v>30</v>
      </c>
    </row>
    <row r="422" spans="1:17" x14ac:dyDescent="0.25">
      <c r="A422">
        <v>421</v>
      </c>
      <c r="B422" t="s">
        <v>155</v>
      </c>
      <c r="C422" t="s">
        <v>156</v>
      </c>
      <c r="D422" t="s">
        <v>149</v>
      </c>
      <c r="E422">
        <v>165000</v>
      </c>
      <c r="F422">
        <v>0</v>
      </c>
      <c r="G422">
        <v>30</v>
      </c>
      <c r="H422">
        <v>180000</v>
      </c>
      <c r="I422">
        <v>15000</v>
      </c>
      <c r="J422" s="1">
        <v>45225</v>
      </c>
      <c r="K422" t="s">
        <v>316</v>
      </c>
      <c r="L422">
        <v>10</v>
      </c>
      <c r="M422">
        <v>2023</v>
      </c>
      <c r="N422">
        <f t="shared" si="6"/>
        <v>-150000</v>
      </c>
      <c r="O422" s="19">
        <f>IF(Table1_2[Tiền Nhập]&lt;&gt;0, Table1_2[Lợi Nhuận Gộp]/Table1_2[Tiền Nhập], 0)</f>
        <v>-0.90909090909090906</v>
      </c>
      <c r="P422">
        <f>IF(Table1_2[SL Xuất]&gt;0, Table1_2[Tiền Xuất]/Table1_2[SL Xuất], 0)</f>
        <v>6000</v>
      </c>
      <c r="Q422">
        <f>Table1_2[SL Xuất] - Table1_2[SL Xuất KM]</f>
        <v>30</v>
      </c>
    </row>
    <row r="423" spans="1:17" x14ac:dyDescent="0.25">
      <c r="A423">
        <v>422</v>
      </c>
      <c r="B423" t="s">
        <v>111</v>
      </c>
      <c r="C423" t="s">
        <v>112</v>
      </c>
      <c r="D423" t="s">
        <v>13</v>
      </c>
      <c r="E423">
        <v>231000</v>
      </c>
      <c r="F423">
        <v>0</v>
      </c>
      <c r="G423">
        <v>30</v>
      </c>
      <c r="H423">
        <v>300000</v>
      </c>
      <c r="I423">
        <v>69000</v>
      </c>
      <c r="J423" s="1">
        <v>45225</v>
      </c>
      <c r="K423" t="s">
        <v>316</v>
      </c>
      <c r="L423">
        <v>10</v>
      </c>
      <c r="M423">
        <v>2023</v>
      </c>
      <c r="N423">
        <f t="shared" si="6"/>
        <v>-162000</v>
      </c>
      <c r="O423" s="19">
        <f>IF(Table1_2[Tiền Nhập]&lt;&gt;0, Table1_2[Lợi Nhuận Gộp]/Table1_2[Tiền Nhập], 0)</f>
        <v>-0.70129870129870131</v>
      </c>
      <c r="P423">
        <f>IF(Table1_2[SL Xuất]&gt;0, Table1_2[Tiền Xuất]/Table1_2[SL Xuất], 0)</f>
        <v>10000</v>
      </c>
      <c r="Q423">
        <f>Table1_2[SL Xuất] - Table1_2[SL Xuất KM]</f>
        <v>30</v>
      </c>
    </row>
    <row r="424" spans="1:17" x14ac:dyDescent="0.25">
      <c r="A424">
        <v>423</v>
      </c>
      <c r="B424" t="s">
        <v>67</v>
      </c>
      <c r="C424" t="s">
        <v>68</v>
      </c>
      <c r="D424" t="s">
        <v>13</v>
      </c>
      <c r="E424">
        <v>110000</v>
      </c>
      <c r="F424">
        <v>0</v>
      </c>
      <c r="G424">
        <v>10</v>
      </c>
      <c r="H424">
        <v>110000</v>
      </c>
      <c r="I424">
        <v>0</v>
      </c>
      <c r="J424" s="1">
        <v>45225</v>
      </c>
      <c r="K424" t="s">
        <v>316</v>
      </c>
      <c r="L424">
        <v>10</v>
      </c>
      <c r="M424">
        <v>2023</v>
      </c>
      <c r="N424">
        <f t="shared" si="6"/>
        <v>-110000</v>
      </c>
      <c r="O424" s="19">
        <f>IF(Table1_2[Tiền Nhập]&lt;&gt;0, Table1_2[Lợi Nhuận Gộp]/Table1_2[Tiền Nhập], 0)</f>
        <v>-1</v>
      </c>
      <c r="P424">
        <f>IF(Table1_2[SL Xuất]&gt;0, Table1_2[Tiền Xuất]/Table1_2[SL Xuất], 0)</f>
        <v>11000</v>
      </c>
      <c r="Q424">
        <f>Table1_2[SL Xuất] - Table1_2[SL Xuất KM]</f>
        <v>10</v>
      </c>
    </row>
    <row r="425" spans="1:17" x14ac:dyDescent="0.25">
      <c r="A425">
        <v>424</v>
      </c>
      <c r="B425" t="s">
        <v>183</v>
      </c>
      <c r="C425" t="s">
        <v>184</v>
      </c>
      <c r="D425" t="s">
        <v>23</v>
      </c>
      <c r="E425">
        <v>190008</v>
      </c>
      <c r="F425">
        <v>0</v>
      </c>
      <c r="G425">
        <v>12</v>
      </c>
      <c r="H425">
        <v>270000</v>
      </c>
      <c r="I425">
        <v>79992</v>
      </c>
      <c r="J425" s="1">
        <v>45225</v>
      </c>
      <c r="K425" t="s">
        <v>316</v>
      </c>
      <c r="L425">
        <v>10</v>
      </c>
      <c r="M425">
        <v>2023</v>
      </c>
      <c r="N425">
        <f t="shared" si="6"/>
        <v>-110016</v>
      </c>
      <c r="O425" s="19">
        <f>IF(Table1_2[Tiền Nhập]&lt;&gt;0, Table1_2[Lợi Nhuận Gộp]/Table1_2[Tiền Nhập], 0)</f>
        <v>-0.57900719969685488</v>
      </c>
      <c r="P425">
        <f>IF(Table1_2[SL Xuất]&gt;0, Table1_2[Tiền Xuất]/Table1_2[SL Xuất], 0)</f>
        <v>22500</v>
      </c>
      <c r="Q425">
        <f>Table1_2[SL Xuất] - Table1_2[SL Xuất KM]</f>
        <v>12</v>
      </c>
    </row>
    <row r="426" spans="1:17" x14ac:dyDescent="0.25">
      <c r="A426">
        <v>425</v>
      </c>
      <c r="B426" t="s">
        <v>701</v>
      </c>
      <c r="C426" t="s">
        <v>702</v>
      </c>
      <c r="D426" t="s">
        <v>45</v>
      </c>
      <c r="E426">
        <v>0</v>
      </c>
      <c r="F426">
        <v>1</v>
      </c>
      <c r="G426">
        <v>0</v>
      </c>
      <c r="H426">
        <v>-282000</v>
      </c>
      <c r="I426">
        <v>-282000</v>
      </c>
      <c r="J426" s="1">
        <v>45225</v>
      </c>
      <c r="K426" t="s">
        <v>347</v>
      </c>
      <c r="L426">
        <v>10</v>
      </c>
      <c r="M426">
        <v>2023</v>
      </c>
      <c r="N426">
        <f t="shared" si="6"/>
        <v>-282000</v>
      </c>
      <c r="O426" s="19">
        <f>IF(Table1_2[Tiền Nhập]&lt;&gt;0, Table1_2[Lợi Nhuận Gộp]/Table1_2[Tiền Nhập], 0)</f>
        <v>0</v>
      </c>
      <c r="P426">
        <f>IF(Table1_2[SL Xuất]&gt;0, Table1_2[Tiền Xuất]/Table1_2[SL Xuất], 0)</f>
        <v>0</v>
      </c>
      <c r="Q426">
        <f>Table1_2[SL Xuất] - Table1_2[SL Xuất KM]</f>
        <v>-1</v>
      </c>
    </row>
    <row r="427" spans="1:17" x14ac:dyDescent="0.25">
      <c r="A427">
        <v>426</v>
      </c>
      <c r="B427" t="s">
        <v>287</v>
      </c>
      <c r="C427" t="s">
        <v>288</v>
      </c>
      <c r="D427" t="s">
        <v>88</v>
      </c>
      <c r="E427">
        <v>145000</v>
      </c>
      <c r="F427">
        <v>0</v>
      </c>
      <c r="G427">
        <v>10</v>
      </c>
      <c r="H427">
        <v>140000</v>
      </c>
      <c r="I427">
        <v>-5000</v>
      </c>
      <c r="J427" s="1">
        <v>45225</v>
      </c>
      <c r="K427" t="s">
        <v>347</v>
      </c>
      <c r="L427">
        <v>10</v>
      </c>
      <c r="M427">
        <v>2023</v>
      </c>
      <c r="N427">
        <f t="shared" si="6"/>
        <v>-150000</v>
      </c>
      <c r="O427" s="19">
        <f>IF(Table1_2[Tiền Nhập]&lt;&gt;0, Table1_2[Lợi Nhuận Gộp]/Table1_2[Tiền Nhập], 0)</f>
        <v>-1.0344827586206897</v>
      </c>
      <c r="P427">
        <f>IF(Table1_2[SL Xuất]&gt;0, Table1_2[Tiền Xuất]/Table1_2[SL Xuất], 0)</f>
        <v>14000</v>
      </c>
      <c r="Q427">
        <f>Table1_2[SL Xuất] - Table1_2[SL Xuất KM]</f>
        <v>10</v>
      </c>
    </row>
    <row r="428" spans="1:17" x14ac:dyDescent="0.25">
      <c r="A428">
        <v>427</v>
      </c>
      <c r="B428" t="s">
        <v>292</v>
      </c>
      <c r="C428" t="s">
        <v>293</v>
      </c>
      <c r="D428" t="s">
        <v>88</v>
      </c>
      <c r="E428">
        <v>145000</v>
      </c>
      <c r="F428">
        <v>0</v>
      </c>
      <c r="G428">
        <v>10</v>
      </c>
      <c r="H428">
        <v>140000</v>
      </c>
      <c r="I428">
        <v>-5000</v>
      </c>
      <c r="J428" s="1">
        <v>45225</v>
      </c>
      <c r="K428" t="s">
        <v>347</v>
      </c>
      <c r="L428">
        <v>10</v>
      </c>
      <c r="M428">
        <v>2023</v>
      </c>
      <c r="N428">
        <f t="shared" si="6"/>
        <v>-150000</v>
      </c>
      <c r="O428" s="19">
        <f>IF(Table1_2[Tiền Nhập]&lt;&gt;0, Table1_2[Lợi Nhuận Gộp]/Table1_2[Tiền Nhập], 0)</f>
        <v>-1.0344827586206897</v>
      </c>
      <c r="P428">
        <f>IF(Table1_2[SL Xuất]&gt;0, Table1_2[Tiền Xuất]/Table1_2[SL Xuất], 0)</f>
        <v>14000</v>
      </c>
      <c r="Q428">
        <f>Table1_2[SL Xuất] - Table1_2[SL Xuất KM]</f>
        <v>10</v>
      </c>
    </row>
    <row r="429" spans="1:17" x14ac:dyDescent="0.25">
      <c r="A429">
        <v>428</v>
      </c>
      <c r="B429" t="s">
        <v>1001</v>
      </c>
      <c r="C429" t="s">
        <v>1002</v>
      </c>
      <c r="D429" t="s">
        <v>88</v>
      </c>
      <c r="E429">
        <v>86400</v>
      </c>
      <c r="F429">
        <v>0</v>
      </c>
      <c r="G429">
        <v>3</v>
      </c>
      <c r="H429">
        <v>90000</v>
      </c>
      <c r="I429">
        <v>3600</v>
      </c>
      <c r="J429" s="1">
        <v>45225</v>
      </c>
      <c r="K429" t="s">
        <v>347</v>
      </c>
      <c r="L429">
        <v>10</v>
      </c>
      <c r="M429">
        <v>2023</v>
      </c>
      <c r="N429">
        <f t="shared" si="6"/>
        <v>-82800</v>
      </c>
      <c r="O429" s="19">
        <f>IF(Table1_2[Tiền Nhập]&lt;&gt;0, Table1_2[Lợi Nhuận Gộp]/Table1_2[Tiền Nhập], 0)</f>
        <v>-0.95833333333333337</v>
      </c>
      <c r="P429">
        <f>IF(Table1_2[SL Xuất]&gt;0, Table1_2[Tiền Xuất]/Table1_2[SL Xuất], 0)</f>
        <v>30000</v>
      </c>
      <c r="Q429">
        <f>Table1_2[SL Xuất] - Table1_2[SL Xuất KM]</f>
        <v>3</v>
      </c>
    </row>
    <row r="430" spans="1:17" x14ac:dyDescent="0.25">
      <c r="A430">
        <v>429</v>
      </c>
      <c r="B430" t="s">
        <v>1004</v>
      </c>
      <c r="C430" t="s">
        <v>1005</v>
      </c>
      <c r="D430" t="s">
        <v>88</v>
      </c>
      <c r="E430">
        <v>86400</v>
      </c>
      <c r="F430">
        <v>0</v>
      </c>
      <c r="G430">
        <v>3</v>
      </c>
      <c r="H430">
        <v>90000</v>
      </c>
      <c r="I430">
        <v>3600</v>
      </c>
      <c r="J430" s="1">
        <v>45225</v>
      </c>
      <c r="K430" t="s">
        <v>347</v>
      </c>
      <c r="L430">
        <v>10</v>
      </c>
      <c r="M430">
        <v>2023</v>
      </c>
      <c r="N430">
        <f t="shared" si="6"/>
        <v>-82800</v>
      </c>
      <c r="O430" s="19">
        <f>IF(Table1_2[Tiền Nhập]&lt;&gt;0, Table1_2[Lợi Nhuận Gộp]/Table1_2[Tiền Nhập], 0)</f>
        <v>-0.95833333333333337</v>
      </c>
      <c r="P430">
        <f>IF(Table1_2[SL Xuất]&gt;0, Table1_2[Tiền Xuất]/Table1_2[SL Xuất], 0)</f>
        <v>30000</v>
      </c>
      <c r="Q430">
        <f>Table1_2[SL Xuất] - Table1_2[SL Xuất KM]</f>
        <v>3</v>
      </c>
    </row>
    <row r="431" spans="1:17" x14ac:dyDescent="0.25">
      <c r="A431">
        <v>430</v>
      </c>
      <c r="B431" t="s">
        <v>1006</v>
      </c>
      <c r="C431" t="s">
        <v>1007</v>
      </c>
      <c r="D431" t="s">
        <v>13</v>
      </c>
      <c r="E431">
        <v>540000</v>
      </c>
      <c r="F431">
        <v>0</v>
      </c>
      <c r="G431">
        <v>60</v>
      </c>
      <c r="H431">
        <v>1080000</v>
      </c>
      <c r="I431">
        <v>540000</v>
      </c>
      <c r="J431" s="1">
        <v>45225</v>
      </c>
      <c r="K431" t="s">
        <v>347</v>
      </c>
      <c r="L431">
        <v>10</v>
      </c>
      <c r="M431">
        <v>2023</v>
      </c>
      <c r="N431">
        <f t="shared" si="6"/>
        <v>0</v>
      </c>
      <c r="O431" s="19">
        <f>IF(Table1_2[Tiền Nhập]&lt;&gt;0, Table1_2[Lợi Nhuận Gộp]/Table1_2[Tiền Nhập], 0)</f>
        <v>0</v>
      </c>
      <c r="P431">
        <f>IF(Table1_2[SL Xuất]&gt;0, Table1_2[Tiền Xuất]/Table1_2[SL Xuất], 0)</f>
        <v>18000</v>
      </c>
      <c r="Q431">
        <f>Table1_2[SL Xuất] - Table1_2[SL Xuất KM]</f>
        <v>60</v>
      </c>
    </row>
    <row r="432" spans="1:17" x14ac:dyDescent="0.25">
      <c r="A432">
        <v>431</v>
      </c>
      <c r="B432" t="s">
        <v>111</v>
      </c>
      <c r="C432" t="s">
        <v>112</v>
      </c>
      <c r="D432" t="s">
        <v>13</v>
      </c>
      <c r="E432">
        <v>231000</v>
      </c>
      <c r="F432">
        <v>0</v>
      </c>
      <c r="G432">
        <v>30</v>
      </c>
      <c r="H432">
        <v>300000</v>
      </c>
      <c r="I432">
        <v>69000</v>
      </c>
      <c r="J432" s="1">
        <v>45225</v>
      </c>
      <c r="K432" t="s">
        <v>1008</v>
      </c>
      <c r="L432">
        <v>10</v>
      </c>
      <c r="M432">
        <v>2023</v>
      </c>
      <c r="N432">
        <f t="shared" si="6"/>
        <v>-162000</v>
      </c>
      <c r="O432" s="19">
        <f>IF(Table1_2[Tiền Nhập]&lt;&gt;0, Table1_2[Lợi Nhuận Gộp]/Table1_2[Tiền Nhập], 0)</f>
        <v>-0.70129870129870131</v>
      </c>
      <c r="P432">
        <f>IF(Table1_2[SL Xuất]&gt;0, Table1_2[Tiền Xuất]/Table1_2[SL Xuất], 0)</f>
        <v>10000</v>
      </c>
      <c r="Q432">
        <f>Table1_2[SL Xuất] - Table1_2[SL Xuất KM]</f>
        <v>30</v>
      </c>
    </row>
    <row r="433" spans="1:17" x14ac:dyDescent="0.25">
      <c r="A433">
        <v>432</v>
      </c>
      <c r="B433" t="s">
        <v>1009</v>
      </c>
      <c r="C433" t="s">
        <v>1010</v>
      </c>
      <c r="D433" t="s">
        <v>88</v>
      </c>
      <c r="E433">
        <v>90000</v>
      </c>
      <c r="F433">
        <v>1</v>
      </c>
      <c r="G433">
        <v>12</v>
      </c>
      <c r="H433">
        <v>133000</v>
      </c>
      <c r="I433">
        <v>43000</v>
      </c>
      <c r="J433" s="1">
        <v>45225</v>
      </c>
      <c r="K433" t="s">
        <v>654</v>
      </c>
      <c r="L433">
        <v>10</v>
      </c>
      <c r="M433">
        <v>2023</v>
      </c>
      <c r="N433">
        <f t="shared" si="6"/>
        <v>-47000</v>
      </c>
      <c r="O433" s="19">
        <f>IF(Table1_2[Tiền Nhập]&lt;&gt;0, Table1_2[Lợi Nhuận Gộp]/Table1_2[Tiền Nhập], 0)</f>
        <v>-0.52222222222222225</v>
      </c>
      <c r="P433">
        <f>IF(Table1_2[SL Xuất]&gt;0, Table1_2[Tiền Xuất]/Table1_2[SL Xuất], 0)</f>
        <v>11083.333333333334</v>
      </c>
      <c r="Q433">
        <f>Table1_2[SL Xuất] - Table1_2[SL Xuất KM]</f>
        <v>11</v>
      </c>
    </row>
    <row r="434" spans="1:17" x14ac:dyDescent="0.25">
      <c r="A434">
        <v>433</v>
      </c>
      <c r="B434" t="s">
        <v>922</v>
      </c>
      <c r="C434" t="s">
        <v>923</v>
      </c>
      <c r="D434" t="s">
        <v>85</v>
      </c>
      <c r="E434">
        <v>260000</v>
      </c>
      <c r="F434">
        <v>0</v>
      </c>
      <c r="G434">
        <v>10</v>
      </c>
      <c r="H434">
        <v>240000</v>
      </c>
      <c r="I434">
        <v>-20000</v>
      </c>
      <c r="J434" s="1">
        <v>45226</v>
      </c>
      <c r="K434" t="s">
        <v>191</v>
      </c>
      <c r="L434">
        <v>10</v>
      </c>
      <c r="M434">
        <v>2023</v>
      </c>
      <c r="N434">
        <f t="shared" si="6"/>
        <v>-280000</v>
      </c>
      <c r="O434" s="19">
        <f>IF(Table1_2[Tiền Nhập]&lt;&gt;0, Table1_2[Lợi Nhuận Gộp]/Table1_2[Tiền Nhập], 0)</f>
        <v>-1.0769230769230769</v>
      </c>
      <c r="P434">
        <f>IF(Table1_2[SL Xuất]&gt;0, Table1_2[Tiền Xuất]/Table1_2[SL Xuất], 0)</f>
        <v>24000</v>
      </c>
      <c r="Q434">
        <f>Table1_2[SL Xuất] - Table1_2[SL Xuất KM]</f>
        <v>10</v>
      </c>
    </row>
    <row r="435" spans="1:17" x14ac:dyDescent="0.25">
      <c r="A435">
        <v>434</v>
      </c>
      <c r="B435" t="s">
        <v>421</v>
      </c>
      <c r="C435" t="s">
        <v>422</v>
      </c>
      <c r="D435" t="s">
        <v>45</v>
      </c>
      <c r="E435">
        <v>265716</v>
      </c>
      <c r="F435">
        <v>0</v>
      </c>
      <c r="G435">
        <v>12</v>
      </c>
      <c r="H435">
        <v>360000</v>
      </c>
      <c r="I435">
        <v>94284</v>
      </c>
      <c r="J435" s="1">
        <v>45226</v>
      </c>
      <c r="K435" t="s">
        <v>1015</v>
      </c>
      <c r="L435">
        <v>10</v>
      </c>
      <c r="M435">
        <v>2023</v>
      </c>
      <c r="N435">
        <f t="shared" si="6"/>
        <v>-171432</v>
      </c>
      <c r="O435" s="19">
        <f>IF(Table1_2[Tiền Nhập]&lt;&gt;0, Table1_2[Lợi Nhuận Gộp]/Table1_2[Tiền Nhập], 0)</f>
        <v>-0.64517003116108929</v>
      </c>
      <c r="P435">
        <f>IF(Table1_2[SL Xuất]&gt;0, Table1_2[Tiền Xuất]/Table1_2[SL Xuất], 0)</f>
        <v>30000</v>
      </c>
      <c r="Q435">
        <f>Table1_2[SL Xuất] - Table1_2[SL Xuất KM]</f>
        <v>12</v>
      </c>
    </row>
    <row r="436" spans="1:17" x14ac:dyDescent="0.25">
      <c r="A436">
        <v>435</v>
      </c>
      <c r="B436" t="s">
        <v>138</v>
      </c>
      <c r="C436" t="s">
        <v>139</v>
      </c>
      <c r="D436" t="s">
        <v>30</v>
      </c>
      <c r="E436">
        <v>170000</v>
      </c>
      <c r="F436">
        <v>0</v>
      </c>
      <c r="G436">
        <v>2</v>
      </c>
      <c r="H436">
        <v>240000</v>
      </c>
      <c r="I436">
        <v>70000</v>
      </c>
      <c r="J436" s="1">
        <v>45226</v>
      </c>
      <c r="K436" t="s">
        <v>1016</v>
      </c>
      <c r="L436">
        <v>10</v>
      </c>
      <c r="M436">
        <v>2023</v>
      </c>
      <c r="N436">
        <f t="shared" si="6"/>
        <v>-100000</v>
      </c>
      <c r="O436" s="19">
        <f>IF(Table1_2[Tiền Nhập]&lt;&gt;0, Table1_2[Lợi Nhuận Gộp]/Table1_2[Tiền Nhập], 0)</f>
        <v>-0.58823529411764708</v>
      </c>
      <c r="P436">
        <f>IF(Table1_2[SL Xuất]&gt;0, Table1_2[Tiền Xuất]/Table1_2[SL Xuất], 0)</f>
        <v>120000</v>
      </c>
      <c r="Q436">
        <f>Table1_2[SL Xuất] - Table1_2[SL Xuất KM]</f>
        <v>2</v>
      </c>
    </row>
    <row r="437" spans="1:17" x14ac:dyDescent="0.25">
      <c r="A437">
        <v>436</v>
      </c>
      <c r="B437" t="s">
        <v>1017</v>
      </c>
      <c r="C437" t="s">
        <v>1018</v>
      </c>
      <c r="D437" t="s">
        <v>30</v>
      </c>
      <c r="E437">
        <v>170000</v>
      </c>
      <c r="F437">
        <v>0</v>
      </c>
      <c r="G437">
        <v>2</v>
      </c>
      <c r="H437">
        <v>240000</v>
      </c>
      <c r="I437">
        <v>70000</v>
      </c>
      <c r="J437" s="1">
        <v>45226</v>
      </c>
      <c r="K437" t="s">
        <v>1016</v>
      </c>
      <c r="L437">
        <v>10</v>
      </c>
      <c r="M437">
        <v>2023</v>
      </c>
      <c r="N437">
        <f t="shared" si="6"/>
        <v>-100000</v>
      </c>
      <c r="O437" s="19">
        <f>IF(Table1_2[Tiền Nhập]&lt;&gt;0, Table1_2[Lợi Nhuận Gộp]/Table1_2[Tiền Nhập], 0)</f>
        <v>-0.58823529411764708</v>
      </c>
      <c r="P437">
        <f>IF(Table1_2[SL Xuất]&gt;0, Table1_2[Tiền Xuất]/Table1_2[SL Xuất], 0)</f>
        <v>120000</v>
      </c>
      <c r="Q437">
        <f>Table1_2[SL Xuất] - Table1_2[SL Xuất KM]</f>
        <v>2</v>
      </c>
    </row>
    <row r="438" spans="1:17" x14ac:dyDescent="0.25">
      <c r="A438">
        <v>437</v>
      </c>
      <c r="B438" t="s">
        <v>11</v>
      </c>
      <c r="C438" t="s">
        <v>12</v>
      </c>
      <c r="D438" t="s">
        <v>13</v>
      </c>
      <c r="E438">
        <v>172800</v>
      </c>
      <c r="F438">
        <v>2</v>
      </c>
      <c r="G438">
        <v>24</v>
      </c>
      <c r="H438">
        <v>268000</v>
      </c>
      <c r="I438">
        <v>95200</v>
      </c>
      <c r="J438" s="1">
        <v>45226</v>
      </c>
      <c r="K438" t="s">
        <v>1021</v>
      </c>
      <c r="L438">
        <v>10</v>
      </c>
      <c r="M438">
        <v>2023</v>
      </c>
      <c r="N438">
        <f t="shared" si="6"/>
        <v>-77600</v>
      </c>
      <c r="O438" s="19">
        <f>IF(Table1_2[Tiền Nhập]&lt;&gt;0, Table1_2[Lợi Nhuận Gộp]/Table1_2[Tiền Nhập], 0)</f>
        <v>-0.44907407407407407</v>
      </c>
      <c r="P438">
        <f>IF(Table1_2[SL Xuất]&gt;0, Table1_2[Tiền Xuất]/Table1_2[SL Xuất], 0)</f>
        <v>11166.666666666666</v>
      </c>
      <c r="Q438">
        <f>Table1_2[SL Xuất] - Table1_2[SL Xuất KM]</f>
        <v>22</v>
      </c>
    </row>
    <row r="439" spans="1:17" x14ac:dyDescent="0.25">
      <c r="A439">
        <v>438</v>
      </c>
      <c r="B439" t="s">
        <v>94</v>
      </c>
      <c r="C439" t="s">
        <v>95</v>
      </c>
      <c r="D439" t="s">
        <v>45</v>
      </c>
      <c r="E439">
        <v>0</v>
      </c>
      <c r="F439">
        <v>0</v>
      </c>
      <c r="G439">
        <v>0</v>
      </c>
      <c r="H439">
        <v>0</v>
      </c>
      <c r="I439">
        <v>0</v>
      </c>
      <c r="J439" s="1">
        <v>45226</v>
      </c>
      <c r="K439" t="s">
        <v>1022</v>
      </c>
      <c r="L439">
        <v>10</v>
      </c>
      <c r="M439">
        <v>2023</v>
      </c>
      <c r="N439">
        <f t="shared" si="6"/>
        <v>0</v>
      </c>
      <c r="O439" s="19">
        <f>IF(Table1_2[Tiền Nhập]&lt;&gt;0, Table1_2[Lợi Nhuận Gộp]/Table1_2[Tiền Nhập], 0)</f>
        <v>0</v>
      </c>
      <c r="P439">
        <f>IF(Table1_2[SL Xuất]&gt;0, Table1_2[Tiền Xuất]/Table1_2[SL Xuất], 0)</f>
        <v>0</v>
      </c>
      <c r="Q439">
        <f>Table1_2[SL Xuất] - Table1_2[SL Xuất KM]</f>
        <v>0</v>
      </c>
    </row>
    <row r="440" spans="1:17" x14ac:dyDescent="0.25">
      <c r="A440">
        <v>439</v>
      </c>
      <c r="B440" t="s">
        <v>1023</v>
      </c>
      <c r="C440" t="s">
        <v>1024</v>
      </c>
      <c r="D440" t="s">
        <v>13</v>
      </c>
      <c r="E440">
        <v>211200</v>
      </c>
      <c r="F440">
        <v>2</v>
      </c>
      <c r="G440">
        <v>10</v>
      </c>
      <c r="H440">
        <v>184000</v>
      </c>
      <c r="I440">
        <v>-27200</v>
      </c>
      <c r="J440" s="1">
        <v>45226</v>
      </c>
      <c r="K440" t="s">
        <v>1025</v>
      </c>
      <c r="L440">
        <v>10</v>
      </c>
      <c r="M440">
        <v>2023</v>
      </c>
      <c r="N440">
        <f t="shared" si="6"/>
        <v>-238400</v>
      </c>
      <c r="O440" s="19">
        <f>IF(Table1_2[Tiền Nhập]&lt;&gt;0, Table1_2[Lợi Nhuận Gộp]/Table1_2[Tiền Nhập], 0)</f>
        <v>-1.1287878787878789</v>
      </c>
      <c r="P440">
        <f>IF(Table1_2[SL Xuất]&gt;0, Table1_2[Tiền Xuất]/Table1_2[SL Xuất], 0)</f>
        <v>18400</v>
      </c>
      <c r="Q440">
        <f>Table1_2[SL Xuất] - Table1_2[SL Xuất KM]</f>
        <v>8</v>
      </c>
    </row>
    <row r="441" spans="1:17" x14ac:dyDescent="0.25">
      <c r="A441">
        <v>440</v>
      </c>
      <c r="B441" t="s">
        <v>259</v>
      </c>
      <c r="C441" t="s">
        <v>260</v>
      </c>
      <c r="D441" t="s">
        <v>88</v>
      </c>
      <c r="E441">
        <v>300000</v>
      </c>
      <c r="F441">
        <v>3</v>
      </c>
      <c r="G441">
        <v>3</v>
      </c>
      <c r="H441">
        <v>327000</v>
      </c>
      <c r="I441">
        <v>27000</v>
      </c>
      <c r="J441" s="1">
        <v>45227</v>
      </c>
      <c r="K441" t="s">
        <v>1027</v>
      </c>
      <c r="L441">
        <v>10</v>
      </c>
      <c r="M441">
        <v>2023</v>
      </c>
      <c r="N441">
        <f t="shared" si="6"/>
        <v>-273000</v>
      </c>
      <c r="O441" s="19">
        <f>IF(Table1_2[Tiền Nhập]&lt;&gt;0, Table1_2[Lợi Nhuận Gộp]/Table1_2[Tiền Nhập], 0)</f>
        <v>-0.91</v>
      </c>
      <c r="P441">
        <f>IF(Table1_2[SL Xuất]&gt;0, Table1_2[Tiền Xuất]/Table1_2[SL Xuất], 0)</f>
        <v>109000</v>
      </c>
      <c r="Q441">
        <f>Table1_2[SL Xuất] - Table1_2[SL Xuất KM]</f>
        <v>0</v>
      </c>
    </row>
    <row r="442" spans="1:17" x14ac:dyDescent="0.25">
      <c r="A442">
        <v>441</v>
      </c>
      <c r="B442" t="s">
        <v>67</v>
      </c>
      <c r="C442" t="s">
        <v>68</v>
      </c>
      <c r="D442" t="s">
        <v>13</v>
      </c>
      <c r="E442">
        <v>528000</v>
      </c>
      <c r="F442">
        <v>6</v>
      </c>
      <c r="G442">
        <v>48</v>
      </c>
      <c r="H442">
        <v>516000</v>
      </c>
      <c r="I442">
        <v>-12000</v>
      </c>
      <c r="J442" s="1">
        <v>45227</v>
      </c>
      <c r="K442" t="s">
        <v>66</v>
      </c>
      <c r="L442">
        <v>10</v>
      </c>
      <c r="M442">
        <v>2023</v>
      </c>
      <c r="N442">
        <f t="shared" si="6"/>
        <v>-540000</v>
      </c>
      <c r="O442" s="19">
        <f>IF(Table1_2[Tiền Nhập]&lt;&gt;0, Table1_2[Lợi Nhuận Gộp]/Table1_2[Tiền Nhập], 0)</f>
        <v>-1.0227272727272727</v>
      </c>
      <c r="P442">
        <f>IF(Table1_2[SL Xuất]&gt;0, Table1_2[Tiền Xuất]/Table1_2[SL Xuất], 0)</f>
        <v>10750</v>
      </c>
      <c r="Q442">
        <f>Table1_2[SL Xuất] - Table1_2[SL Xuất KM]</f>
        <v>42</v>
      </c>
    </row>
    <row r="443" spans="1:17" x14ac:dyDescent="0.25">
      <c r="A443">
        <v>442</v>
      </c>
      <c r="B443" t="s">
        <v>400</v>
      </c>
      <c r="C443" t="s">
        <v>401</v>
      </c>
      <c r="D443" t="s">
        <v>13</v>
      </c>
      <c r="E443">
        <v>225000</v>
      </c>
      <c r="F443">
        <v>3</v>
      </c>
      <c r="G443">
        <v>30</v>
      </c>
      <c r="H443">
        <v>300000</v>
      </c>
      <c r="I443">
        <v>75000</v>
      </c>
      <c r="J443" s="1">
        <v>45227</v>
      </c>
      <c r="K443" t="s">
        <v>188</v>
      </c>
      <c r="L443">
        <v>10</v>
      </c>
      <c r="M443">
        <v>2023</v>
      </c>
      <c r="N443">
        <f t="shared" si="6"/>
        <v>-150000</v>
      </c>
      <c r="O443" s="19">
        <f>IF(Table1_2[Tiền Nhập]&lt;&gt;0, Table1_2[Lợi Nhuận Gộp]/Table1_2[Tiền Nhập], 0)</f>
        <v>-0.66666666666666663</v>
      </c>
      <c r="P443">
        <f>IF(Table1_2[SL Xuất]&gt;0, Table1_2[Tiền Xuất]/Table1_2[SL Xuất], 0)</f>
        <v>10000</v>
      </c>
      <c r="Q443">
        <f>Table1_2[SL Xuất] - Table1_2[SL Xuất KM]</f>
        <v>27</v>
      </c>
    </row>
    <row r="444" spans="1:17" x14ac:dyDescent="0.25">
      <c r="A444">
        <v>443</v>
      </c>
      <c r="B444" t="s">
        <v>86</v>
      </c>
      <c r="C444" t="s">
        <v>87</v>
      </c>
      <c r="D444" t="s">
        <v>88</v>
      </c>
      <c r="E444">
        <v>120756</v>
      </c>
      <c r="F444">
        <v>0</v>
      </c>
      <c r="G444">
        <v>2</v>
      </c>
      <c r="H444">
        <v>108000</v>
      </c>
      <c r="I444">
        <v>-12756</v>
      </c>
      <c r="J444" s="1">
        <v>45227</v>
      </c>
      <c r="K444" t="s">
        <v>1031</v>
      </c>
      <c r="L444">
        <v>10</v>
      </c>
      <c r="M444">
        <v>2023</v>
      </c>
      <c r="N444">
        <f t="shared" si="6"/>
        <v>-133512</v>
      </c>
      <c r="O444" s="19">
        <f>IF(Table1_2[Tiền Nhập]&lt;&gt;0, Table1_2[Lợi Nhuận Gộp]/Table1_2[Tiền Nhập], 0)</f>
        <v>-1.1056345026334096</v>
      </c>
      <c r="P444">
        <f>IF(Table1_2[SL Xuất]&gt;0, Table1_2[Tiền Xuất]/Table1_2[SL Xuất], 0)</f>
        <v>54000</v>
      </c>
      <c r="Q444">
        <f>Table1_2[SL Xuất] - Table1_2[SL Xuất KM]</f>
        <v>2</v>
      </c>
    </row>
    <row r="445" spans="1:17" x14ac:dyDescent="0.25">
      <c r="A445">
        <v>444</v>
      </c>
      <c r="B445" t="s">
        <v>111</v>
      </c>
      <c r="C445" t="s">
        <v>112</v>
      </c>
      <c r="D445" t="s">
        <v>13</v>
      </c>
      <c r="E445">
        <v>231000</v>
      </c>
      <c r="F445">
        <v>0</v>
      </c>
      <c r="G445">
        <v>30</v>
      </c>
      <c r="H445">
        <v>300000</v>
      </c>
      <c r="I445">
        <v>69000</v>
      </c>
      <c r="J445" s="1">
        <v>45227</v>
      </c>
      <c r="K445" t="s">
        <v>428</v>
      </c>
      <c r="L445">
        <v>10</v>
      </c>
      <c r="M445">
        <v>2023</v>
      </c>
      <c r="N445">
        <f t="shared" si="6"/>
        <v>-162000</v>
      </c>
      <c r="O445" s="19">
        <f>IF(Table1_2[Tiền Nhập]&lt;&gt;0, Table1_2[Lợi Nhuận Gộp]/Table1_2[Tiền Nhập], 0)</f>
        <v>-0.70129870129870131</v>
      </c>
      <c r="P445">
        <f>IF(Table1_2[SL Xuất]&gt;0, Table1_2[Tiền Xuất]/Table1_2[SL Xuất], 0)</f>
        <v>10000</v>
      </c>
      <c r="Q445">
        <f>Table1_2[SL Xuất] - Table1_2[SL Xuất KM]</f>
        <v>30</v>
      </c>
    </row>
    <row r="446" spans="1:17" x14ac:dyDescent="0.25">
      <c r="A446">
        <v>445</v>
      </c>
      <c r="B446" t="s">
        <v>43</v>
      </c>
      <c r="C446" t="s">
        <v>44</v>
      </c>
      <c r="D446" t="s">
        <v>45</v>
      </c>
      <c r="E446">
        <v>46800</v>
      </c>
      <c r="F446">
        <v>0</v>
      </c>
      <c r="G446">
        <v>6</v>
      </c>
      <c r="H446">
        <v>66000</v>
      </c>
      <c r="I446">
        <v>19200</v>
      </c>
      <c r="J446" s="1">
        <v>45227</v>
      </c>
      <c r="K446" t="s">
        <v>575</v>
      </c>
      <c r="L446">
        <v>10</v>
      </c>
      <c r="M446">
        <v>2023</v>
      </c>
      <c r="N446">
        <f t="shared" si="6"/>
        <v>-27600</v>
      </c>
      <c r="O446" s="19">
        <f>IF(Table1_2[Tiền Nhập]&lt;&gt;0, Table1_2[Lợi Nhuận Gộp]/Table1_2[Tiền Nhập], 0)</f>
        <v>-0.58974358974358976</v>
      </c>
      <c r="P446">
        <f>IF(Table1_2[SL Xuất]&gt;0, Table1_2[Tiền Xuất]/Table1_2[SL Xuất], 0)</f>
        <v>11000</v>
      </c>
      <c r="Q446">
        <f>Table1_2[SL Xuất] - Table1_2[SL Xuất KM]</f>
        <v>6</v>
      </c>
    </row>
    <row r="447" spans="1:17" x14ac:dyDescent="0.25">
      <c r="A447">
        <v>446</v>
      </c>
      <c r="B447" t="s">
        <v>51</v>
      </c>
      <c r="C447" t="s">
        <v>52</v>
      </c>
      <c r="D447" t="s">
        <v>45</v>
      </c>
      <c r="E447">
        <v>46800</v>
      </c>
      <c r="F447">
        <v>0</v>
      </c>
      <c r="G447">
        <v>6</v>
      </c>
      <c r="H447">
        <v>66000</v>
      </c>
      <c r="I447">
        <v>19200</v>
      </c>
      <c r="J447" s="1">
        <v>45227</v>
      </c>
      <c r="K447" t="s">
        <v>575</v>
      </c>
      <c r="L447">
        <v>10</v>
      </c>
      <c r="M447">
        <v>2023</v>
      </c>
      <c r="N447">
        <f t="shared" si="6"/>
        <v>-27600</v>
      </c>
      <c r="O447" s="19">
        <f>IF(Table1_2[Tiền Nhập]&lt;&gt;0, Table1_2[Lợi Nhuận Gộp]/Table1_2[Tiền Nhập], 0)</f>
        <v>-0.58974358974358976</v>
      </c>
      <c r="P447">
        <f>IF(Table1_2[SL Xuất]&gt;0, Table1_2[Tiền Xuất]/Table1_2[SL Xuất], 0)</f>
        <v>11000</v>
      </c>
      <c r="Q447">
        <f>Table1_2[SL Xuất] - Table1_2[SL Xuất KM]</f>
        <v>6</v>
      </c>
    </row>
    <row r="448" spans="1:17" x14ac:dyDescent="0.25">
      <c r="A448">
        <v>447</v>
      </c>
      <c r="B448" t="s">
        <v>53</v>
      </c>
      <c r="C448" t="s">
        <v>54</v>
      </c>
      <c r="D448" t="s">
        <v>45</v>
      </c>
      <c r="E448">
        <v>46800</v>
      </c>
      <c r="F448">
        <v>0</v>
      </c>
      <c r="G448">
        <v>6</v>
      </c>
      <c r="H448">
        <v>66000</v>
      </c>
      <c r="I448">
        <v>19200</v>
      </c>
      <c r="J448" s="1">
        <v>45227</v>
      </c>
      <c r="K448" t="s">
        <v>575</v>
      </c>
      <c r="L448">
        <v>10</v>
      </c>
      <c r="M448">
        <v>2023</v>
      </c>
      <c r="N448">
        <f t="shared" si="6"/>
        <v>-27600</v>
      </c>
      <c r="O448" s="19">
        <f>IF(Table1_2[Tiền Nhập]&lt;&gt;0, Table1_2[Lợi Nhuận Gộp]/Table1_2[Tiền Nhập], 0)</f>
        <v>-0.58974358974358976</v>
      </c>
      <c r="P448">
        <f>IF(Table1_2[SL Xuất]&gt;0, Table1_2[Tiền Xuất]/Table1_2[SL Xuất], 0)</f>
        <v>11000</v>
      </c>
      <c r="Q448">
        <f>Table1_2[SL Xuất] - Table1_2[SL Xuất KM]</f>
        <v>6</v>
      </c>
    </row>
    <row r="449" spans="1:17" x14ac:dyDescent="0.25">
      <c r="A449">
        <v>448</v>
      </c>
      <c r="B449" t="s">
        <v>86</v>
      </c>
      <c r="C449" t="s">
        <v>87</v>
      </c>
      <c r="D449" t="s">
        <v>88</v>
      </c>
      <c r="E449">
        <v>120756</v>
      </c>
      <c r="F449">
        <v>0</v>
      </c>
      <c r="G449">
        <v>2</v>
      </c>
      <c r="H449">
        <v>104000</v>
      </c>
      <c r="I449">
        <v>-16756</v>
      </c>
      <c r="J449" s="1">
        <v>45227</v>
      </c>
      <c r="K449" t="s">
        <v>1034</v>
      </c>
      <c r="L449">
        <v>10</v>
      </c>
      <c r="M449">
        <v>2023</v>
      </c>
      <c r="N449">
        <f t="shared" si="6"/>
        <v>-137512</v>
      </c>
      <c r="O449" s="19">
        <f>IF(Table1_2[Tiền Nhập]&lt;&gt;0, Table1_2[Lợi Nhuận Gộp]/Table1_2[Tiền Nhập], 0)</f>
        <v>-1.138759150684024</v>
      </c>
      <c r="P449">
        <f>IF(Table1_2[SL Xuất]&gt;0, Table1_2[Tiền Xuất]/Table1_2[SL Xuất], 0)</f>
        <v>52000</v>
      </c>
      <c r="Q449">
        <f>Table1_2[SL Xuất] - Table1_2[SL Xuất KM]</f>
        <v>2</v>
      </c>
    </row>
    <row r="450" spans="1:17" x14ac:dyDescent="0.25">
      <c r="A450">
        <v>449</v>
      </c>
      <c r="B450" t="s">
        <v>1035</v>
      </c>
      <c r="C450" t="s">
        <v>1036</v>
      </c>
      <c r="D450" t="s">
        <v>45</v>
      </c>
      <c r="E450">
        <v>170200</v>
      </c>
      <c r="F450">
        <v>0</v>
      </c>
      <c r="G450">
        <v>5</v>
      </c>
      <c r="H450">
        <v>150000</v>
      </c>
      <c r="I450">
        <v>-20200</v>
      </c>
      <c r="J450" s="1">
        <v>45227</v>
      </c>
      <c r="K450" t="s">
        <v>1034</v>
      </c>
      <c r="L450">
        <v>10</v>
      </c>
      <c r="M450">
        <v>2023</v>
      </c>
      <c r="N450">
        <f t="shared" ref="N450:N513" si="7">I450-E450</f>
        <v>-190400</v>
      </c>
      <c r="O450" s="19">
        <f>IF(Table1_2[Tiền Nhập]&lt;&gt;0, Table1_2[Lợi Nhuận Gộp]/Table1_2[Tiền Nhập], 0)</f>
        <v>-1.1186839012925969</v>
      </c>
      <c r="P450">
        <f>IF(Table1_2[SL Xuất]&gt;0, Table1_2[Tiền Xuất]/Table1_2[SL Xuất], 0)</f>
        <v>30000</v>
      </c>
      <c r="Q450">
        <f>Table1_2[SL Xuất] - Table1_2[SL Xuất KM]</f>
        <v>5</v>
      </c>
    </row>
    <row r="451" spans="1:17" x14ac:dyDescent="0.25">
      <c r="A451">
        <v>450</v>
      </c>
      <c r="B451" t="s">
        <v>1039</v>
      </c>
      <c r="C451" t="s">
        <v>1040</v>
      </c>
      <c r="D451" t="s">
        <v>45</v>
      </c>
      <c r="E451">
        <v>212500</v>
      </c>
      <c r="F451">
        <v>0</v>
      </c>
      <c r="G451">
        <v>5</v>
      </c>
      <c r="H451">
        <v>150000</v>
      </c>
      <c r="I451">
        <v>-62500</v>
      </c>
      <c r="J451" s="1">
        <v>45227</v>
      </c>
      <c r="K451" t="s">
        <v>1034</v>
      </c>
      <c r="L451">
        <v>10</v>
      </c>
      <c r="M451">
        <v>2023</v>
      </c>
      <c r="N451">
        <f t="shared" si="7"/>
        <v>-275000</v>
      </c>
      <c r="O451" s="19">
        <f>IF(Table1_2[Tiền Nhập]&lt;&gt;0, Table1_2[Lợi Nhuận Gộp]/Table1_2[Tiền Nhập], 0)</f>
        <v>-1.2941176470588236</v>
      </c>
      <c r="P451">
        <f>IF(Table1_2[SL Xuất]&gt;0, Table1_2[Tiền Xuất]/Table1_2[SL Xuất], 0)</f>
        <v>30000</v>
      </c>
      <c r="Q451">
        <f>Table1_2[SL Xuất] - Table1_2[SL Xuất KM]</f>
        <v>5</v>
      </c>
    </row>
    <row r="452" spans="1:17" x14ac:dyDescent="0.25">
      <c r="A452">
        <v>451</v>
      </c>
      <c r="B452" t="s">
        <v>1043</v>
      </c>
      <c r="C452" t="s">
        <v>1044</v>
      </c>
      <c r="D452" t="s">
        <v>45</v>
      </c>
      <c r="E452">
        <v>275000</v>
      </c>
      <c r="F452">
        <v>0</v>
      </c>
      <c r="G452">
        <v>50</v>
      </c>
      <c r="H452">
        <v>400000</v>
      </c>
      <c r="I452">
        <v>125000</v>
      </c>
      <c r="J452" s="1">
        <v>45227</v>
      </c>
      <c r="K452" t="s">
        <v>1034</v>
      </c>
      <c r="L452">
        <v>10</v>
      </c>
      <c r="M452">
        <v>2023</v>
      </c>
      <c r="N452">
        <f t="shared" si="7"/>
        <v>-150000</v>
      </c>
      <c r="O452" s="19">
        <f>IF(Table1_2[Tiền Nhập]&lt;&gt;0, Table1_2[Lợi Nhuận Gộp]/Table1_2[Tiền Nhập], 0)</f>
        <v>-0.54545454545454541</v>
      </c>
      <c r="P452">
        <f>IF(Table1_2[SL Xuất]&gt;0, Table1_2[Tiền Xuất]/Table1_2[SL Xuất], 0)</f>
        <v>8000</v>
      </c>
      <c r="Q452">
        <f>Table1_2[SL Xuất] - Table1_2[SL Xuất KM]</f>
        <v>50</v>
      </c>
    </row>
    <row r="453" spans="1:17" x14ac:dyDescent="0.25">
      <c r="A453">
        <v>452</v>
      </c>
      <c r="B453" t="s">
        <v>697</v>
      </c>
      <c r="C453" t="s">
        <v>698</v>
      </c>
      <c r="D453" t="s">
        <v>45</v>
      </c>
      <c r="E453">
        <v>240000</v>
      </c>
      <c r="F453">
        <v>0</v>
      </c>
      <c r="G453">
        <v>5</v>
      </c>
      <c r="H453">
        <v>150000</v>
      </c>
      <c r="I453">
        <v>-90000</v>
      </c>
      <c r="J453" s="1">
        <v>45227</v>
      </c>
      <c r="K453" t="s">
        <v>1034</v>
      </c>
      <c r="L453">
        <v>10</v>
      </c>
      <c r="M453">
        <v>2023</v>
      </c>
      <c r="N453">
        <f t="shared" si="7"/>
        <v>-330000</v>
      </c>
      <c r="O453" s="19">
        <f>IF(Table1_2[Tiền Nhập]&lt;&gt;0, Table1_2[Lợi Nhuận Gộp]/Table1_2[Tiền Nhập], 0)</f>
        <v>-1.375</v>
      </c>
      <c r="P453">
        <f>IF(Table1_2[SL Xuất]&gt;0, Table1_2[Tiền Xuất]/Table1_2[SL Xuất], 0)</f>
        <v>30000</v>
      </c>
      <c r="Q453">
        <f>Table1_2[SL Xuất] - Table1_2[SL Xuất KM]</f>
        <v>5</v>
      </c>
    </row>
    <row r="454" spans="1:17" x14ac:dyDescent="0.25">
      <c r="A454">
        <v>453</v>
      </c>
      <c r="B454" t="s">
        <v>1046</v>
      </c>
      <c r="C454" t="s">
        <v>1047</v>
      </c>
      <c r="D454" t="s">
        <v>45</v>
      </c>
      <c r="E454">
        <v>0</v>
      </c>
      <c r="F454">
        <v>0</v>
      </c>
      <c r="G454">
        <v>0</v>
      </c>
      <c r="H454">
        <v>0</v>
      </c>
      <c r="I454">
        <v>0</v>
      </c>
      <c r="J454" s="1">
        <v>45227</v>
      </c>
      <c r="K454" t="s">
        <v>1034</v>
      </c>
      <c r="L454">
        <v>10</v>
      </c>
      <c r="M454">
        <v>2023</v>
      </c>
      <c r="N454">
        <f t="shared" si="7"/>
        <v>0</v>
      </c>
      <c r="O454" s="19">
        <f>IF(Table1_2[Tiền Nhập]&lt;&gt;0, Table1_2[Lợi Nhuận Gộp]/Table1_2[Tiền Nhập], 0)</f>
        <v>0</v>
      </c>
      <c r="P454">
        <f>IF(Table1_2[SL Xuất]&gt;0, Table1_2[Tiền Xuất]/Table1_2[SL Xuất], 0)</f>
        <v>0</v>
      </c>
      <c r="Q454">
        <f>Table1_2[SL Xuất] - Table1_2[SL Xuất KM]</f>
        <v>0</v>
      </c>
    </row>
    <row r="455" spans="1:17" x14ac:dyDescent="0.25">
      <c r="A455">
        <v>454</v>
      </c>
      <c r="B455" t="s">
        <v>240</v>
      </c>
      <c r="C455" t="s">
        <v>241</v>
      </c>
      <c r="D455" t="s">
        <v>88</v>
      </c>
      <c r="E455">
        <v>178500</v>
      </c>
      <c r="F455">
        <v>0</v>
      </c>
      <c r="G455">
        <v>12</v>
      </c>
      <c r="H455">
        <v>192000</v>
      </c>
      <c r="I455">
        <v>13500</v>
      </c>
      <c r="J455" s="1">
        <v>45227</v>
      </c>
      <c r="K455" t="s">
        <v>1034</v>
      </c>
      <c r="L455">
        <v>10</v>
      </c>
      <c r="M455">
        <v>2023</v>
      </c>
      <c r="N455">
        <f t="shared" si="7"/>
        <v>-165000</v>
      </c>
      <c r="O455" s="19">
        <f>IF(Table1_2[Tiền Nhập]&lt;&gt;0, Table1_2[Lợi Nhuận Gộp]/Table1_2[Tiền Nhập], 0)</f>
        <v>-0.92436974789915971</v>
      </c>
      <c r="P455">
        <f>IF(Table1_2[SL Xuất]&gt;0, Table1_2[Tiền Xuất]/Table1_2[SL Xuất], 0)</f>
        <v>16000</v>
      </c>
      <c r="Q455">
        <f>Table1_2[SL Xuất] - Table1_2[SL Xuất KM]</f>
        <v>12</v>
      </c>
    </row>
    <row r="456" spans="1:17" x14ac:dyDescent="0.25">
      <c r="A456">
        <v>455</v>
      </c>
      <c r="B456" t="s">
        <v>86</v>
      </c>
      <c r="C456" t="s">
        <v>87</v>
      </c>
      <c r="D456" t="s">
        <v>88</v>
      </c>
      <c r="E456">
        <v>60378</v>
      </c>
      <c r="F456">
        <v>0</v>
      </c>
      <c r="G456">
        <v>1</v>
      </c>
      <c r="H456">
        <v>54000</v>
      </c>
      <c r="I456">
        <v>-6378</v>
      </c>
      <c r="J456" s="1">
        <v>45227</v>
      </c>
      <c r="K456" t="s">
        <v>1051</v>
      </c>
      <c r="L456">
        <v>10</v>
      </c>
      <c r="M456">
        <v>2023</v>
      </c>
      <c r="N456">
        <f t="shared" si="7"/>
        <v>-66756</v>
      </c>
      <c r="O456" s="19">
        <f>IF(Table1_2[Tiền Nhập]&lt;&gt;0, Table1_2[Lợi Nhuận Gộp]/Table1_2[Tiền Nhập], 0)</f>
        <v>-1.1056345026334096</v>
      </c>
      <c r="P456">
        <f>IF(Table1_2[SL Xuất]&gt;0, Table1_2[Tiền Xuất]/Table1_2[SL Xuất], 0)</f>
        <v>54000</v>
      </c>
      <c r="Q456">
        <f>Table1_2[SL Xuất] - Table1_2[SL Xuất KM]</f>
        <v>1</v>
      </c>
    </row>
    <row r="457" spans="1:17" x14ac:dyDescent="0.25">
      <c r="A457">
        <v>456</v>
      </c>
      <c r="B457" t="s">
        <v>86</v>
      </c>
      <c r="C457" t="s">
        <v>87</v>
      </c>
      <c r="D457" t="s">
        <v>88</v>
      </c>
      <c r="E457">
        <v>181134</v>
      </c>
      <c r="F457">
        <v>0</v>
      </c>
      <c r="G457">
        <v>3</v>
      </c>
      <c r="H457">
        <v>156000</v>
      </c>
      <c r="I457">
        <v>-25134</v>
      </c>
      <c r="J457" s="1">
        <v>45227</v>
      </c>
      <c r="K457" t="s">
        <v>1055</v>
      </c>
      <c r="L457">
        <v>10</v>
      </c>
      <c r="M457">
        <v>2023</v>
      </c>
      <c r="N457">
        <f t="shared" si="7"/>
        <v>-206268</v>
      </c>
      <c r="O457" s="19">
        <f>IF(Table1_2[Tiền Nhập]&lt;&gt;0, Table1_2[Lợi Nhuận Gộp]/Table1_2[Tiền Nhập], 0)</f>
        <v>-1.138759150684024</v>
      </c>
      <c r="P457">
        <f>IF(Table1_2[SL Xuất]&gt;0, Table1_2[Tiền Xuất]/Table1_2[SL Xuất], 0)</f>
        <v>52000</v>
      </c>
      <c r="Q457">
        <f>Table1_2[SL Xuất] - Table1_2[SL Xuất KM]</f>
        <v>3</v>
      </c>
    </row>
    <row r="458" spans="1:17" x14ac:dyDescent="0.25">
      <c r="A458">
        <v>457</v>
      </c>
      <c r="B458" t="s">
        <v>479</v>
      </c>
      <c r="C458" t="s">
        <v>480</v>
      </c>
      <c r="D458" t="s">
        <v>45</v>
      </c>
      <c r="E458">
        <v>300000</v>
      </c>
      <c r="F458">
        <v>0</v>
      </c>
      <c r="G458">
        <v>12</v>
      </c>
      <c r="H458">
        <v>444000</v>
      </c>
      <c r="I458">
        <v>144000</v>
      </c>
      <c r="J458" s="1">
        <v>45227</v>
      </c>
      <c r="K458" t="s">
        <v>1056</v>
      </c>
      <c r="L458">
        <v>10</v>
      </c>
      <c r="M458">
        <v>2023</v>
      </c>
      <c r="N458">
        <f t="shared" si="7"/>
        <v>-156000</v>
      </c>
      <c r="O458" s="19">
        <f>IF(Table1_2[Tiền Nhập]&lt;&gt;0, Table1_2[Lợi Nhuận Gộp]/Table1_2[Tiền Nhập], 0)</f>
        <v>-0.52</v>
      </c>
      <c r="P458">
        <f>IF(Table1_2[SL Xuất]&gt;0, Table1_2[Tiền Xuất]/Table1_2[SL Xuất], 0)</f>
        <v>37000</v>
      </c>
      <c r="Q458">
        <f>Table1_2[SL Xuất] - Table1_2[SL Xuất KM]</f>
        <v>12</v>
      </c>
    </row>
    <row r="459" spans="1:17" x14ac:dyDescent="0.25">
      <c r="A459">
        <v>458</v>
      </c>
      <c r="B459" t="s">
        <v>421</v>
      </c>
      <c r="C459" t="s">
        <v>422</v>
      </c>
      <c r="D459" t="s">
        <v>45</v>
      </c>
      <c r="E459">
        <v>0</v>
      </c>
      <c r="F459">
        <v>2</v>
      </c>
      <c r="G459">
        <v>0</v>
      </c>
      <c r="H459">
        <v>-63000</v>
      </c>
      <c r="I459">
        <v>-63000</v>
      </c>
      <c r="J459" s="1">
        <v>45227</v>
      </c>
      <c r="K459" t="s">
        <v>1056</v>
      </c>
      <c r="L459">
        <v>10</v>
      </c>
      <c r="M459">
        <v>2023</v>
      </c>
      <c r="N459">
        <f t="shared" si="7"/>
        <v>-63000</v>
      </c>
      <c r="O459" s="19">
        <f>IF(Table1_2[Tiền Nhập]&lt;&gt;0, Table1_2[Lợi Nhuận Gộp]/Table1_2[Tiền Nhập], 0)</f>
        <v>0</v>
      </c>
      <c r="P459">
        <f>IF(Table1_2[SL Xuất]&gt;0, Table1_2[Tiền Xuất]/Table1_2[SL Xuất], 0)</f>
        <v>0</v>
      </c>
      <c r="Q459">
        <f>Table1_2[SL Xuất] - Table1_2[SL Xuất KM]</f>
        <v>-2</v>
      </c>
    </row>
    <row r="460" spans="1:17" x14ac:dyDescent="0.25">
      <c r="A460">
        <v>459</v>
      </c>
      <c r="B460" t="s">
        <v>922</v>
      </c>
      <c r="C460" t="s">
        <v>923</v>
      </c>
      <c r="D460" t="s">
        <v>85</v>
      </c>
      <c r="E460">
        <v>130000</v>
      </c>
      <c r="F460">
        <v>0</v>
      </c>
      <c r="G460">
        <v>5</v>
      </c>
      <c r="H460">
        <v>120000</v>
      </c>
      <c r="I460">
        <v>-10000</v>
      </c>
      <c r="J460" s="1">
        <v>45227</v>
      </c>
      <c r="K460" t="s">
        <v>1057</v>
      </c>
      <c r="L460">
        <v>10</v>
      </c>
      <c r="M460">
        <v>2023</v>
      </c>
      <c r="N460">
        <f t="shared" si="7"/>
        <v>-140000</v>
      </c>
      <c r="O460" s="19">
        <f>IF(Table1_2[Tiền Nhập]&lt;&gt;0, Table1_2[Lợi Nhuận Gộp]/Table1_2[Tiền Nhập], 0)</f>
        <v>-1.0769230769230769</v>
      </c>
      <c r="P460">
        <f>IF(Table1_2[SL Xuất]&gt;0, Table1_2[Tiền Xuất]/Table1_2[SL Xuất], 0)</f>
        <v>24000</v>
      </c>
      <c r="Q460">
        <f>Table1_2[SL Xuất] - Table1_2[SL Xuất KM]</f>
        <v>5</v>
      </c>
    </row>
    <row r="461" spans="1:17" x14ac:dyDescent="0.25">
      <c r="A461">
        <v>460</v>
      </c>
      <c r="B461" t="s">
        <v>479</v>
      </c>
      <c r="C461" t="s">
        <v>480</v>
      </c>
      <c r="D461" t="s">
        <v>45</v>
      </c>
      <c r="E461">
        <v>300000</v>
      </c>
      <c r="F461">
        <v>0</v>
      </c>
      <c r="G461">
        <v>12</v>
      </c>
      <c r="H461">
        <v>444000</v>
      </c>
      <c r="I461">
        <v>144000</v>
      </c>
      <c r="J461" s="1">
        <v>45227</v>
      </c>
      <c r="K461" t="s">
        <v>1058</v>
      </c>
      <c r="L461">
        <v>10</v>
      </c>
      <c r="M461">
        <v>2023</v>
      </c>
      <c r="N461">
        <f t="shared" si="7"/>
        <v>-156000</v>
      </c>
      <c r="O461" s="19">
        <f>IF(Table1_2[Tiền Nhập]&lt;&gt;0, Table1_2[Lợi Nhuận Gộp]/Table1_2[Tiền Nhập], 0)</f>
        <v>-0.52</v>
      </c>
      <c r="P461">
        <f>IF(Table1_2[SL Xuất]&gt;0, Table1_2[Tiền Xuất]/Table1_2[SL Xuất], 0)</f>
        <v>37000</v>
      </c>
      <c r="Q461">
        <f>Table1_2[SL Xuất] - Table1_2[SL Xuất KM]</f>
        <v>12</v>
      </c>
    </row>
    <row r="462" spans="1:17" x14ac:dyDescent="0.25">
      <c r="A462">
        <v>461</v>
      </c>
      <c r="B462" t="s">
        <v>421</v>
      </c>
      <c r="C462" t="s">
        <v>422</v>
      </c>
      <c r="D462" t="s">
        <v>45</v>
      </c>
      <c r="E462">
        <v>0</v>
      </c>
      <c r="F462">
        <v>2</v>
      </c>
      <c r="G462">
        <v>0</v>
      </c>
      <c r="H462">
        <v>-63000</v>
      </c>
      <c r="I462">
        <v>-63000</v>
      </c>
      <c r="J462" s="1">
        <v>45227</v>
      </c>
      <c r="K462" t="s">
        <v>1058</v>
      </c>
      <c r="L462">
        <v>10</v>
      </c>
      <c r="M462">
        <v>2023</v>
      </c>
      <c r="N462">
        <f t="shared" si="7"/>
        <v>-63000</v>
      </c>
      <c r="O462" s="19">
        <f>IF(Table1_2[Tiền Nhập]&lt;&gt;0, Table1_2[Lợi Nhuận Gộp]/Table1_2[Tiền Nhập], 0)</f>
        <v>0</v>
      </c>
      <c r="P462">
        <f>IF(Table1_2[SL Xuất]&gt;0, Table1_2[Tiền Xuất]/Table1_2[SL Xuất], 0)</f>
        <v>0</v>
      </c>
      <c r="Q462">
        <f>Table1_2[SL Xuất] - Table1_2[SL Xuất KM]</f>
        <v>-2</v>
      </c>
    </row>
    <row r="463" spans="1:17" x14ac:dyDescent="0.25">
      <c r="A463">
        <v>462</v>
      </c>
      <c r="B463" t="s">
        <v>111</v>
      </c>
      <c r="C463" t="s">
        <v>112</v>
      </c>
      <c r="D463" t="s">
        <v>13</v>
      </c>
      <c r="E463">
        <v>231000</v>
      </c>
      <c r="F463">
        <v>0</v>
      </c>
      <c r="G463">
        <v>30</v>
      </c>
      <c r="H463">
        <v>300000</v>
      </c>
      <c r="I463">
        <v>69000</v>
      </c>
      <c r="J463" s="1">
        <v>45227</v>
      </c>
      <c r="K463" t="s">
        <v>1058</v>
      </c>
      <c r="L463">
        <v>10</v>
      </c>
      <c r="M463">
        <v>2023</v>
      </c>
      <c r="N463">
        <f t="shared" si="7"/>
        <v>-162000</v>
      </c>
      <c r="O463" s="19">
        <f>IF(Table1_2[Tiền Nhập]&lt;&gt;0, Table1_2[Lợi Nhuận Gộp]/Table1_2[Tiền Nhập], 0)</f>
        <v>-0.70129870129870131</v>
      </c>
      <c r="P463">
        <f>IF(Table1_2[SL Xuất]&gt;0, Table1_2[Tiền Xuất]/Table1_2[SL Xuất], 0)</f>
        <v>10000</v>
      </c>
      <c r="Q463">
        <f>Table1_2[SL Xuất] - Table1_2[SL Xuất KM]</f>
        <v>30</v>
      </c>
    </row>
    <row r="464" spans="1:17" x14ac:dyDescent="0.25">
      <c r="A464">
        <v>463</v>
      </c>
      <c r="B464" t="s">
        <v>429</v>
      </c>
      <c r="C464" t="s">
        <v>430</v>
      </c>
      <c r="D464" t="s">
        <v>88</v>
      </c>
      <c r="E464">
        <v>0</v>
      </c>
      <c r="F464">
        <v>3</v>
      </c>
      <c r="G464">
        <v>0</v>
      </c>
      <c r="H464">
        <v>-327000</v>
      </c>
      <c r="I464">
        <v>-327000</v>
      </c>
      <c r="J464" s="1">
        <v>45227</v>
      </c>
      <c r="K464" t="s">
        <v>268</v>
      </c>
      <c r="L464">
        <v>10</v>
      </c>
      <c r="M464">
        <v>2023</v>
      </c>
      <c r="N464">
        <f t="shared" si="7"/>
        <v>-327000</v>
      </c>
      <c r="O464" s="19">
        <f>IF(Table1_2[Tiền Nhập]&lt;&gt;0, Table1_2[Lợi Nhuận Gộp]/Table1_2[Tiền Nhập], 0)</f>
        <v>0</v>
      </c>
      <c r="P464">
        <f>IF(Table1_2[SL Xuất]&gt;0, Table1_2[Tiền Xuất]/Table1_2[SL Xuất], 0)</f>
        <v>0</v>
      </c>
      <c r="Q464">
        <f>Table1_2[SL Xuất] - Table1_2[SL Xuất KM]</f>
        <v>-3</v>
      </c>
    </row>
    <row r="465" spans="1:17" x14ac:dyDescent="0.25">
      <c r="A465">
        <v>464</v>
      </c>
      <c r="B465" t="s">
        <v>259</v>
      </c>
      <c r="C465" t="s">
        <v>260</v>
      </c>
      <c r="D465" t="s">
        <v>88</v>
      </c>
      <c r="E465">
        <v>600000</v>
      </c>
      <c r="F465">
        <v>0</v>
      </c>
      <c r="G465">
        <v>6</v>
      </c>
      <c r="H465">
        <v>1308000</v>
      </c>
      <c r="I465">
        <v>708000</v>
      </c>
      <c r="J465" s="1">
        <v>45227</v>
      </c>
      <c r="K465" t="s">
        <v>268</v>
      </c>
      <c r="L465">
        <v>10</v>
      </c>
      <c r="M465">
        <v>2023</v>
      </c>
      <c r="N465">
        <f t="shared" si="7"/>
        <v>108000</v>
      </c>
      <c r="O465" s="19">
        <f>IF(Table1_2[Tiền Nhập]&lt;&gt;0, Table1_2[Lợi Nhuận Gộp]/Table1_2[Tiền Nhập], 0)</f>
        <v>0.18</v>
      </c>
      <c r="P465">
        <f>IF(Table1_2[SL Xuất]&gt;0, Table1_2[Tiền Xuất]/Table1_2[SL Xuất], 0)</f>
        <v>218000</v>
      </c>
      <c r="Q465">
        <f>Table1_2[SL Xuất] - Table1_2[SL Xuất KM]</f>
        <v>6</v>
      </c>
    </row>
    <row r="466" spans="1:17" x14ac:dyDescent="0.25">
      <c r="A466">
        <v>465</v>
      </c>
      <c r="B466" t="s">
        <v>261</v>
      </c>
      <c r="C466" t="s">
        <v>262</v>
      </c>
      <c r="D466" t="s">
        <v>88</v>
      </c>
      <c r="E466">
        <v>0</v>
      </c>
      <c r="F466">
        <v>3</v>
      </c>
      <c r="G466">
        <v>0</v>
      </c>
      <c r="H466">
        <v>-327000</v>
      </c>
      <c r="I466">
        <v>-327000</v>
      </c>
      <c r="J466" s="1">
        <v>45227</v>
      </c>
      <c r="K466" t="s">
        <v>268</v>
      </c>
      <c r="L466">
        <v>10</v>
      </c>
      <c r="M466">
        <v>2023</v>
      </c>
      <c r="N466">
        <f t="shared" si="7"/>
        <v>-327000</v>
      </c>
      <c r="O466" s="19">
        <f>IF(Table1_2[Tiền Nhập]&lt;&gt;0, Table1_2[Lợi Nhuận Gộp]/Table1_2[Tiền Nhập], 0)</f>
        <v>0</v>
      </c>
      <c r="P466">
        <f>IF(Table1_2[SL Xuất]&gt;0, Table1_2[Tiền Xuất]/Table1_2[SL Xuất], 0)</f>
        <v>0</v>
      </c>
      <c r="Q466">
        <f>Table1_2[SL Xuất] - Table1_2[SL Xuất KM]</f>
        <v>-3</v>
      </c>
    </row>
    <row r="467" spans="1:17" x14ac:dyDescent="0.25">
      <c r="A467">
        <v>466</v>
      </c>
      <c r="B467" t="s">
        <v>1059</v>
      </c>
      <c r="C467" t="s">
        <v>1060</v>
      </c>
      <c r="D467" t="s">
        <v>30</v>
      </c>
      <c r="E467">
        <v>170000</v>
      </c>
      <c r="F467">
        <v>0</v>
      </c>
      <c r="G467">
        <v>2</v>
      </c>
      <c r="H467">
        <v>250000</v>
      </c>
      <c r="I467">
        <v>80000</v>
      </c>
      <c r="J467" s="1">
        <v>45227</v>
      </c>
      <c r="K467" t="s">
        <v>1061</v>
      </c>
      <c r="L467">
        <v>10</v>
      </c>
      <c r="M467">
        <v>2023</v>
      </c>
      <c r="N467">
        <f t="shared" si="7"/>
        <v>-90000</v>
      </c>
      <c r="O467" s="19">
        <f>IF(Table1_2[Tiền Nhập]&lt;&gt;0, Table1_2[Lợi Nhuận Gộp]/Table1_2[Tiền Nhập], 0)</f>
        <v>-0.52941176470588236</v>
      </c>
      <c r="P467">
        <f>IF(Table1_2[SL Xuất]&gt;0, Table1_2[Tiền Xuất]/Table1_2[SL Xuất], 0)</f>
        <v>125000</v>
      </c>
      <c r="Q467">
        <f>Table1_2[SL Xuất] - Table1_2[SL Xuất KM]</f>
        <v>2</v>
      </c>
    </row>
    <row r="468" spans="1:17" x14ac:dyDescent="0.25">
      <c r="A468">
        <v>467</v>
      </c>
      <c r="B468" t="s">
        <v>1062</v>
      </c>
      <c r="C468" t="s">
        <v>1063</v>
      </c>
      <c r="D468" t="s">
        <v>30</v>
      </c>
      <c r="E468">
        <v>85000</v>
      </c>
      <c r="F468">
        <v>0</v>
      </c>
      <c r="G468">
        <v>1</v>
      </c>
      <c r="H468">
        <v>125000</v>
      </c>
      <c r="I468">
        <v>40000</v>
      </c>
      <c r="J468" s="1">
        <v>45227</v>
      </c>
      <c r="K468" t="s">
        <v>1061</v>
      </c>
      <c r="L468">
        <v>10</v>
      </c>
      <c r="M468">
        <v>2023</v>
      </c>
      <c r="N468">
        <f t="shared" si="7"/>
        <v>-45000</v>
      </c>
      <c r="O468" s="19">
        <f>IF(Table1_2[Tiền Nhập]&lt;&gt;0, Table1_2[Lợi Nhuận Gộp]/Table1_2[Tiền Nhập], 0)</f>
        <v>-0.52941176470588236</v>
      </c>
      <c r="P468">
        <f>IF(Table1_2[SL Xuất]&gt;0, Table1_2[Tiền Xuất]/Table1_2[SL Xuất], 0)</f>
        <v>125000</v>
      </c>
      <c r="Q468">
        <f>Table1_2[SL Xuất] - Table1_2[SL Xuất KM]</f>
        <v>1</v>
      </c>
    </row>
    <row r="469" spans="1:17" x14ac:dyDescent="0.25">
      <c r="A469">
        <v>468</v>
      </c>
      <c r="B469" t="s">
        <v>111</v>
      </c>
      <c r="C469" t="s">
        <v>112</v>
      </c>
      <c r="D469" t="s">
        <v>13</v>
      </c>
      <c r="E469">
        <v>231000</v>
      </c>
      <c r="F469">
        <v>0</v>
      </c>
      <c r="G469">
        <v>30</v>
      </c>
      <c r="H469">
        <v>300000</v>
      </c>
      <c r="I469">
        <v>69000</v>
      </c>
      <c r="J469" s="1">
        <v>45227</v>
      </c>
      <c r="K469" t="s">
        <v>1061</v>
      </c>
      <c r="L469">
        <v>10</v>
      </c>
      <c r="M469">
        <v>2023</v>
      </c>
      <c r="N469">
        <f t="shared" si="7"/>
        <v>-162000</v>
      </c>
      <c r="O469" s="19">
        <f>IF(Table1_2[Tiền Nhập]&lt;&gt;0, Table1_2[Lợi Nhuận Gộp]/Table1_2[Tiền Nhập], 0)</f>
        <v>-0.70129870129870131</v>
      </c>
      <c r="P469">
        <f>IF(Table1_2[SL Xuất]&gt;0, Table1_2[Tiền Xuất]/Table1_2[SL Xuất], 0)</f>
        <v>10000</v>
      </c>
      <c r="Q469">
        <f>Table1_2[SL Xuất] - Table1_2[SL Xuất KM]</f>
        <v>30</v>
      </c>
    </row>
    <row r="470" spans="1:17" x14ac:dyDescent="0.25">
      <c r="A470">
        <v>469</v>
      </c>
      <c r="B470" t="s">
        <v>636</v>
      </c>
      <c r="C470" t="s">
        <v>637</v>
      </c>
      <c r="D470" t="s">
        <v>13</v>
      </c>
      <c r="E470">
        <v>55000</v>
      </c>
      <c r="F470">
        <v>0</v>
      </c>
      <c r="G470">
        <v>10</v>
      </c>
      <c r="H470">
        <v>60000</v>
      </c>
      <c r="I470">
        <v>5000</v>
      </c>
      <c r="J470" s="1">
        <v>45227</v>
      </c>
      <c r="K470" t="s">
        <v>1061</v>
      </c>
      <c r="L470">
        <v>10</v>
      </c>
      <c r="M470">
        <v>2023</v>
      </c>
      <c r="N470">
        <f t="shared" si="7"/>
        <v>-50000</v>
      </c>
      <c r="O470" s="19">
        <f>IF(Table1_2[Tiền Nhập]&lt;&gt;0, Table1_2[Lợi Nhuận Gộp]/Table1_2[Tiền Nhập], 0)</f>
        <v>-0.90909090909090906</v>
      </c>
      <c r="P470">
        <f>IF(Table1_2[SL Xuất]&gt;0, Table1_2[Tiền Xuất]/Table1_2[SL Xuất], 0)</f>
        <v>6000</v>
      </c>
      <c r="Q470">
        <f>Table1_2[SL Xuất] - Table1_2[SL Xuất KM]</f>
        <v>10</v>
      </c>
    </row>
    <row r="471" spans="1:17" x14ac:dyDescent="0.25">
      <c r="A471">
        <v>470</v>
      </c>
      <c r="B471" t="s">
        <v>111</v>
      </c>
      <c r="C471" t="s">
        <v>112</v>
      </c>
      <c r="D471" t="s">
        <v>13</v>
      </c>
      <c r="E471">
        <v>231000</v>
      </c>
      <c r="F471">
        <v>0</v>
      </c>
      <c r="G471">
        <v>30</v>
      </c>
      <c r="H471">
        <v>300000</v>
      </c>
      <c r="I471">
        <v>69000</v>
      </c>
      <c r="J471" s="1">
        <v>45227</v>
      </c>
      <c r="K471" t="s">
        <v>1064</v>
      </c>
      <c r="L471">
        <v>10</v>
      </c>
      <c r="M471">
        <v>2023</v>
      </c>
      <c r="N471">
        <f t="shared" si="7"/>
        <v>-162000</v>
      </c>
      <c r="O471" s="19">
        <f>IF(Table1_2[Tiền Nhập]&lt;&gt;0, Table1_2[Lợi Nhuận Gộp]/Table1_2[Tiền Nhập], 0)</f>
        <v>-0.70129870129870131</v>
      </c>
      <c r="P471">
        <f>IF(Table1_2[SL Xuất]&gt;0, Table1_2[Tiền Xuất]/Table1_2[SL Xuất], 0)</f>
        <v>10000</v>
      </c>
      <c r="Q471">
        <f>Table1_2[SL Xuất] - Table1_2[SL Xuất KM]</f>
        <v>30</v>
      </c>
    </row>
    <row r="472" spans="1:17" x14ac:dyDescent="0.25">
      <c r="A472">
        <v>471</v>
      </c>
      <c r="B472" t="s">
        <v>636</v>
      </c>
      <c r="C472" t="s">
        <v>637</v>
      </c>
      <c r="D472" t="s">
        <v>13</v>
      </c>
      <c r="E472">
        <v>55000</v>
      </c>
      <c r="F472">
        <v>0</v>
      </c>
      <c r="G472">
        <v>10</v>
      </c>
      <c r="H472">
        <v>60000</v>
      </c>
      <c r="I472">
        <v>5000</v>
      </c>
      <c r="J472" s="1">
        <v>45227</v>
      </c>
      <c r="K472" t="s">
        <v>1064</v>
      </c>
      <c r="L472">
        <v>10</v>
      </c>
      <c r="M472">
        <v>2023</v>
      </c>
      <c r="N472">
        <f t="shared" si="7"/>
        <v>-50000</v>
      </c>
      <c r="O472" s="19">
        <f>IF(Table1_2[Tiền Nhập]&lt;&gt;0, Table1_2[Lợi Nhuận Gộp]/Table1_2[Tiền Nhập], 0)</f>
        <v>-0.90909090909090906</v>
      </c>
      <c r="P472">
        <f>IF(Table1_2[SL Xuất]&gt;0, Table1_2[Tiền Xuất]/Table1_2[SL Xuất], 0)</f>
        <v>6000</v>
      </c>
      <c r="Q472">
        <f>Table1_2[SL Xuất] - Table1_2[SL Xuất KM]</f>
        <v>10</v>
      </c>
    </row>
    <row r="473" spans="1:17" x14ac:dyDescent="0.25">
      <c r="A473">
        <v>472</v>
      </c>
      <c r="B473" t="s">
        <v>421</v>
      </c>
      <c r="C473" t="s">
        <v>422</v>
      </c>
      <c r="D473" t="s">
        <v>45</v>
      </c>
      <c r="E473">
        <v>265716</v>
      </c>
      <c r="F473">
        <v>2</v>
      </c>
      <c r="G473">
        <v>12</v>
      </c>
      <c r="H473">
        <v>345000</v>
      </c>
      <c r="I473">
        <v>79284</v>
      </c>
      <c r="J473" s="1">
        <v>45227</v>
      </c>
      <c r="K473" t="s">
        <v>433</v>
      </c>
      <c r="L473">
        <v>10</v>
      </c>
      <c r="M473">
        <v>2023</v>
      </c>
      <c r="N473">
        <f t="shared" si="7"/>
        <v>-186432</v>
      </c>
      <c r="O473" s="19">
        <f>IF(Table1_2[Tiền Nhập]&lt;&gt;0, Table1_2[Lợi Nhuận Gộp]/Table1_2[Tiền Nhập], 0)</f>
        <v>-0.70162127986271061</v>
      </c>
      <c r="P473">
        <f>IF(Table1_2[SL Xuất]&gt;0, Table1_2[Tiền Xuất]/Table1_2[SL Xuất], 0)</f>
        <v>28750</v>
      </c>
      <c r="Q473">
        <f>Table1_2[SL Xuất] - Table1_2[SL Xuất KM]</f>
        <v>10</v>
      </c>
    </row>
    <row r="474" spans="1:17" x14ac:dyDescent="0.25">
      <c r="A474">
        <v>473</v>
      </c>
      <c r="B474" t="s">
        <v>251</v>
      </c>
      <c r="C474" t="s">
        <v>252</v>
      </c>
      <c r="D474" t="s">
        <v>88</v>
      </c>
      <c r="E474">
        <v>0</v>
      </c>
      <c r="F474">
        <v>6</v>
      </c>
      <c r="G474">
        <v>0</v>
      </c>
      <c r="H474">
        <v>-654000</v>
      </c>
      <c r="I474">
        <v>-654000</v>
      </c>
      <c r="J474" s="1">
        <v>45227</v>
      </c>
      <c r="K474" t="s">
        <v>1068</v>
      </c>
      <c r="L474">
        <v>10</v>
      </c>
      <c r="M474">
        <v>2023</v>
      </c>
      <c r="N474">
        <f t="shared" si="7"/>
        <v>-654000</v>
      </c>
      <c r="O474" s="19">
        <f>IF(Table1_2[Tiền Nhập]&lt;&gt;0, Table1_2[Lợi Nhuận Gộp]/Table1_2[Tiền Nhập], 0)</f>
        <v>0</v>
      </c>
      <c r="P474">
        <f>IF(Table1_2[SL Xuất]&gt;0, Table1_2[Tiền Xuất]/Table1_2[SL Xuất], 0)</f>
        <v>0</v>
      </c>
      <c r="Q474">
        <f>Table1_2[SL Xuất] - Table1_2[SL Xuất KM]</f>
        <v>-6</v>
      </c>
    </row>
    <row r="475" spans="1:17" x14ac:dyDescent="0.25">
      <c r="A475">
        <v>474</v>
      </c>
      <c r="B475" t="s">
        <v>1069</v>
      </c>
      <c r="C475" t="s">
        <v>1070</v>
      </c>
      <c r="D475" t="s">
        <v>88</v>
      </c>
      <c r="E475">
        <v>0</v>
      </c>
      <c r="F475">
        <v>6</v>
      </c>
      <c r="G475">
        <v>0</v>
      </c>
      <c r="H475">
        <v>-654000</v>
      </c>
      <c r="I475">
        <v>-654000</v>
      </c>
      <c r="J475" s="1">
        <v>45227</v>
      </c>
      <c r="K475" t="s">
        <v>1068</v>
      </c>
      <c r="L475">
        <v>10</v>
      </c>
      <c r="M475">
        <v>2023</v>
      </c>
      <c r="N475">
        <f t="shared" si="7"/>
        <v>-654000</v>
      </c>
      <c r="O475" s="19">
        <f>IF(Table1_2[Tiền Nhập]&lt;&gt;0, Table1_2[Lợi Nhuận Gộp]/Table1_2[Tiền Nhập], 0)</f>
        <v>0</v>
      </c>
      <c r="P475">
        <f>IF(Table1_2[SL Xuất]&gt;0, Table1_2[Tiền Xuất]/Table1_2[SL Xuất], 0)</f>
        <v>0</v>
      </c>
      <c r="Q475">
        <f>Table1_2[SL Xuất] - Table1_2[SL Xuất KM]</f>
        <v>-6</v>
      </c>
    </row>
    <row r="476" spans="1:17" x14ac:dyDescent="0.25">
      <c r="A476">
        <v>475</v>
      </c>
      <c r="B476" t="s">
        <v>429</v>
      </c>
      <c r="C476" t="s">
        <v>430</v>
      </c>
      <c r="D476" t="s">
        <v>88</v>
      </c>
      <c r="E476">
        <v>600000</v>
      </c>
      <c r="F476">
        <v>6</v>
      </c>
      <c r="G476">
        <v>6</v>
      </c>
      <c r="H476">
        <v>654000</v>
      </c>
      <c r="I476">
        <v>54000</v>
      </c>
      <c r="J476" s="1">
        <v>45227</v>
      </c>
      <c r="K476" t="s">
        <v>1068</v>
      </c>
      <c r="L476">
        <v>10</v>
      </c>
      <c r="M476">
        <v>2023</v>
      </c>
      <c r="N476">
        <f t="shared" si="7"/>
        <v>-546000</v>
      </c>
      <c r="O476" s="19">
        <f>IF(Table1_2[Tiền Nhập]&lt;&gt;0, Table1_2[Lợi Nhuận Gộp]/Table1_2[Tiền Nhập], 0)</f>
        <v>-0.91</v>
      </c>
      <c r="P476">
        <f>IF(Table1_2[SL Xuất]&gt;0, Table1_2[Tiền Xuất]/Table1_2[SL Xuất], 0)</f>
        <v>109000</v>
      </c>
      <c r="Q476">
        <f>Table1_2[SL Xuất] - Table1_2[SL Xuất KM]</f>
        <v>0</v>
      </c>
    </row>
    <row r="477" spans="1:17" x14ac:dyDescent="0.25">
      <c r="A477">
        <v>476</v>
      </c>
      <c r="B477" t="s">
        <v>259</v>
      </c>
      <c r="C477" t="s">
        <v>260</v>
      </c>
      <c r="D477" t="s">
        <v>88</v>
      </c>
      <c r="E477">
        <v>600000</v>
      </c>
      <c r="F477">
        <v>6</v>
      </c>
      <c r="G477">
        <v>6</v>
      </c>
      <c r="H477">
        <v>654000</v>
      </c>
      <c r="I477">
        <v>54000</v>
      </c>
      <c r="J477" s="1">
        <v>45227</v>
      </c>
      <c r="K477" t="s">
        <v>1068</v>
      </c>
      <c r="L477">
        <v>10</v>
      </c>
      <c r="M477">
        <v>2023</v>
      </c>
      <c r="N477">
        <f t="shared" si="7"/>
        <v>-546000</v>
      </c>
      <c r="O477" s="19">
        <f>IF(Table1_2[Tiền Nhập]&lt;&gt;0, Table1_2[Lợi Nhuận Gộp]/Table1_2[Tiền Nhập], 0)</f>
        <v>-0.91</v>
      </c>
      <c r="P477">
        <f>IF(Table1_2[SL Xuất]&gt;0, Table1_2[Tiền Xuất]/Table1_2[SL Xuất], 0)</f>
        <v>109000</v>
      </c>
      <c r="Q477">
        <f>Table1_2[SL Xuất] - Table1_2[SL Xuất KM]</f>
        <v>0</v>
      </c>
    </row>
    <row r="478" spans="1:17" x14ac:dyDescent="0.25">
      <c r="A478">
        <v>477</v>
      </c>
      <c r="B478" t="s">
        <v>261</v>
      </c>
      <c r="C478" t="s">
        <v>262</v>
      </c>
      <c r="D478" t="s">
        <v>88</v>
      </c>
      <c r="E478">
        <v>600000</v>
      </c>
      <c r="F478">
        <v>6</v>
      </c>
      <c r="G478">
        <v>6</v>
      </c>
      <c r="H478">
        <v>654000</v>
      </c>
      <c r="I478">
        <v>54000</v>
      </c>
      <c r="J478" s="1">
        <v>45227</v>
      </c>
      <c r="K478" t="s">
        <v>1068</v>
      </c>
      <c r="L478">
        <v>10</v>
      </c>
      <c r="M478">
        <v>2023</v>
      </c>
      <c r="N478">
        <f t="shared" si="7"/>
        <v>-546000</v>
      </c>
      <c r="O478" s="19">
        <f>IF(Table1_2[Tiền Nhập]&lt;&gt;0, Table1_2[Lợi Nhuận Gộp]/Table1_2[Tiền Nhập], 0)</f>
        <v>-0.91</v>
      </c>
      <c r="P478">
        <f>IF(Table1_2[SL Xuất]&gt;0, Table1_2[Tiền Xuất]/Table1_2[SL Xuất], 0)</f>
        <v>109000</v>
      </c>
      <c r="Q478">
        <f>Table1_2[SL Xuất] - Table1_2[SL Xuất KM]</f>
        <v>0</v>
      </c>
    </row>
    <row r="479" spans="1:17" x14ac:dyDescent="0.25">
      <c r="A479">
        <v>478</v>
      </c>
      <c r="B479" t="s">
        <v>668</v>
      </c>
      <c r="C479" t="s">
        <v>669</v>
      </c>
      <c r="D479" t="s">
        <v>88</v>
      </c>
      <c r="E479">
        <v>780000</v>
      </c>
      <c r="F479">
        <v>0</v>
      </c>
      <c r="G479">
        <v>6</v>
      </c>
      <c r="H479">
        <v>1680000</v>
      </c>
      <c r="I479">
        <v>900000</v>
      </c>
      <c r="J479" s="1">
        <v>45227</v>
      </c>
      <c r="K479" t="s">
        <v>1068</v>
      </c>
      <c r="L479">
        <v>10</v>
      </c>
      <c r="M479">
        <v>2023</v>
      </c>
      <c r="N479">
        <f t="shared" si="7"/>
        <v>120000</v>
      </c>
      <c r="O479" s="19">
        <f>IF(Table1_2[Tiền Nhập]&lt;&gt;0, Table1_2[Lợi Nhuận Gộp]/Table1_2[Tiền Nhập], 0)</f>
        <v>0.15384615384615385</v>
      </c>
      <c r="P479">
        <f>IF(Table1_2[SL Xuất]&gt;0, Table1_2[Tiền Xuất]/Table1_2[SL Xuất], 0)</f>
        <v>280000</v>
      </c>
      <c r="Q479">
        <f>Table1_2[SL Xuất] - Table1_2[SL Xuất KM]</f>
        <v>6</v>
      </c>
    </row>
    <row r="480" spans="1:17" x14ac:dyDescent="0.25">
      <c r="A480">
        <v>479</v>
      </c>
      <c r="B480" t="s">
        <v>672</v>
      </c>
      <c r="C480" t="s">
        <v>673</v>
      </c>
      <c r="D480" t="s">
        <v>88</v>
      </c>
      <c r="E480">
        <v>780000</v>
      </c>
      <c r="F480">
        <v>0</v>
      </c>
      <c r="G480">
        <v>6</v>
      </c>
      <c r="H480">
        <v>1680000</v>
      </c>
      <c r="I480">
        <v>900000</v>
      </c>
      <c r="J480" s="1">
        <v>45227</v>
      </c>
      <c r="K480" t="s">
        <v>1068</v>
      </c>
      <c r="L480">
        <v>10</v>
      </c>
      <c r="M480">
        <v>2023</v>
      </c>
      <c r="N480">
        <f t="shared" si="7"/>
        <v>120000</v>
      </c>
      <c r="O480" s="19">
        <f>IF(Table1_2[Tiền Nhập]&lt;&gt;0, Table1_2[Lợi Nhuận Gộp]/Table1_2[Tiền Nhập], 0)</f>
        <v>0.15384615384615385</v>
      </c>
      <c r="P480">
        <f>IF(Table1_2[SL Xuất]&gt;0, Table1_2[Tiền Xuất]/Table1_2[SL Xuất], 0)</f>
        <v>280000</v>
      </c>
      <c r="Q480">
        <f>Table1_2[SL Xuất] - Table1_2[SL Xuất KM]</f>
        <v>6</v>
      </c>
    </row>
    <row r="481" spans="1:17" x14ac:dyDescent="0.25">
      <c r="A481">
        <v>480</v>
      </c>
      <c r="B481" t="s">
        <v>421</v>
      </c>
      <c r="C481" t="s">
        <v>422</v>
      </c>
      <c r="D481" t="s">
        <v>45</v>
      </c>
      <c r="E481">
        <v>265716</v>
      </c>
      <c r="F481">
        <v>2</v>
      </c>
      <c r="G481">
        <v>12</v>
      </c>
      <c r="H481">
        <v>345000</v>
      </c>
      <c r="I481">
        <v>79284</v>
      </c>
      <c r="J481" s="1">
        <v>45227</v>
      </c>
      <c r="K481" t="s">
        <v>285</v>
      </c>
      <c r="L481">
        <v>10</v>
      </c>
      <c r="M481">
        <v>2023</v>
      </c>
      <c r="N481">
        <f t="shared" si="7"/>
        <v>-186432</v>
      </c>
      <c r="O481" s="19">
        <f>IF(Table1_2[Tiền Nhập]&lt;&gt;0, Table1_2[Lợi Nhuận Gộp]/Table1_2[Tiền Nhập], 0)</f>
        <v>-0.70162127986271061</v>
      </c>
      <c r="P481">
        <f>IF(Table1_2[SL Xuất]&gt;0, Table1_2[Tiền Xuất]/Table1_2[SL Xuất], 0)</f>
        <v>28750</v>
      </c>
      <c r="Q481">
        <f>Table1_2[SL Xuất] - Table1_2[SL Xuất KM]</f>
        <v>10</v>
      </c>
    </row>
    <row r="482" spans="1:17" x14ac:dyDescent="0.25">
      <c r="A482">
        <v>481</v>
      </c>
      <c r="B482" t="s">
        <v>717</v>
      </c>
      <c r="C482" t="s">
        <v>718</v>
      </c>
      <c r="D482" t="s">
        <v>88</v>
      </c>
      <c r="E482">
        <v>181200</v>
      </c>
      <c r="F482">
        <v>1</v>
      </c>
      <c r="G482">
        <v>4</v>
      </c>
      <c r="H482">
        <v>158000</v>
      </c>
      <c r="I482">
        <v>-23200</v>
      </c>
      <c r="J482" s="1">
        <v>45227</v>
      </c>
      <c r="K482" t="s">
        <v>285</v>
      </c>
      <c r="L482">
        <v>10</v>
      </c>
      <c r="M482">
        <v>2023</v>
      </c>
      <c r="N482">
        <f t="shared" si="7"/>
        <v>-204400</v>
      </c>
      <c r="O482" s="19">
        <f>IF(Table1_2[Tiền Nhập]&lt;&gt;0, Table1_2[Lợi Nhuận Gộp]/Table1_2[Tiền Nhập], 0)</f>
        <v>-1.1280353200883002</v>
      </c>
      <c r="P482">
        <f>IF(Table1_2[SL Xuất]&gt;0, Table1_2[Tiền Xuất]/Table1_2[SL Xuất], 0)</f>
        <v>39500</v>
      </c>
      <c r="Q482">
        <f>Table1_2[SL Xuất] - Table1_2[SL Xuất KM]</f>
        <v>3</v>
      </c>
    </row>
    <row r="483" spans="1:17" x14ac:dyDescent="0.25">
      <c r="A483">
        <v>482</v>
      </c>
      <c r="B483" t="s">
        <v>753</v>
      </c>
      <c r="C483" t="s">
        <v>754</v>
      </c>
      <c r="D483" t="s">
        <v>88</v>
      </c>
      <c r="E483">
        <v>181200</v>
      </c>
      <c r="F483">
        <v>0</v>
      </c>
      <c r="G483">
        <v>4</v>
      </c>
      <c r="H483">
        <v>200000</v>
      </c>
      <c r="I483">
        <v>18800</v>
      </c>
      <c r="J483" s="1">
        <v>45227</v>
      </c>
      <c r="K483" t="s">
        <v>285</v>
      </c>
      <c r="L483">
        <v>10</v>
      </c>
      <c r="M483">
        <v>2023</v>
      </c>
      <c r="N483">
        <f t="shared" si="7"/>
        <v>-162400</v>
      </c>
      <c r="O483" s="19">
        <f>IF(Table1_2[Tiền Nhập]&lt;&gt;0, Table1_2[Lợi Nhuận Gộp]/Table1_2[Tiền Nhập], 0)</f>
        <v>-0.89624724061810157</v>
      </c>
      <c r="P483">
        <f>IF(Table1_2[SL Xuất]&gt;0, Table1_2[Tiền Xuất]/Table1_2[SL Xuất], 0)</f>
        <v>50000</v>
      </c>
      <c r="Q483">
        <f>Table1_2[SL Xuất] - Table1_2[SL Xuất KM]</f>
        <v>4</v>
      </c>
    </row>
    <row r="484" spans="1:17" x14ac:dyDescent="0.25">
      <c r="A484">
        <v>483</v>
      </c>
      <c r="B484" t="s">
        <v>757</v>
      </c>
      <c r="C484" t="s">
        <v>758</v>
      </c>
      <c r="D484" t="s">
        <v>88</v>
      </c>
      <c r="E484">
        <v>181200</v>
      </c>
      <c r="F484">
        <v>0</v>
      </c>
      <c r="G484">
        <v>4</v>
      </c>
      <c r="H484">
        <v>200000</v>
      </c>
      <c r="I484">
        <v>18800</v>
      </c>
      <c r="J484" s="1">
        <v>45227</v>
      </c>
      <c r="K484" t="s">
        <v>285</v>
      </c>
      <c r="L484">
        <v>10</v>
      </c>
      <c r="M484">
        <v>2023</v>
      </c>
      <c r="N484">
        <f t="shared" si="7"/>
        <v>-162400</v>
      </c>
      <c r="O484" s="19">
        <f>IF(Table1_2[Tiền Nhập]&lt;&gt;0, Table1_2[Lợi Nhuận Gộp]/Table1_2[Tiền Nhập], 0)</f>
        <v>-0.89624724061810157</v>
      </c>
      <c r="P484">
        <f>IF(Table1_2[SL Xuất]&gt;0, Table1_2[Tiền Xuất]/Table1_2[SL Xuất], 0)</f>
        <v>50000</v>
      </c>
      <c r="Q484">
        <f>Table1_2[SL Xuất] - Table1_2[SL Xuất KM]</f>
        <v>4</v>
      </c>
    </row>
    <row r="485" spans="1:17" x14ac:dyDescent="0.25">
      <c r="A485">
        <v>484</v>
      </c>
      <c r="B485" t="s">
        <v>957</v>
      </c>
      <c r="C485" t="s">
        <v>958</v>
      </c>
      <c r="D485" t="s">
        <v>88</v>
      </c>
      <c r="E485">
        <v>133330</v>
      </c>
      <c r="F485">
        <v>0</v>
      </c>
      <c r="G485">
        <v>10</v>
      </c>
      <c r="H485">
        <v>160000</v>
      </c>
      <c r="I485">
        <v>26670</v>
      </c>
      <c r="J485" s="1">
        <v>45227</v>
      </c>
      <c r="K485" t="s">
        <v>285</v>
      </c>
      <c r="L485">
        <v>10</v>
      </c>
      <c r="M485">
        <v>2023</v>
      </c>
      <c r="N485">
        <f t="shared" si="7"/>
        <v>-106660</v>
      </c>
      <c r="O485" s="19">
        <f>IF(Table1_2[Tiền Nhập]&lt;&gt;0, Table1_2[Lợi Nhuận Gộp]/Table1_2[Tiền Nhập], 0)</f>
        <v>-0.79996999924998125</v>
      </c>
      <c r="P485">
        <f>IF(Table1_2[SL Xuất]&gt;0, Table1_2[Tiền Xuất]/Table1_2[SL Xuất], 0)</f>
        <v>16000</v>
      </c>
      <c r="Q485">
        <f>Table1_2[SL Xuất] - Table1_2[SL Xuất KM]</f>
        <v>10</v>
      </c>
    </row>
    <row r="486" spans="1:17" x14ac:dyDescent="0.25">
      <c r="A486">
        <v>485</v>
      </c>
      <c r="B486" t="s">
        <v>962</v>
      </c>
      <c r="C486" t="s">
        <v>963</v>
      </c>
      <c r="D486" t="s">
        <v>88</v>
      </c>
      <c r="E486">
        <v>106664</v>
      </c>
      <c r="F486">
        <v>3</v>
      </c>
      <c r="G486">
        <v>8</v>
      </c>
      <c r="H486">
        <v>87000</v>
      </c>
      <c r="I486">
        <v>-19664</v>
      </c>
      <c r="J486" s="1">
        <v>45227</v>
      </c>
      <c r="K486" t="s">
        <v>285</v>
      </c>
      <c r="L486">
        <v>10</v>
      </c>
      <c r="M486">
        <v>2023</v>
      </c>
      <c r="N486">
        <f t="shared" si="7"/>
        <v>-126328</v>
      </c>
      <c r="O486" s="19">
        <f>IF(Table1_2[Tiền Nhập]&lt;&gt;0, Table1_2[Lợi Nhuận Gộp]/Table1_2[Tiền Nhập], 0)</f>
        <v>-1.1843546088652217</v>
      </c>
      <c r="P486">
        <f>IF(Table1_2[SL Xuất]&gt;0, Table1_2[Tiền Xuất]/Table1_2[SL Xuất], 0)</f>
        <v>10875</v>
      </c>
      <c r="Q486">
        <f>Table1_2[SL Xuất] - Table1_2[SL Xuất KM]</f>
        <v>5</v>
      </c>
    </row>
    <row r="487" spans="1:17" x14ac:dyDescent="0.25">
      <c r="A487">
        <v>486</v>
      </c>
      <c r="B487" t="s">
        <v>382</v>
      </c>
      <c r="C487" t="s">
        <v>383</v>
      </c>
      <c r="D487" t="s">
        <v>339</v>
      </c>
      <c r="E487">
        <v>55440</v>
      </c>
      <c r="F487">
        <v>0</v>
      </c>
      <c r="G487">
        <v>2</v>
      </c>
      <c r="H487">
        <v>64000</v>
      </c>
      <c r="I487">
        <v>8560</v>
      </c>
      <c r="J487" s="1">
        <v>45227</v>
      </c>
      <c r="K487" t="s">
        <v>286</v>
      </c>
      <c r="L487">
        <v>10</v>
      </c>
      <c r="M487">
        <v>2023</v>
      </c>
      <c r="N487">
        <f t="shared" si="7"/>
        <v>-46880</v>
      </c>
      <c r="O487" s="19">
        <f>IF(Table1_2[Tiền Nhập]&lt;&gt;0, Table1_2[Lợi Nhuận Gộp]/Table1_2[Tiền Nhập], 0)</f>
        <v>-0.84559884559884557</v>
      </c>
      <c r="P487">
        <f>IF(Table1_2[SL Xuất]&gt;0, Table1_2[Tiền Xuất]/Table1_2[SL Xuất], 0)</f>
        <v>32000</v>
      </c>
      <c r="Q487">
        <f>Table1_2[SL Xuất] - Table1_2[SL Xuất KM]</f>
        <v>2</v>
      </c>
    </row>
    <row r="488" spans="1:17" x14ac:dyDescent="0.25">
      <c r="A488">
        <v>487</v>
      </c>
      <c r="B488" t="s">
        <v>389</v>
      </c>
      <c r="C488" t="s">
        <v>390</v>
      </c>
      <c r="D488" t="s">
        <v>339</v>
      </c>
      <c r="E488">
        <v>55440</v>
      </c>
      <c r="F488">
        <v>0</v>
      </c>
      <c r="G488">
        <v>2</v>
      </c>
      <c r="H488">
        <v>64000</v>
      </c>
      <c r="I488">
        <v>8560</v>
      </c>
      <c r="J488" s="1">
        <v>45227</v>
      </c>
      <c r="K488" t="s">
        <v>286</v>
      </c>
      <c r="L488">
        <v>10</v>
      </c>
      <c r="M488">
        <v>2023</v>
      </c>
      <c r="N488">
        <f t="shared" si="7"/>
        <v>-46880</v>
      </c>
      <c r="O488" s="19">
        <f>IF(Table1_2[Tiền Nhập]&lt;&gt;0, Table1_2[Lợi Nhuận Gộp]/Table1_2[Tiền Nhập], 0)</f>
        <v>-0.84559884559884557</v>
      </c>
      <c r="P488">
        <f>IF(Table1_2[SL Xuất]&gt;0, Table1_2[Tiền Xuất]/Table1_2[SL Xuất], 0)</f>
        <v>32000</v>
      </c>
      <c r="Q488">
        <f>Table1_2[SL Xuất] - Table1_2[SL Xuất KM]</f>
        <v>2</v>
      </c>
    </row>
    <row r="489" spans="1:17" x14ac:dyDescent="0.25">
      <c r="A489">
        <v>488</v>
      </c>
      <c r="B489" t="s">
        <v>391</v>
      </c>
      <c r="C489" t="s">
        <v>392</v>
      </c>
      <c r="D489" t="s">
        <v>339</v>
      </c>
      <c r="E489">
        <v>27720</v>
      </c>
      <c r="F489">
        <v>0</v>
      </c>
      <c r="G489">
        <v>1</v>
      </c>
      <c r="H489">
        <v>32000</v>
      </c>
      <c r="I489">
        <v>4280</v>
      </c>
      <c r="J489" s="1">
        <v>45227</v>
      </c>
      <c r="K489" t="s">
        <v>286</v>
      </c>
      <c r="L489">
        <v>10</v>
      </c>
      <c r="M489">
        <v>2023</v>
      </c>
      <c r="N489">
        <f t="shared" si="7"/>
        <v>-23440</v>
      </c>
      <c r="O489" s="19">
        <f>IF(Table1_2[Tiền Nhập]&lt;&gt;0, Table1_2[Lợi Nhuận Gộp]/Table1_2[Tiền Nhập], 0)</f>
        <v>-0.84559884559884557</v>
      </c>
      <c r="P489">
        <f>IF(Table1_2[SL Xuất]&gt;0, Table1_2[Tiền Xuất]/Table1_2[SL Xuất], 0)</f>
        <v>32000</v>
      </c>
      <c r="Q489">
        <f>Table1_2[SL Xuất] - Table1_2[SL Xuất KM]</f>
        <v>1</v>
      </c>
    </row>
    <row r="490" spans="1:17" x14ac:dyDescent="0.25">
      <c r="A490">
        <v>489</v>
      </c>
      <c r="B490" t="s">
        <v>393</v>
      </c>
      <c r="C490" t="s">
        <v>394</v>
      </c>
      <c r="D490" t="s">
        <v>339</v>
      </c>
      <c r="E490">
        <v>27720</v>
      </c>
      <c r="F490">
        <v>0</v>
      </c>
      <c r="G490">
        <v>1</v>
      </c>
      <c r="H490">
        <v>32000</v>
      </c>
      <c r="I490">
        <v>4280</v>
      </c>
      <c r="J490" s="1">
        <v>45227</v>
      </c>
      <c r="K490" t="s">
        <v>286</v>
      </c>
      <c r="L490">
        <v>10</v>
      </c>
      <c r="M490">
        <v>2023</v>
      </c>
      <c r="N490">
        <f t="shared" si="7"/>
        <v>-23440</v>
      </c>
      <c r="O490" s="19">
        <f>IF(Table1_2[Tiền Nhập]&lt;&gt;0, Table1_2[Lợi Nhuận Gộp]/Table1_2[Tiền Nhập], 0)</f>
        <v>-0.84559884559884557</v>
      </c>
      <c r="P490">
        <f>IF(Table1_2[SL Xuất]&gt;0, Table1_2[Tiền Xuất]/Table1_2[SL Xuất], 0)</f>
        <v>32000</v>
      </c>
      <c r="Q490">
        <f>Table1_2[SL Xuất] - Table1_2[SL Xuất KM]</f>
        <v>1</v>
      </c>
    </row>
    <row r="491" spans="1:17" x14ac:dyDescent="0.25">
      <c r="A491">
        <v>490</v>
      </c>
      <c r="B491" t="s">
        <v>281</v>
      </c>
      <c r="C491" t="s">
        <v>282</v>
      </c>
      <c r="D491" t="s">
        <v>85</v>
      </c>
      <c r="E491">
        <v>75000</v>
      </c>
      <c r="F491">
        <v>0</v>
      </c>
      <c r="G491">
        <v>2</v>
      </c>
      <c r="H491">
        <v>82000</v>
      </c>
      <c r="I491">
        <v>7000</v>
      </c>
      <c r="J491" s="1">
        <v>45227</v>
      </c>
      <c r="K491" t="s">
        <v>286</v>
      </c>
      <c r="L491">
        <v>10</v>
      </c>
      <c r="M491">
        <v>2023</v>
      </c>
      <c r="N491">
        <f t="shared" si="7"/>
        <v>-68000</v>
      </c>
      <c r="O491" s="19">
        <f>IF(Table1_2[Tiền Nhập]&lt;&gt;0, Table1_2[Lợi Nhuận Gộp]/Table1_2[Tiền Nhập], 0)</f>
        <v>-0.90666666666666662</v>
      </c>
      <c r="P491">
        <f>IF(Table1_2[SL Xuất]&gt;0, Table1_2[Tiền Xuất]/Table1_2[SL Xuất], 0)</f>
        <v>41000</v>
      </c>
      <c r="Q491">
        <f>Table1_2[SL Xuất] - Table1_2[SL Xuất KM]</f>
        <v>2</v>
      </c>
    </row>
    <row r="492" spans="1:17" x14ac:dyDescent="0.25">
      <c r="A492">
        <v>491</v>
      </c>
      <c r="B492" t="s">
        <v>287</v>
      </c>
      <c r="C492" t="s">
        <v>288</v>
      </c>
      <c r="D492" t="s">
        <v>88</v>
      </c>
      <c r="E492">
        <v>58000</v>
      </c>
      <c r="F492">
        <v>0</v>
      </c>
      <c r="G492">
        <v>4</v>
      </c>
      <c r="H492">
        <v>56000</v>
      </c>
      <c r="I492">
        <v>-2000</v>
      </c>
      <c r="J492" s="1">
        <v>45227</v>
      </c>
      <c r="K492" t="s">
        <v>286</v>
      </c>
      <c r="L492">
        <v>10</v>
      </c>
      <c r="M492">
        <v>2023</v>
      </c>
      <c r="N492">
        <f t="shared" si="7"/>
        <v>-60000</v>
      </c>
      <c r="O492" s="19">
        <f>IF(Table1_2[Tiền Nhập]&lt;&gt;0, Table1_2[Lợi Nhuận Gộp]/Table1_2[Tiền Nhập], 0)</f>
        <v>-1.0344827586206897</v>
      </c>
      <c r="P492">
        <f>IF(Table1_2[SL Xuất]&gt;0, Table1_2[Tiền Xuất]/Table1_2[SL Xuất], 0)</f>
        <v>14000</v>
      </c>
      <c r="Q492">
        <f>Table1_2[SL Xuất] - Table1_2[SL Xuất KM]</f>
        <v>4</v>
      </c>
    </row>
    <row r="493" spans="1:17" x14ac:dyDescent="0.25">
      <c r="A493">
        <v>492</v>
      </c>
      <c r="B493" t="s">
        <v>297</v>
      </c>
      <c r="C493" t="s">
        <v>298</v>
      </c>
      <c r="D493" t="s">
        <v>88</v>
      </c>
      <c r="E493">
        <v>87000</v>
      </c>
      <c r="F493">
        <v>0</v>
      </c>
      <c r="G493">
        <v>6</v>
      </c>
      <c r="H493">
        <v>84000</v>
      </c>
      <c r="I493">
        <v>-3000</v>
      </c>
      <c r="J493" s="1">
        <v>45227</v>
      </c>
      <c r="K493" t="s">
        <v>286</v>
      </c>
      <c r="L493">
        <v>10</v>
      </c>
      <c r="M493">
        <v>2023</v>
      </c>
      <c r="N493">
        <f t="shared" si="7"/>
        <v>-90000</v>
      </c>
      <c r="O493" s="19">
        <f>IF(Table1_2[Tiền Nhập]&lt;&gt;0, Table1_2[Lợi Nhuận Gộp]/Table1_2[Tiền Nhập], 0)</f>
        <v>-1.0344827586206897</v>
      </c>
      <c r="P493">
        <f>IF(Table1_2[SL Xuất]&gt;0, Table1_2[Tiền Xuất]/Table1_2[SL Xuất], 0)</f>
        <v>14000</v>
      </c>
      <c r="Q493">
        <f>Table1_2[SL Xuất] - Table1_2[SL Xuất KM]</f>
        <v>6</v>
      </c>
    </row>
    <row r="494" spans="1:17" x14ac:dyDescent="0.25">
      <c r="A494">
        <v>493</v>
      </c>
      <c r="B494" t="s">
        <v>416</v>
      </c>
      <c r="C494" t="s">
        <v>417</v>
      </c>
      <c r="D494" t="s">
        <v>45</v>
      </c>
      <c r="E494">
        <v>180000</v>
      </c>
      <c r="F494">
        <v>0</v>
      </c>
      <c r="G494">
        <v>10</v>
      </c>
      <c r="H494">
        <v>230000</v>
      </c>
      <c r="I494">
        <v>50000</v>
      </c>
      <c r="J494" s="1">
        <v>45227</v>
      </c>
      <c r="K494" t="s">
        <v>1084</v>
      </c>
      <c r="L494">
        <v>10</v>
      </c>
      <c r="M494">
        <v>2023</v>
      </c>
      <c r="N494">
        <f t="shared" si="7"/>
        <v>-130000</v>
      </c>
      <c r="O494" s="19">
        <f>IF(Table1_2[Tiền Nhập]&lt;&gt;0, Table1_2[Lợi Nhuận Gộp]/Table1_2[Tiền Nhập], 0)</f>
        <v>-0.72222222222222221</v>
      </c>
      <c r="P494">
        <f>IF(Table1_2[SL Xuất]&gt;0, Table1_2[Tiền Xuất]/Table1_2[SL Xuất], 0)</f>
        <v>23000</v>
      </c>
      <c r="Q494">
        <f>Table1_2[SL Xuất] - Table1_2[SL Xuất KM]</f>
        <v>10</v>
      </c>
    </row>
    <row r="495" spans="1:17" x14ac:dyDescent="0.25">
      <c r="A495">
        <v>494</v>
      </c>
      <c r="B495" t="s">
        <v>429</v>
      </c>
      <c r="C495" t="s">
        <v>430</v>
      </c>
      <c r="D495" t="s">
        <v>88</v>
      </c>
      <c r="E495">
        <v>600000</v>
      </c>
      <c r="F495">
        <v>0</v>
      </c>
      <c r="G495">
        <v>6</v>
      </c>
      <c r="H495">
        <v>1308000</v>
      </c>
      <c r="I495">
        <v>708000</v>
      </c>
      <c r="J495" s="1">
        <v>45227</v>
      </c>
      <c r="K495" t="s">
        <v>1084</v>
      </c>
      <c r="L495">
        <v>10</v>
      </c>
      <c r="M495">
        <v>2023</v>
      </c>
      <c r="N495">
        <f t="shared" si="7"/>
        <v>108000</v>
      </c>
      <c r="O495" s="19">
        <f>IF(Table1_2[Tiền Nhập]&lt;&gt;0, Table1_2[Lợi Nhuận Gộp]/Table1_2[Tiền Nhập], 0)</f>
        <v>0.18</v>
      </c>
      <c r="P495">
        <f>IF(Table1_2[SL Xuất]&gt;0, Table1_2[Tiền Xuất]/Table1_2[SL Xuất], 0)</f>
        <v>218000</v>
      </c>
      <c r="Q495">
        <f>Table1_2[SL Xuất] - Table1_2[SL Xuất KM]</f>
        <v>6</v>
      </c>
    </row>
    <row r="496" spans="1:17" x14ac:dyDescent="0.25">
      <c r="A496">
        <v>495</v>
      </c>
      <c r="B496" t="s">
        <v>259</v>
      </c>
      <c r="C496" t="s">
        <v>260</v>
      </c>
      <c r="D496" t="s">
        <v>88</v>
      </c>
      <c r="E496">
        <v>300000</v>
      </c>
      <c r="F496">
        <v>3</v>
      </c>
      <c r="G496">
        <v>3</v>
      </c>
      <c r="H496">
        <v>327000</v>
      </c>
      <c r="I496">
        <v>27000</v>
      </c>
      <c r="J496" s="1">
        <v>45227</v>
      </c>
      <c r="K496" t="s">
        <v>1084</v>
      </c>
      <c r="L496">
        <v>10</v>
      </c>
      <c r="M496">
        <v>2023</v>
      </c>
      <c r="N496">
        <f t="shared" si="7"/>
        <v>-273000</v>
      </c>
      <c r="O496" s="19">
        <f>IF(Table1_2[Tiền Nhập]&lt;&gt;0, Table1_2[Lợi Nhuận Gộp]/Table1_2[Tiền Nhập], 0)</f>
        <v>-0.91</v>
      </c>
      <c r="P496">
        <f>IF(Table1_2[SL Xuất]&gt;0, Table1_2[Tiền Xuất]/Table1_2[SL Xuất], 0)</f>
        <v>109000</v>
      </c>
      <c r="Q496">
        <f>Table1_2[SL Xuất] - Table1_2[SL Xuất KM]</f>
        <v>0</v>
      </c>
    </row>
    <row r="497" spans="1:17" x14ac:dyDescent="0.25">
      <c r="A497">
        <v>496</v>
      </c>
      <c r="B497" t="s">
        <v>261</v>
      </c>
      <c r="C497" t="s">
        <v>262</v>
      </c>
      <c r="D497" t="s">
        <v>88</v>
      </c>
      <c r="E497">
        <v>0</v>
      </c>
      <c r="F497">
        <v>6</v>
      </c>
      <c r="G497">
        <v>0</v>
      </c>
      <c r="H497">
        <v>-654000</v>
      </c>
      <c r="I497">
        <v>-654000</v>
      </c>
      <c r="J497" s="1">
        <v>45227</v>
      </c>
      <c r="K497" t="s">
        <v>1084</v>
      </c>
      <c r="L497">
        <v>10</v>
      </c>
      <c r="M497">
        <v>2023</v>
      </c>
      <c r="N497">
        <f t="shared" si="7"/>
        <v>-654000</v>
      </c>
      <c r="O497" s="19">
        <f>IF(Table1_2[Tiền Nhập]&lt;&gt;0, Table1_2[Lợi Nhuận Gộp]/Table1_2[Tiền Nhập], 0)</f>
        <v>0</v>
      </c>
      <c r="P497">
        <f>IF(Table1_2[SL Xuất]&gt;0, Table1_2[Tiền Xuất]/Table1_2[SL Xuất], 0)</f>
        <v>0</v>
      </c>
      <c r="Q497">
        <f>Table1_2[SL Xuất] - Table1_2[SL Xuất KM]</f>
        <v>-6</v>
      </c>
    </row>
    <row r="498" spans="1:17" x14ac:dyDescent="0.25">
      <c r="A498">
        <v>497</v>
      </c>
      <c r="B498" t="s">
        <v>479</v>
      </c>
      <c r="C498" t="s">
        <v>480</v>
      </c>
      <c r="D498" t="s">
        <v>45</v>
      </c>
      <c r="E498">
        <v>300000</v>
      </c>
      <c r="F498">
        <v>0</v>
      </c>
      <c r="G498">
        <v>12</v>
      </c>
      <c r="H498">
        <v>444000</v>
      </c>
      <c r="I498">
        <v>144000</v>
      </c>
      <c r="J498" s="1">
        <v>45227</v>
      </c>
      <c r="K498" t="s">
        <v>1085</v>
      </c>
      <c r="L498">
        <v>10</v>
      </c>
      <c r="M498">
        <v>2023</v>
      </c>
      <c r="N498">
        <f t="shared" si="7"/>
        <v>-156000</v>
      </c>
      <c r="O498" s="19">
        <f>IF(Table1_2[Tiền Nhập]&lt;&gt;0, Table1_2[Lợi Nhuận Gộp]/Table1_2[Tiền Nhập], 0)</f>
        <v>-0.52</v>
      </c>
      <c r="P498">
        <f>IF(Table1_2[SL Xuất]&gt;0, Table1_2[Tiền Xuất]/Table1_2[SL Xuất], 0)</f>
        <v>37000</v>
      </c>
      <c r="Q498">
        <f>Table1_2[SL Xuất] - Table1_2[SL Xuất KM]</f>
        <v>12</v>
      </c>
    </row>
    <row r="499" spans="1:17" x14ac:dyDescent="0.25">
      <c r="A499">
        <v>498</v>
      </c>
      <c r="B499" t="s">
        <v>421</v>
      </c>
      <c r="C499" t="s">
        <v>422</v>
      </c>
      <c r="D499" t="s">
        <v>45</v>
      </c>
      <c r="E499">
        <v>0</v>
      </c>
      <c r="F499">
        <v>2</v>
      </c>
      <c r="G499">
        <v>0</v>
      </c>
      <c r="H499">
        <v>-63000</v>
      </c>
      <c r="I499">
        <v>-63000</v>
      </c>
      <c r="J499" s="1">
        <v>45227</v>
      </c>
      <c r="K499" t="s">
        <v>1085</v>
      </c>
      <c r="L499">
        <v>10</v>
      </c>
      <c r="M499">
        <v>2023</v>
      </c>
      <c r="N499">
        <f t="shared" si="7"/>
        <v>-63000</v>
      </c>
      <c r="O499" s="19">
        <f>IF(Table1_2[Tiền Nhập]&lt;&gt;0, Table1_2[Lợi Nhuận Gộp]/Table1_2[Tiền Nhập], 0)</f>
        <v>0</v>
      </c>
      <c r="P499">
        <f>IF(Table1_2[SL Xuất]&gt;0, Table1_2[Tiền Xuất]/Table1_2[SL Xuất], 0)</f>
        <v>0</v>
      </c>
      <c r="Q499">
        <f>Table1_2[SL Xuất] - Table1_2[SL Xuất KM]</f>
        <v>-2</v>
      </c>
    </row>
    <row r="500" spans="1:17" x14ac:dyDescent="0.25">
      <c r="A500">
        <v>499</v>
      </c>
      <c r="B500" t="s">
        <v>421</v>
      </c>
      <c r="C500" t="s">
        <v>422</v>
      </c>
      <c r="D500" t="s">
        <v>45</v>
      </c>
      <c r="E500">
        <v>66429</v>
      </c>
      <c r="F500">
        <v>0</v>
      </c>
      <c r="G500">
        <v>3</v>
      </c>
      <c r="H500">
        <v>90000</v>
      </c>
      <c r="I500">
        <v>23571</v>
      </c>
      <c r="J500" s="1">
        <v>45227</v>
      </c>
      <c r="K500" t="s">
        <v>1088</v>
      </c>
      <c r="L500">
        <v>10</v>
      </c>
      <c r="M500">
        <v>2023</v>
      </c>
      <c r="N500">
        <f t="shared" si="7"/>
        <v>-42858</v>
      </c>
      <c r="O500" s="19">
        <f>IF(Table1_2[Tiền Nhập]&lt;&gt;0, Table1_2[Lợi Nhuận Gộp]/Table1_2[Tiền Nhập], 0)</f>
        <v>-0.64517003116108929</v>
      </c>
      <c r="P500">
        <f>IF(Table1_2[SL Xuất]&gt;0, Table1_2[Tiền Xuất]/Table1_2[SL Xuất], 0)</f>
        <v>30000</v>
      </c>
      <c r="Q500">
        <f>Table1_2[SL Xuất] - Table1_2[SL Xuất KM]</f>
        <v>3</v>
      </c>
    </row>
    <row r="501" spans="1:17" x14ac:dyDescent="0.25">
      <c r="A501">
        <v>500</v>
      </c>
      <c r="B501" t="s">
        <v>111</v>
      </c>
      <c r="C501" t="s">
        <v>112</v>
      </c>
      <c r="D501" t="s">
        <v>13</v>
      </c>
      <c r="E501">
        <v>38500</v>
      </c>
      <c r="F501">
        <v>0</v>
      </c>
      <c r="G501">
        <v>5</v>
      </c>
      <c r="H501">
        <v>50000</v>
      </c>
      <c r="I501">
        <v>11500</v>
      </c>
      <c r="J501" s="1">
        <v>45227</v>
      </c>
      <c r="K501" t="s">
        <v>1088</v>
      </c>
      <c r="L501">
        <v>10</v>
      </c>
      <c r="M501">
        <v>2023</v>
      </c>
      <c r="N501">
        <f t="shared" si="7"/>
        <v>-27000</v>
      </c>
      <c r="O501" s="19">
        <f>IF(Table1_2[Tiền Nhập]&lt;&gt;0, Table1_2[Lợi Nhuận Gộp]/Table1_2[Tiền Nhập], 0)</f>
        <v>-0.70129870129870131</v>
      </c>
      <c r="P501">
        <f>IF(Table1_2[SL Xuất]&gt;0, Table1_2[Tiền Xuất]/Table1_2[SL Xuất], 0)</f>
        <v>10000</v>
      </c>
      <c r="Q501">
        <f>Table1_2[SL Xuất] - Table1_2[SL Xuất KM]</f>
        <v>5</v>
      </c>
    </row>
    <row r="502" spans="1:17" x14ac:dyDescent="0.25">
      <c r="A502">
        <v>501</v>
      </c>
      <c r="B502" t="s">
        <v>636</v>
      </c>
      <c r="C502" t="s">
        <v>637</v>
      </c>
      <c r="D502" t="s">
        <v>13</v>
      </c>
      <c r="E502">
        <v>55000</v>
      </c>
      <c r="F502">
        <v>0</v>
      </c>
      <c r="G502">
        <v>10</v>
      </c>
      <c r="H502">
        <v>60000</v>
      </c>
      <c r="I502">
        <v>5000</v>
      </c>
      <c r="J502" s="1">
        <v>45227</v>
      </c>
      <c r="K502" t="s">
        <v>1088</v>
      </c>
      <c r="L502">
        <v>10</v>
      </c>
      <c r="M502">
        <v>2023</v>
      </c>
      <c r="N502">
        <f t="shared" si="7"/>
        <v>-50000</v>
      </c>
      <c r="O502" s="19">
        <f>IF(Table1_2[Tiền Nhập]&lt;&gt;0, Table1_2[Lợi Nhuận Gộp]/Table1_2[Tiền Nhập], 0)</f>
        <v>-0.90909090909090906</v>
      </c>
      <c r="P502">
        <f>IF(Table1_2[SL Xuất]&gt;0, Table1_2[Tiền Xuất]/Table1_2[SL Xuất], 0)</f>
        <v>6000</v>
      </c>
      <c r="Q502">
        <f>Table1_2[SL Xuất] - Table1_2[SL Xuất KM]</f>
        <v>10</v>
      </c>
    </row>
    <row r="503" spans="1:17" x14ac:dyDescent="0.25">
      <c r="A503">
        <v>502</v>
      </c>
      <c r="B503" t="s">
        <v>273</v>
      </c>
      <c r="C503" t="s">
        <v>274</v>
      </c>
      <c r="D503" t="s">
        <v>13</v>
      </c>
      <c r="E503">
        <v>67500</v>
      </c>
      <c r="F503">
        <v>0</v>
      </c>
      <c r="G503">
        <v>10</v>
      </c>
      <c r="H503">
        <v>75000</v>
      </c>
      <c r="I503">
        <v>7500</v>
      </c>
      <c r="J503" s="1">
        <v>45227</v>
      </c>
      <c r="K503" t="s">
        <v>1088</v>
      </c>
      <c r="L503">
        <v>10</v>
      </c>
      <c r="M503">
        <v>2023</v>
      </c>
      <c r="N503">
        <f t="shared" si="7"/>
        <v>-60000</v>
      </c>
      <c r="O503" s="19">
        <f>IF(Table1_2[Tiền Nhập]&lt;&gt;0, Table1_2[Lợi Nhuận Gộp]/Table1_2[Tiền Nhập], 0)</f>
        <v>-0.88888888888888884</v>
      </c>
      <c r="P503">
        <f>IF(Table1_2[SL Xuất]&gt;0, Table1_2[Tiền Xuất]/Table1_2[SL Xuất], 0)</f>
        <v>7500</v>
      </c>
      <c r="Q503">
        <f>Table1_2[SL Xuất] - Table1_2[SL Xuất KM]</f>
        <v>10</v>
      </c>
    </row>
    <row r="504" spans="1:17" x14ac:dyDescent="0.25">
      <c r="A504">
        <v>503</v>
      </c>
      <c r="B504" t="s">
        <v>540</v>
      </c>
      <c r="C504" t="s">
        <v>541</v>
      </c>
      <c r="D504" t="s">
        <v>339</v>
      </c>
      <c r="E504">
        <v>0</v>
      </c>
      <c r="F504">
        <v>0</v>
      </c>
      <c r="G504">
        <v>0</v>
      </c>
      <c r="H504">
        <v>0</v>
      </c>
      <c r="I504">
        <v>0</v>
      </c>
      <c r="J504" s="1">
        <v>45231</v>
      </c>
      <c r="K504" t="s">
        <v>166</v>
      </c>
      <c r="L504">
        <v>11</v>
      </c>
      <c r="M504">
        <v>2023</v>
      </c>
      <c r="N504">
        <f t="shared" si="7"/>
        <v>0</v>
      </c>
      <c r="O504" s="19">
        <f>IF(Table1_2[Tiền Nhập]&lt;&gt;0, Table1_2[Lợi Nhuận Gộp]/Table1_2[Tiền Nhập], 0)</f>
        <v>0</v>
      </c>
      <c r="P504">
        <f>IF(Table1_2[SL Xuất]&gt;0, Table1_2[Tiền Xuất]/Table1_2[SL Xuất], 0)</f>
        <v>0</v>
      </c>
      <c r="Q504">
        <f>Table1_2[SL Xuất] - Table1_2[SL Xuất KM]</f>
        <v>0</v>
      </c>
    </row>
    <row r="505" spans="1:17" x14ac:dyDescent="0.25">
      <c r="A505">
        <v>504</v>
      </c>
      <c r="B505" t="s">
        <v>1091</v>
      </c>
      <c r="C505" t="s">
        <v>1092</v>
      </c>
      <c r="D505" t="s">
        <v>45</v>
      </c>
      <c r="E505">
        <v>80000</v>
      </c>
      <c r="F505">
        <v>4</v>
      </c>
      <c r="G505">
        <v>20</v>
      </c>
      <c r="H505">
        <v>217000</v>
      </c>
      <c r="I505">
        <v>137000</v>
      </c>
      <c r="J505" s="1">
        <v>45232</v>
      </c>
      <c r="K505" t="s">
        <v>733</v>
      </c>
      <c r="L505">
        <v>11</v>
      </c>
      <c r="M505">
        <v>2023</v>
      </c>
      <c r="N505">
        <f t="shared" si="7"/>
        <v>57000</v>
      </c>
      <c r="O505" s="19">
        <f>IF(Table1_2[Tiền Nhập]&lt;&gt;0, Table1_2[Lợi Nhuận Gộp]/Table1_2[Tiền Nhập], 0)</f>
        <v>0.71250000000000002</v>
      </c>
      <c r="P505">
        <f>IF(Table1_2[SL Xuất]&gt;0, Table1_2[Tiền Xuất]/Table1_2[SL Xuất], 0)</f>
        <v>10850</v>
      </c>
      <c r="Q505">
        <f>Table1_2[SL Xuất] - Table1_2[SL Xuất KM]</f>
        <v>16</v>
      </c>
    </row>
    <row r="506" spans="1:17" x14ac:dyDescent="0.25">
      <c r="A506">
        <v>505</v>
      </c>
      <c r="B506" t="s">
        <v>1096</v>
      </c>
      <c r="C506" t="s">
        <v>1097</v>
      </c>
      <c r="D506" t="s">
        <v>45</v>
      </c>
      <c r="E506">
        <v>75000</v>
      </c>
      <c r="F506">
        <v>4</v>
      </c>
      <c r="G506">
        <v>20</v>
      </c>
      <c r="H506">
        <v>217000</v>
      </c>
      <c r="I506">
        <v>142000</v>
      </c>
      <c r="J506" s="1">
        <v>45232</v>
      </c>
      <c r="K506" t="s">
        <v>733</v>
      </c>
      <c r="L506">
        <v>11</v>
      </c>
      <c r="M506">
        <v>2023</v>
      </c>
      <c r="N506">
        <f t="shared" si="7"/>
        <v>67000</v>
      </c>
      <c r="O506" s="19">
        <f>IF(Table1_2[Tiền Nhập]&lt;&gt;0, Table1_2[Lợi Nhuận Gộp]/Table1_2[Tiền Nhập], 0)</f>
        <v>0.89333333333333331</v>
      </c>
      <c r="P506">
        <f>IF(Table1_2[SL Xuất]&gt;0, Table1_2[Tiền Xuất]/Table1_2[SL Xuất], 0)</f>
        <v>10850</v>
      </c>
      <c r="Q506">
        <f>Table1_2[SL Xuất] - Table1_2[SL Xuất KM]</f>
        <v>16</v>
      </c>
    </row>
    <row r="507" spans="1:17" x14ac:dyDescent="0.25">
      <c r="A507">
        <v>506</v>
      </c>
      <c r="B507" t="s">
        <v>1099</v>
      </c>
      <c r="C507" t="s">
        <v>1100</v>
      </c>
      <c r="D507" t="s">
        <v>468</v>
      </c>
      <c r="E507">
        <v>36000</v>
      </c>
      <c r="F507">
        <v>1</v>
      </c>
      <c r="G507">
        <v>9</v>
      </c>
      <c r="H507">
        <v>121500</v>
      </c>
      <c r="I507">
        <v>85500</v>
      </c>
      <c r="J507" s="1">
        <v>45232</v>
      </c>
      <c r="K507" t="s">
        <v>733</v>
      </c>
      <c r="L507">
        <v>11</v>
      </c>
      <c r="M507">
        <v>2023</v>
      </c>
      <c r="N507">
        <f t="shared" si="7"/>
        <v>49500</v>
      </c>
      <c r="O507" s="19">
        <f>IF(Table1_2[Tiền Nhập]&lt;&gt;0, Table1_2[Lợi Nhuận Gộp]/Table1_2[Tiền Nhập], 0)</f>
        <v>1.375</v>
      </c>
      <c r="P507">
        <f>IF(Table1_2[SL Xuất]&gt;0, Table1_2[Tiền Xuất]/Table1_2[SL Xuất], 0)</f>
        <v>13500</v>
      </c>
      <c r="Q507">
        <f>Table1_2[SL Xuất] - Table1_2[SL Xuất KM]</f>
        <v>8</v>
      </c>
    </row>
    <row r="508" spans="1:17" x14ac:dyDescent="0.25">
      <c r="A508">
        <v>507</v>
      </c>
      <c r="B508" t="s">
        <v>1103</v>
      </c>
      <c r="C508" t="s">
        <v>1104</v>
      </c>
      <c r="D508" t="s">
        <v>45</v>
      </c>
      <c r="E508">
        <v>1008000</v>
      </c>
      <c r="F508">
        <v>4</v>
      </c>
      <c r="G508">
        <v>24</v>
      </c>
      <c r="H508">
        <v>762000</v>
      </c>
      <c r="I508">
        <v>-246000</v>
      </c>
      <c r="J508" s="1">
        <v>45232</v>
      </c>
      <c r="K508" t="s">
        <v>733</v>
      </c>
      <c r="L508">
        <v>11</v>
      </c>
      <c r="M508">
        <v>2023</v>
      </c>
      <c r="N508">
        <f t="shared" si="7"/>
        <v>-1254000</v>
      </c>
      <c r="O508" s="19">
        <f>IF(Table1_2[Tiền Nhập]&lt;&gt;0, Table1_2[Lợi Nhuận Gộp]/Table1_2[Tiền Nhập], 0)</f>
        <v>-1.2440476190476191</v>
      </c>
      <c r="P508">
        <f>IF(Table1_2[SL Xuất]&gt;0, Table1_2[Tiền Xuất]/Table1_2[SL Xuất], 0)</f>
        <v>31750</v>
      </c>
      <c r="Q508">
        <f>Table1_2[SL Xuất] - Table1_2[SL Xuất KM]</f>
        <v>20</v>
      </c>
    </row>
    <row r="509" spans="1:17" x14ac:dyDescent="0.25">
      <c r="A509">
        <v>508</v>
      </c>
      <c r="B509" t="s">
        <v>1107</v>
      </c>
      <c r="C509" t="s">
        <v>1108</v>
      </c>
      <c r="D509" t="s">
        <v>45</v>
      </c>
      <c r="E509">
        <v>93336</v>
      </c>
      <c r="F509">
        <v>0</v>
      </c>
      <c r="G509">
        <v>8</v>
      </c>
      <c r="H509">
        <v>120000</v>
      </c>
      <c r="I509">
        <v>26664</v>
      </c>
      <c r="J509" s="1">
        <v>45232</v>
      </c>
      <c r="K509" t="s">
        <v>733</v>
      </c>
      <c r="L509">
        <v>11</v>
      </c>
      <c r="M509">
        <v>2023</v>
      </c>
      <c r="N509">
        <f t="shared" si="7"/>
        <v>-66672</v>
      </c>
      <c r="O509" s="19">
        <f>IF(Table1_2[Tiền Nhập]&lt;&gt;0, Table1_2[Lợi Nhuận Gộp]/Table1_2[Tiền Nhập], 0)</f>
        <v>-0.71432244793005917</v>
      </c>
      <c r="P509">
        <f>IF(Table1_2[SL Xuất]&gt;0, Table1_2[Tiền Xuất]/Table1_2[SL Xuất], 0)</f>
        <v>15000</v>
      </c>
      <c r="Q509">
        <f>Table1_2[SL Xuất] - Table1_2[SL Xuất KM]</f>
        <v>8</v>
      </c>
    </row>
    <row r="510" spans="1:17" x14ac:dyDescent="0.25">
      <c r="A510">
        <v>509</v>
      </c>
      <c r="B510" t="s">
        <v>1111</v>
      </c>
      <c r="C510" t="s">
        <v>1112</v>
      </c>
      <c r="D510" t="s">
        <v>45</v>
      </c>
      <c r="E510">
        <v>93336</v>
      </c>
      <c r="F510">
        <v>0</v>
      </c>
      <c r="G510">
        <v>8</v>
      </c>
      <c r="H510">
        <v>120000</v>
      </c>
      <c r="I510">
        <v>26664</v>
      </c>
      <c r="J510" s="1">
        <v>45232</v>
      </c>
      <c r="K510" t="s">
        <v>733</v>
      </c>
      <c r="L510">
        <v>11</v>
      </c>
      <c r="M510">
        <v>2023</v>
      </c>
      <c r="N510">
        <f t="shared" si="7"/>
        <v>-66672</v>
      </c>
      <c r="O510" s="19">
        <f>IF(Table1_2[Tiền Nhập]&lt;&gt;0, Table1_2[Lợi Nhuận Gộp]/Table1_2[Tiền Nhập], 0)</f>
        <v>-0.71432244793005917</v>
      </c>
      <c r="P510">
        <f>IF(Table1_2[SL Xuất]&gt;0, Table1_2[Tiền Xuất]/Table1_2[SL Xuất], 0)</f>
        <v>15000</v>
      </c>
      <c r="Q510">
        <f>Table1_2[SL Xuất] - Table1_2[SL Xuất KM]</f>
        <v>8</v>
      </c>
    </row>
    <row r="511" spans="1:17" x14ac:dyDescent="0.25">
      <c r="A511">
        <v>510</v>
      </c>
      <c r="B511" t="s">
        <v>1113</v>
      </c>
      <c r="C511" t="s">
        <v>1114</v>
      </c>
      <c r="D511" t="s">
        <v>45</v>
      </c>
      <c r="E511">
        <v>93336</v>
      </c>
      <c r="F511">
        <v>4</v>
      </c>
      <c r="G511">
        <v>8</v>
      </c>
      <c r="H511">
        <v>69000</v>
      </c>
      <c r="I511">
        <v>-24336</v>
      </c>
      <c r="J511" s="1">
        <v>45232</v>
      </c>
      <c r="K511" t="s">
        <v>733</v>
      </c>
      <c r="L511">
        <v>11</v>
      </c>
      <c r="M511">
        <v>2023</v>
      </c>
      <c r="N511">
        <f t="shared" si="7"/>
        <v>-117672</v>
      </c>
      <c r="O511" s="19">
        <f>IF(Table1_2[Tiền Nhập]&lt;&gt;0, Table1_2[Lợi Nhuận Gộp]/Table1_2[Tiền Nhập], 0)</f>
        <v>-1.2607354075597841</v>
      </c>
      <c r="P511">
        <f>IF(Table1_2[SL Xuất]&gt;0, Table1_2[Tiền Xuất]/Table1_2[SL Xuất], 0)</f>
        <v>8625</v>
      </c>
      <c r="Q511">
        <f>Table1_2[SL Xuất] - Table1_2[SL Xuất KM]</f>
        <v>4</v>
      </c>
    </row>
    <row r="512" spans="1:17" x14ac:dyDescent="0.25">
      <c r="A512">
        <v>511</v>
      </c>
      <c r="B512" t="s">
        <v>51</v>
      </c>
      <c r="C512" t="s">
        <v>52</v>
      </c>
      <c r="D512" t="s">
        <v>45</v>
      </c>
      <c r="E512">
        <v>93600</v>
      </c>
      <c r="F512">
        <v>0</v>
      </c>
      <c r="G512">
        <v>12</v>
      </c>
      <c r="H512">
        <v>150000</v>
      </c>
      <c r="I512">
        <v>56400</v>
      </c>
      <c r="J512" s="1">
        <v>45232</v>
      </c>
      <c r="K512" t="s">
        <v>733</v>
      </c>
      <c r="L512">
        <v>11</v>
      </c>
      <c r="M512">
        <v>2023</v>
      </c>
      <c r="N512">
        <f t="shared" si="7"/>
        <v>-37200</v>
      </c>
      <c r="O512" s="19">
        <f>IF(Table1_2[Tiền Nhập]&lt;&gt;0, Table1_2[Lợi Nhuận Gộp]/Table1_2[Tiền Nhập], 0)</f>
        <v>-0.39743589743589741</v>
      </c>
      <c r="P512">
        <f>IF(Table1_2[SL Xuất]&gt;0, Table1_2[Tiền Xuất]/Table1_2[SL Xuất], 0)</f>
        <v>12500</v>
      </c>
      <c r="Q512">
        <f>Table1_2[SL Xuất] - Table1_2[SL Xuất KM]</f>
        <v>12</v>
      </c>
    </row>
    <row r="513" spans="1:17" x14ac:dyDescent="0.25">
      <c r="A513">
        <v>512</v>
      </c>
      <c r="B513" t="s">
        <v>516</v>
      </c>
      <c r="C513" t="s">
        <v>517</v>
      </c>
      <c r="D513" t="s">
        <v>518</v>
      </c>
      <c r="E513">
        <v>0</v>
      </c>
      <c r="F513">
        <v>0</v>
      </c>
      <c r="G513">
        <v>0</v>
      </c>
      <c r="H513">
        <v>-1053000</v>
      </c>
      <c r="I513">
        <v>-1053000</v>
      </c>
      <c r="J513" s="1">
        <v>45232</v>
      </c>
      <c r="K513" t="s">
        <v>733</v>
      </c>
      <c r="L513">
        <v>11</v>
      </c>
      <c r="M513">
        <v>2023</v>
      </c>
      <c r="N513">
        <f t="shared" si="7"/>
        <v>-1053000</v>
      </c>
      <c r="O513" s="19">
        <f>IF(Table1_2[Tiền Nhập]&lt;&gt;0, Table1_2[Lợi Nhuận Gộp]/Table1_2[Tiền Nhập], 0)</f>
        <v>0</v>
      </c>
      <c r="P513">
        <f>IF(Table1_2[SL Xuất]&gt;0, Table1_2[Tiền Xuất]/Table1_2[SL Xuất], 0)</f>
        <v>0</v>
      </c>
      <c r="Q513">
        <f>Table1_2[SL Xuất] - Table1_2[SL Xuất KM]</f>
        <v>0</v>
      </c>
    </row>
    <row r="514" spans="1:17" x14ac:dyDescent="0.25">
      <c r="A514">
        <v>513</v>
      </c>
      <c r="B514" t="s">
        <v>1009</v>
      </c>
      <c r="C514" t="s">
        <v>1010</v>
      </c>
      <c r="D514" t="s">
        <v>88</v>
      </c>
      <c r="E514">
        <v>450000</v>
      </c>
      <c r="F514">
        <v>0</v>
      </c>
      <c r="G514">
        <v>60</v>
      </c>
      <c r="H514">
        <v>660000</v>
      </c>
      <c r="I514">
        <v>210000</v>
      </c>
      <c r="J514" s="1">
        <v>45233</v>
      </c>
      <c r="K514" t="s">
        <v>925</v>
      </c>
      <c r="L514">
        <v>11</v>
      </c>
      <c r="M514">
        <v>2023</v>
      </c>
      <c r="N514">
        <f t="shared" ref="N514:N577" si="8">I514-E514</f>
        <v>-240000</v>
      </c>
      <c r="O514" s="19">
        <f>IF(Table1_2[Tiền Nhập]&lt;&gt;0, Table1_2[Lợi Nhuận Gộp]/Table1_2[Tiền Nhập], 0)</f>
        <v>-0.53333333333333333</v>
      </c>
      <c r="P514">
        <f>IF(Table1_2[SL Xuất]&gt;0, Table1_2[Tiền Xuất]/Table1_2[SL Xuất], 0)</f>
        <v>11000</v>
      </c>
      <c r="Q514">
        <f>Table1_2[SL Xuất] - Table1_2[SL Xuất KM]</f>
        <v>60</v>
      </c>
    </row>
    <row r="515" spans="1:17" x14ac:dyDescent="0.25">
      <c r="A515">
        <v>514</v>
      </c>
      <c r="B515" t="s">
        <v>133</v>
      </c>
      <c r="C515" t="s">
        <v>134</v>
      </c>
      <c r="D515" t="s">
        <v>13</v>
      </c>
      <c r="E515">
        <v>200010</v>
      </c>
      <c r="F515">
        <v>0</v>
      </c>
      <c r="G515">
        <v>30</v>
      </c>
      <c r="H515">
        <v>225000</v>
      </c>
      <c r="I515">
        <v>24990</v>
      </c>
      <c r="J515" s="1">
        <v>45233</v>
      </c>
      <c r="K515" t="s">
        <v>925</v>
      </c>
      <c r="L515">
        <v>11</v>
      </c>
      <c r="M515">
        <v>2023</v>
      </c>
      <c r="N515">
        <f t="shared" si="8"/>
        <v>-175020</v>
      </c>
      <c r="O515" s="19">
        <f>IF(Table1_2[Tiền Nhập]&lt;&gt;0, Table1_2[Lợi Nhuận Gộp]/Table1_2[Tiền Nhập], 0)</f>
        <v>-0.87505624718764063</v>
      </c>
      <c r="P515">
        <f>IF(Table1_2[SL Xuất]&gt;0, Table1_2[Tiền Xuất]/Table1_2[SL Xuất], 0)</f>
        <v>7500</v>
      </c>
      <c r="Q515">
        <f>Table1_2[SL Xuất] - Table1_2[SL Xuất KM]</f>
        <v>30</v>
      </c>
    </row>
    <row r="516" spans="1:17" x14ac:dyDescent="0.25">
      <c r="A516">
        <v>515</v>
      </c>
      <c r="B516" t="s">
        <v>788</v>
      </c>
      <c r="C516" t="s">
        <v>789</v>
      </c>
      <c r="D516" t="s">
        <v>23</v>
      </c>
      <c r="E516">
        <v>38335</v>
      </c>
      <c r="F516">
        <v>1</v>
      </c>
      <c r="G516">
        <v>5</v>
      </c>
      <c r="H516">
        <v>62500</v>
      </c>
      <c r="I516">
        <v>24165</v>
      </c>
      <c r="J516" s="1">
        <v>45233</v>
      </c>
      <c r="K516" t="s">
        <v>925</v>
      </c>
      <c r="L516">
        <v>11</v>
      </c>
      <c r="M516">
        <v>2023</v>
      </c>
      <c r="N516">
        <f t="shared" si="8"/>
        <v>-14170</v>
      </c>
      <c r="O516" s="19">
        <f>IF(Table1_2[Tiền Nhập]&lt;&gt;0, Table1_2[Lợi Nhuận Gộp]/Table1_2[Tiền Nhập], 0)</f>
        <v>-0.36963610277814007</v>
      </c>
      <c r="P516">
        <f>IF(Table1_2[SL Xuất]&gt;0, Table1_2[Tiền Xuất]/Table1_2[SL Xuất], 0)</f>
        <v>12500</v>
      </c>
      <c r="Q516">
        <f>Table1_2[SL Xuất] - Table1_2[SL Xuất KM]</f>
        <v>4</v>
      </c>
    </row>
    <row r="517" spans="1:17" x14ac:dyDescent="0.25">
      <c r="A517">
        <v>516</v>
      </c>
      <c r="B517" t="s">
        <v>744</v>
      </c>
      <c r="C517" t="s">
        <v>745</v>
      </c>
      <c r="D517" t="s">
        <v>13</v>
      </c>
      <c r="E517">
        <v>52500</v>
      </c>
      <c r="F517">
        <v>0</v>
      </c>
      <c r="G517">
        <v>10</v>
      </c>
      <c r="H517">
        <v>70000</v>
      </c>
      <c r="I517">
        <v>17500</v>
      </c>
      <c r="J517" s="1">
        <v>45233</v>
      </c>
      <c r="K517" t="s">
        <v>1123</v>
      </c>
      <c r="L517">
        <v>11</v>
      </c>
      <c r="M517">
        <v>2023</v>
      </c>
      <c r="N517">
        <f t="shared" si="8"/>
        <v>-35000</v>
      </c>
      <c r="O517" s="19">
        <f>IF(Table1_2[Tiền Nhập]&lt;&gt;0, Table1_2[Lợi Nhuận Gộp]/Table1_2[Tiền Nhập], 0)</f>
        <v>-0.66666666666666663</v>
      </c>
      <c r="P517">
        <f>IF(Table1_2[SL Xuất]&gt;0, Table1_2[Tiền Xuất]/Table1_2[SL Xuất], 0)</f>
        <v>7000</v>
      </c>
      <c r="Q517">
        <f>Table1_2[SL Xuất] - Table1_2[SL Xuất KM]</f>
        <v>10</v>
      </c>
    </row>
    <row r="518" spans="1:17" x14ac:dyDescent="0.25">
      <c r="A518">
        <v>517</v>
      </c>
      <c r="B518" t="s">
        <v>632</v>
      </c>
      <c r="C518" t="s">
        <v>633</v>
      </c>
      <c r="D518" t="s">
        <v>13</v>
      </c>
      <c r="E518">
        <v>52500</v>
      </c>
      <c r="F518">
        <v>0</v>
      </c>
      <c r="G518">
        <v>10</v>
      </c>
      <c r="H518">
        <v>70000</v>
      </c>
      <c r="I518">
        <v>17500</v>
      </c>
      <c r="J518" s="1">
        <v>45233</v>
      </c>
      <c r="K518" t="s">
        <v>1123</v>
      </c>
      <c r="L518">
        <v>11</v>
      </c>
      <c r="M518">
        <v>2023</v>
      </c>
      <c r="N518">
        <f t="shared" si="8"/>
        <v>-35000</v>
      </c>
      <c r="O518" s="19">
        <f>IF(Table1_2[Tiền Nhập]&lt;&gt;0, Table1_2[Lợi Nhuận Gộp]/Table1_2[Tiền Nhập], 0)</f>
        <v>-0.66666666666666663</v>
      </c>
      <c r="P518">
        <f>IF(Table1_2[SL Xuất]&gt;0, Table1_2[Tiền Xuất]/Table1_2[SL Xuất], 0)</f>
        <v>7000</v>
      </c>
      <c r="Q518">
        <f>Table1_2[SL Xuất] - Table1_2[SL Xuất KM]</f>
        <v>10</v>
      </c>
    </row>
    <row r="519" spans="1:17" x14ac:dyDescent="0.25">
      <c r="A519">
        <v>518</v>
      </c>
      <c r="B519" t="s">
        <v>273</v>
      </c>
      <c r="C519" t="s">
        <v>274</v>
      </c>
      <c r="D519" t="s">
        <v>13</v>
      </c>
      <c r="E519">
        <v>67500</v>
      </c>
      <c r="F519">
        <v>0</v>
      </c>
      <c r="G519">
        <v>10</v>
      </c>
      <c r="H519">
        <v>75000</v>
      </c>
      <c r="I519">
        <v>7500</v>
      </c>
      <c r="J519" s="1">
        <v>45233</v>
      </c>
      <c r="K519" t="s">
        <v>1123</v>
      </c>
      <c r="L519">
        <v>11</v>
      </c>
      <c r="M519">
        <v>2023</v>
      </c>
      <c r="N519">
        <f t="shared" si="8"/>
        <v>-60000</v>
      </c>
      <c r="O519" s="19">
        <f>IF(Table1_2[Tiền Nhập]&lt;&gt;0, Table1_2[Lợi Nhuận Gộp]/Table1_2[Tiền Nhập], 0)</f>
        <v>-0.88888888888888884</v>
      </c>
      <c r="P519">
        <f>IF(Table1_2[SL Xuất]&gt;0, Table1_2[Tiền Xuất]/Table1_2[SL Xuất], 0)</f>
        <v>7500</v>
      </c>
      <c r="Q519">
        <f>Table1_2[SL Xuất] - Table1_2[SL Xuất KM]</f>
        <v>10</v>
      </c>
    </row>
    <row r="520" spans="1:17" x14ac:dyDescent="0.25">
      <c r="A520">
        <v>519</v>
      </c>
      <c r="B520" t="s">
        <v>314</v>
      </c>
      <c r="C520" t="s">
        <v>315</v>
      </c>
      <c r="D520" t="s">
        <v>13</v>
      </c>
      <c r="E520">
        <v>60000</v>
      </c>
      <c r="F520">
        <v>0</v>
      </c>
      <c r="G520">
        <v>10</v>
      </c>
      <c r="H520">
        <v>80000</v>
      </c>
      <c r="I520">
        <v>20000</v>
      </c>
      <c r="J520" s="1">
        <v>45233</v>
      </c>
      <c r="K520" t="s">
        <v>1123</v>
      </c>
      <c r="L520">
        <v>11</v>
      </c>
      <c r="M520">
        <v>2023</v>
      </c>
      <c r="N520">
        <f t="shared" si="8"/>
        <v>-40000</v>
      </c>
      <c r="O520" s="19">
        <f>IF(Table1_2[Tiền Nhập]&lt;&gt;0, Table1_2[Lợi Nhuận Gộp]/Table1_2[Tiền Nhập], 0)</f>
        <v>-0.66666666666666663</v>
      </c>
      <c r="P520">
        <f>IF(Table1_2[SL Xuất]&gt;0, Table1_2[Tiền Xuất]/Table1_2[SL Xuất], 0)</f>
        <v>8000</v>
      </c>
      <c r="Q520">
        <f>Table1_2[SL Xuất] - Table1_2[SL Xuất KM]</f>
        <v>10</v>
      </c>
    </row>
    <row r="521" spans="1:17" x14ac:dyDescent="0.25">
      <c r="A521">
        <v>520</v>
      </c>
      <c r="B521" t="s">
        <v>1124</v>
      </c>
      <c r="C521" t="s">
        <v>1125</v>
      </c>
      <c r="D521" t="s">
        <v>339</v>
      </c>
      <c r="E521">
        <v>0</v>
      </c>
      <c r="F521">
        <v>0</v>
      </c>
      <c r="G521">
        <v>0</v>
      </c>
      <c r="H521">
        <v>0</v>
      </c>
      <c r="I521">
        <v>0</v>
      </c>
      <c r="J521" s="1">
        <v>45234</v>
      </c>
      <c r="K521" t="s">
        <v>166</v>
      </c>
      <c r="L521">
        <v>11</v>
      </c>
      <c r="M521">
        <v>2023</v>
      </c>
      <c r="N521">
        <f t="shared" si="8"/>
        <v>0</v>
      </c>
      <c r="O521" s="19">
        <f>IF(Table1_2[Tiền Nhập]&lt;&gt;0, Table1_2[Lợi Nhuận Gộp]/Table1_2[Tiền Nhập], 0)</f>
        <v>0</v>
      </c>
      <c r="P521">
        <f>IF(Table1_2[SL Xuất]&gt;0, Table1_2[Tiền Xuất]/Table1_2[SL Xuất], 0)</f>
        <v>0</v>
      </c>
      <c r="Q521">
        <f>Table1_2[SL Xuất] - Table1_2[SL Xuất KM]</f>
        <v>0</v>
      </c>
    </row>
    <row r="522" spans="1:17" x14ac:dyDescent="0.25">
      <c r="A522">
        <v>521</v>
      </c>
      <c r="B522" t="s">
        <v>717</v>
      </c>
      <c r="C522" t="s">
        <v>718</v>
      </c>
      <c r="D522" t="s">
        <v>88</v>
      </c>
      <c r="E522">
        <v>181200</v>
      </c>
      <c r="F522">
        <v>1</v>
      </c>
      <c r="G522">
        <v>4</v>
      </c>
      <c r="H522">
        <v>157000</v>
      </c>
      <c r="I522">
        <v>-24200</v>
      </c>
      <c r="J522" s="1">
        <v>45234</v>
      </c>
      <c r="K522" t="s">
        <v>388</v>
      </c>
      <c r="L522">
        <v>11</v>
      </c>
      <c r="M522">
        <v>2023</v>
      </c>
      <c r="N522">
        <f t="shared" si="8"/>
        <v>-205400</v>
      </c>
      <c r="O522" s="19">
        <f>IF(Table1_2[Tiền Nhập]&lt;&gt;0, Table1_2[Lợi Nhuận Gộp]/Table1_2[Tiền Nhập], 0)</f>
        <v>-1.1335540838852096</v>
      </c>
      <c r="P522">
        <f>IF(Table1_2[SL Xuất]&gt;0, Table1_2[Tiền Xuất]/Table1_2[SL Xuất], 0)</f>
        <v>39250</v>
      </c>
      <c r="Q522">
        <f>Table1_2[SL Xuất] - Table1_2[SL Xuất KM]</f>
        <v>3</v>
      </c>
    </row>
    <row r="523" spans="1:17" x14ac:dyDescent="0.25">
      <c r="A523">
        <v>522</v>
      </c>
      <c r="B523" t="s">
        <v>753</v>
      </c>
      <c r="C523" t="s">
        <v>754</v>
      </c>
      <c r="D523" t="s">
        <v>88</v>
      </c>
      <c r="E523">
        <v>181200</v>
      </c>
      <c r="F523">
        <v>0</v>
      </c>
      <c r="G523">
        <v>4</v>
      </c>
      <c r="H523">
        <v>200000</v>
      </c>
      <c r="I523">
        <v>18800</v>
      </c>
      <c r="J523" s="1">
        <v>45234</v>
      </c>
      <c r="K523" t="s">
        <v>388</v>
      </c>
      <c r="L523">
        <v>11</v>
      </c>
      <c r="M523">
        <v>2023</v>
      </c>
      <c r="N523">
        <f t="shared" si="8"/>
        <v>-162400</v>
      </c>
      <c r="O523" s="19">
        <f>IF(Table1_2[Tiền Nhập]&lt;&gt;0, Table1_2[Lợi Nhuận Gộp]/Table1_2[Tiền Nhập], 0)</f>
        <v>-0.89624724061810157</v>
      </c>
      <c r="P523">
        <f>IF(Table1_2[SL Xuất]&gt;0, Table1_2[Tiền Xuất]/Table1_2[SL Xuất], 0)</f>
        <v>50000</v>
      </c>
      <c r="Q523">
        <f>Table1_2[SL Xuất] - Table1_2[SL Xuất KM]</f>
        <v>4</v>
      </c>
    </row>
    <row r="524" spans="1:17" x14ac:dyDescent="0.25">
      <c r="A524">
        <v>523</v>
      </c>
      <c r="B524" t="s">
        <v>757</v>
      </c>
      <c r="C524" t="s">
        <v>758</v>
      </c>
      <c r="D524" t="s">
        <v>88</v>
      </c>
      <c r="E524">
        <v>181200</v>
      </c>
      <c r="F524">
        <v>0</v>
      </c>
      <c r="G524">
        <v>4</v>
      </c>
      <c r="H524">
        <v>200000</v>
      </c>
      <c r="I524">
        <v>18800</v>
      </c>
      <c r="J524" s="1">
        <v>45234</v>
      </c>
      <c r="K524" t="s">
        <v>388</v>
      </c>
      <c r="L524">
        <v>11</v>
      </c>
      <c r="M524">
        <v>2023</v>
      </c>
      <c r="N524">
        <f t="shared" si="8"/>
        <v>-162400</v>
      </c>
      <c r="O524" s="19">
        <f>IF(Table1_2[Tiền Nhập]&lt;&gt;0, Table1_2[Lợi Nhuận Gộp]/Table1_2[Tiền Nhập], 0)</f>
        <v>-0.89624724061810157</v>
      </c>
      <c r="P524">
        <f>IF(Table1_2[SL Xuất]&gt;0, Table1_2[Tiền Xuất]/Table1_2[SL Xuất], 0)</f>
        <v>50000</v>
      </c>
      <c r="Q524">
        <f>Table1_2[SL Xuất] - Table1_2[SL Xuất KM]</f>
        <v>4</v>
      </c>
    </row>
    <row r="525" spans="1:17" x14ac:dyDescent="0.25">
      <c r="A525">
        <v>524</v>
      </c>
      <c r="B525" t="s">
        <v>183</v>
      </c>
      <c r="C525" t="s">
        <v>184</v>
      </c>
      <c r="D525" t="s">
        <v>23</v>
      </c>
      <c r="E525">
        <v>950040</v>
      </c>
      <c r="F525">
        <v>12</v>
      </c>
      <c r="G525">
        <v>60</v>
      </c>
      <c r="H525">
        <v>1325000</v>
      </c>
      <c r="I525">
        <v>374960</v>
      </c>
      <c r="J525" s="1">
        <v>45234</v>
      </c>
      <c r="K525" t="s">
        <v>176</v>
      </c>
      <c r="L525">
        <v>11</v>
      </c>
      <c r="M525">
        <v>2023</v>
      </c>
      <c r="N525">
        <f t="shared" si="8"/>
        <v>-575080</v>
      </c>
      <c r="O525" s="19">
        <f>IF(Table1_2[Tiền Nhập]&lt;&gt;0, Table1_2[Lợi Nhuận Gộp]/Table1_2[Tiền Nhập], 0)</f>
        <v>-0.60532188118395014</v>
      </c>
      <c r="P525">
        <f>IF(Table1_2[SL Xuất]&gt;0, Table1_2[Tiền Xuất]/Table1_2[SL Xuất], 0)</f>
        <v>22083.333333333332</v>
      </c>
      <c r="Q525">
        <f>Table1_2[SL Xuất] - Table1_2[SL Xuất KM]</f>
        <v>48</v>
      </c>
    </row>
    <row r="526" spans="1:17" x14ac:dyDescent="0.25">
      <c r="A526">
        <v>525</v>
      </c>
      <c r="B526" t="s">
        <v>1129</v>
      </c>
      <c r="C526" t="s">
        <v>1130</v>
      </c>
      <c r="D526" t="s">
        <v>45</v>
      </c>
      <c r="E526">
        <v>110400</v>
      </c>
      <c r="F526">
        <v>0</v>
      </c>
      <c r="G526">
        <v>5</v>
      </c>
      <c r="H526">
        <v>105000</v>
      </c>
      <c r="I526">
        <v>-5400</v>
      </c>
      <c r="J526" s="1">
        <v>45234</v>
      </c>
      <c r="K526" t="s">
        <v>687</v>
      </c>
      <c r="L526">
        <v>11</v>
      </c>
      <c r="M526">
        <v>2023</v>
      </c>
      <c r="N526">
        <f t="shared" si="8"/>
        <v>-115800</v>
      </c>
      <c r="O526" s="19">
        <f>IF(Table1_2[Tiền Nhập]&lt;&gt;0, Table1_2[Lợi Nhuận Gộp]/Table1_2[Tiền Nhập], 0)</f>
        <v>-1.048913043478261</v>
      </c>
      <c r="P526">
        <f>IF(Table1_2[SL Xuất]&gt;0, Table1_2[Tiền Xuất]/Table1_2[SL Xuất], 0)</f>
        <v>21000</v>
      </c>
      <c r="Q526">
        <f>Table1_2[SL Xuất] - Table1_2[SL Xuất KM]</f>
        <v>5</v>
      </c>
    </row>
    <row r="527" spans="1:17" x14ac:dyDescent="0.25">
      <c r="A527">
        <v>526</v>
      </c>
      <c r="B527" t="s">
        <v>1133</v>
      </c>
      <c r="C527" t="s">
        <v>1134</v>
      </c>
      <c r="D527" t="s">
        <v>45</v>
      </c>
      <c r="E527">
        <v>156400</v>
      </c>
      <c r="F527">
        <v>0</v>
      </c>
      <c r="G527">
        <v>10</v>
      </c>
      <c r="H527">
        <v>140000</v>
      </c>
      <c r="I527">
        <v>-16400</v>
      </c>
      <c r="J527" s="1">
        <v>45234</v>
      </c>
      <c r="K527" t="s">
        <v>687</v>
      </c>
      <c r="L527">
        <v>11</v>
      </c>
      <c r="M527">
        <v>2023</v>
      </c>
      <c r="N527">
        <f t="shared" si="8"/>
        <v>-172800</v>
      </c>
      <c r="O527" s="19">
        <f>IF(Table1_2[Tiền Nhập]&lt;&gt;0, Table1_2[Lợi Nhuận Gộp]/Table1_2[Tiền Nhập], 0)</f>
        <v>-1.1048593350383631</v>
      </c>
      <c r="P527">
        <f>IF(Table1_2[SL Xuất]&gt;0, Table1_2[Tiền Xuất]/Table1_2[SL Xuất], 0)</f>
        <v>14000</v>
      </c>
      <c r="Q527">
        <f>Table1_2[SL Xuất] - Table1_2[SL Xuất KM]</f>
        <v>10</v>
      </c>
    </row>
    <row r="528" spans="1:17" x14ac:dyDescent="0.25">
      <c r="A528">
        <v>527</v>
      </c>
      <c r="B528" t="s">
        <v>1137</v>
      </c>
      <c r="C528" t="s">
        <v>1138</v>
      </c>
      <c r="D528" t="s">
        <v>45</v>
      </c>
      <c r="E528">
        <v>160000</v>
      </c>
      <c r="F528">
        <v>0</v>
      </c>
      <c r="G528">
        <v>5</v>
      </c>
      <c r="H528">
        <v>105000</v>
      </c>
      <c r="I528">
        <v>-55000</v>
      </c>
      <c r="J528" s="1">
        <v>45234</v>
      </c>
      <c r="K528" t="s">
        <v>687</v>
      </c>
      <c r="L528">
        <v>11</v>
      </c>
      <c r="M528">
        <v>2023</v>
      </c>
      <c r="N528">
        <f t="shared" si="8"/>
        <v>-215000</v>
      </c>
      <c r="O528" s="19">
        <f>IF(Table1_2[Tiền Nhập]&lt;&gt;0, Table1_2[Lợi Nhuận Gộp]/Table1_2[Tiền Nhập], 0)</f>
        <v>-1.34375</v>
      </c>
      <c r="P528">
        <f>IF(Table1_2[SL Xuất]&gt;0, Table1_2[Tiền Xuất]/Table1_2[SL Xuất], 0)</f>
        <v>21000</v>
      </c>
      <c r="Q528">
        <f>Table1_2[SL Xuất] - Table1_2[SL Xuất KM]</f>
        <v>5</v>
      </c>
    </row>
    <row r="529" spans="1:17" x14ac:dyDescent="0.25">
      <c r="A529">
        <v>528</v>
      </c>
      <c r="B529" t="s">
        <v>1023</v>
      </c>
      <c r="C529" t="s">
        <v>1024</v>
      </c>
      <c r="D529" t="s">
        <v>13</v>
      </c>
      <c r="E529">
        <v>126720</v>
      </c>
      <c r="F529">
        <v>0</v>
      </c>
      <c r="G529">
        <v>6</v>
      </c>
      <c r="H529">
        <v>108000</v>
      </c>
      <c r="I529">
        <v>-18720</v>
      </c>
      <c r="J529" s="1">
        <v>45234</v>
      </c>
      <c r="K529" t="s">
        <v>687</v>
      </c>
      <c r="L529">
        <v>11</v>
      </c>
      <c r="M529">
        <v>2023</v>
      </c>
      <c r="N529">
        <f t="shared" si="8"/>
        <v>-145440</v>
      </c>
      <c r="O529" s="19">
        <f>IF(Table1_2[Tiền Nhập]&lt;&gt;0, Table1_2[Lợi Nhuận Gộp]/Table1_2[Tiền Nhập], 0)</f>
        <v>-1.1477272727272727</v>
      </c>
      <c r="P529">
        <f>IF(Table1_2[SL Xuất]&gt;0, Table1_2[Tiền Xuất]/Table1_2[SL Xuất], 0)</f>
        <v>18000</v>
      </c>
      <c r="Q529">
        <f>Table1_2[SL Xuất] - Table1_2[SL Xuất KM]</f>
        <v>6</v>
      </c>
    </row>
    <row r="530" spans="1:17" x14ac:dyDescent="0.25">
      <c r="A530">
        <v>529</v>
      </c>
      <c r="B530" t="s">
        <v>413</v>
      </c>
      <c r="C530" t="s">
        <v>414</v>
      </c>
      <c r="D530" t="s">
        <v>194</v>
      </c>
      <c r="E530">
        <v>0</v>
      </c>
      <c r="F530">
        <v>0</v>
      </c>
      <c r="G530">
        <v>0</v>
      </c>
      <c r="H530">
        <v>0</v>
      </c>
      <c r="I530">
        <v>0</v>
      </c>
      <c r="J530" s="1">
        <v>45234</v>
      </c>
      <c r="K530" t="s">
        <v>687</v>
      </c>
      <c r="L530">
        <v>11</v>
      </c>
      <c r="M530">
        <v>2023</v>
      </c>
      <c r="N530">
        <f t="shared" si="8"/>
        <v>0</v>
      </c>
      <c r="O530" s="19">
        <f>IF(Table1_2[Tiền Nhập]&lt;&gt;0, Table1_2[Lợi Nhuận Gộp]/Table1_2[Tiền Nhập], 0)</f>
        <v>0</v>
      </c>
      <c r="P530">
        <f>IF(Table1_2[SL Xuất]&gt;0, Table1_2[Tiền Xuất]/Table1_2[SL Xuất], 0)</f>
        <v>0</v>
      </c>
      <c r="Q530">
        <f>Table1_2[SL Xuất] - Table1_2[SL Xuất KM]</f>
        <v>0</v>
      </c>
    </row>
    <row r="531" spans="1:17" x14ac:dyDescent="0.25">
      <c r="A531">
        <v>530</v>
      </c>
      <c r="B531" t="s">
        <v>502</v>
      </c>
      <c r="C531" t="s">
        <v>503</v>
      </c>
      <c r="D531" t="s">
        <v>220</v>
      </c>
      <c r="E531">
        <v>63000</v>
      </c>
      <c r="F531">
        <v>0</v>
      </c>
      <c r="G531">
        <v>1</v>
      </c>
      <c r="H531">
        <v>73000</v>
      </c>
      <c r="I531">
        <v>10000</v>
      </c>
      <c r="J531" s="1">
        <v>45234</v>
      </c>
      <c r="K531" t="s">
        <v>1142</v>
      </c>
      <c r="L531">
        <v>11</v>
      </c>
      <c r="M531">
        <v>2023</v>
      </c>
      <c r="N531">
        <f t="shared" si="8"/>
        <v>-53000</v>
      </c>
      <c r="O531" s="19">
        <f>IF(Table1_2[Tiền Nhập]&lt;&gt;0, Table1_2[Lợi Nhuận Gộp]/Table1_2[Tiền Nhập], 0)</f>
        <v>-0.84126984126984128</v>
      </c>
      <c r="P531">
        <f>IF(Table1_2[SL Xuất]&gt;0, Table1_2[Tiền Xuất]/Table1_2[SL Xuất], 0)</f>
        <v>73000</v>
      </c>
      <c r="Q531">
        <f>Table1_2[SL Xuất] - Table1_2[SL Xuất KM]</f>
        <v>1</v>
      </c>
    </row>
    <row r="532" spans="1:17" x14ac:dyDescent="0.25">
      <c r="A532">
        <v>531</v>
      </c>
      <c r="B532" t="s">
        <v>324</v>
      </c>
      <c r="C532" t="s">
        <v>325</v>
      </c>
      <c r="D532" t="s">
        <v>220</v>
      </c>
      <c r="E532">
        <v>63000</v>
      </c>
      <c r="F532">
        <v>0</v>
      </c>
      <c r="G532">
        <v>1</v>
      </c>
      <c r="H532">
        <v>73000</v>
      </c>
      <c r="I532">
        <v>10000</v>
      </c>
      <c r="J532" s="1">
        <v>45234</v>
      </c>
      <c r="K532" t="s">
        <v>1142</v>
      </c>
      <c r="L532">
        <v>11</v>
      </c>
      <c r="M532">
        <v>2023</v>
      </c>
      <c r="N532">
        <f t="shared" si="8"/>
        <v>-53000</v>
      </c>
      <c r="O532" s="19">
        <f>IF(Table1_2[Tiền Nhập]&lt;&gt;0, Table1_2[Lợi Nhuận Gộp]/Table1_2[Tiền Nhập], 0)</f>
        <v>-0.84126984126984128</v>
      </c>
      <c r="P532">
        <f>IF(Table1_2[SL Xuất]&gt;0, Table1_2[Tiền Xuất]/Table1_2[SL Xuất], 0)</f>
        <v>73000</v>
      </c>
      <c r="Q532">
        <f>Table1_2[SL Xuất] - Table1_2[SL Xuất KM]</f>
        <v>1</v>
      </c>
    </row>
    <row r="533" spans="1:17" x14ac:dyDescent="0.25">
      <c r="A533">
        <v>532</v>
      </c>
      <c r="B533" t="s">
        <v>452</v>
      </c>
      <c r="C533" t="s">
        <v>453</v>
      </c>
      <c r="D533" t="s">
        <v>88</v>
      </c>
      <c r="E533">
        <v>0</v>
      </c>
      <c r="F533">
        <v>0</v>
      </c>
      <c r="G533">
        <v>0</v>
      </c>
      <c r="H533">
        <v>0</v>
      </c>
      <c r="I533">
        <v>0</v>
      </c>
      <c r="J533" s="1">
        <v>45234</v>
      </c>
      <c r="K533" t="s">
        <v>1143</v>
      </c>
      <c r="L533">
        <v>11</v>
      </c>
      <c r="M533">
        <v>2023</v>
      </c>
      <c r="N533">
        <f t="shared" si="8"/>
        <v>0</v>
      </c>
      <c r="O533" s="19">
        <f>IF(Table1_2[Tiền Nhập]&lt;&gt;0, Table1_2[Lợi Nhuận Gộp]/Table1_2[Tiền Nhập], 0)</f>
        <v>0</v>
      </c>
      <c r="P533">
        <f>IF(Table1_2[SL Xuất]&gt;0, Table1_2[Tiền Xuất]/Table1_2[SL Xuất], 0)</f>
        <v>0</v>
      </c>
      <c r="Q533">
        <f>Table1_2[SL Xuất] - Table1_2[SL Xuất KM]</f>
        <v>0</v>
      </c>
    </row>
    <row r="534" spans="1:17" x14ac:dyDescent="0.25">
      <c r="A534">
        <v>533</v>
      </c>
      <c r="B534" t="s">
        <v>429</v>
      </c>
      <c r="C534" t="s">
        <v>430</v>
      </c>
      <c r="D534" t="s">
        <v>88</v>
      </c>
      <c r="E534">
        <v>0</v>
      </c>
      <c r="F534">
        <v>0</v>
      </c>
      <c r="G534">
        <v>0</v>
      </c>
      <c r="H534">
        <v>0</v>
      </c>
      <c r="I534">
        <v>0</v>
      </c>
      <c r="J534" s="1">
        <v>45234</v>
      </c>
      <c r="K534" t="s">
        <v>1143</v>
      </c>
      <c r="L534">
        <v>11</v>
      </c>
      <c r="M534">
        <v>2023</v>
      </c>
      <c r="N534">
        <f t="shared" si="8"/>
        <v>0</v>
      </c>
      <c r="O534" s="19">
        <f>IF(Table1_2[Tiền Nhập]&lt;&gt;0, Table1_2[Lợi Nhuận Gộp]/Table1_2[Tiền Nhập], 0)</f>
        <v>0</v>
      </c>
      <c r="P534">
        <f>IF(Table1_2[SL Xuất]&gt;0, Table1_2[Tiền Xuất]/Table1_2[SL Xuất], 0)</f>
        <v>0</v>
      </c>
      <c r="Q534">
        <f>Table1_2[SL Xuất] - Table1_2[SL Xuất KM]</f>
        <v>0</v>
      </c>
    </row>
    <row r="535" spans="1:17" x14ac:dyDescent="0.25">
      <c r="A535">
        <v>534</v>
      </c>
      <c r="B535" t="s">
        <v>259</v>
      </c>
      <c r="C535" t="s">
        <v>260</v>
      </c>
      <c r="D535" t="s">
        <v>88</v>
      </c>
      <c r="E535">
        <v>0</v>
      </c>
      <c r="F535">
        <v>0</v>
      </c>
      <c r="G535">
        <v>0</v>
      </c>
      <c r="H535">
        <v>0</v>
      </c>
      <c r="I535">
        <v>0</v>
      </c>
      <c r="J535" s="1">
        <v>45234</v>
      </c>
      <c r="K535" t="s">
        <v>1143</v>
      </c>
      <c r="L535">
        <v>11</v>
      </c>
      <c r="M535">
        <v>2023</v>
      </c>
      <c r="N535">
        <f t="shared" si="8"/>
        <v>0</v>
      </c>
      <c r="O535" s="19">
        <f>IF(Table1_2[Tiền Nhập]&lt;&gt;0, Table1_2[Lợi Nhuận Gộp]/Table1_2[Tiền Nhập], 0)</f>
        <v>0</v>
      </c>
      <c r="P535">
        <f>IF(Table1_2[SL Xuất]&gt;0, Table1_2[Tiền Xuất]/Table1_2[SL Xuất], 0)</f>
        <v>0</v>
      </c>
      <c r="Q535">
        <f>Table1_2[SL Xuất] - Table1_2[SL Xuất KM]</f>
        <v>0</v>
      </c>
    </row>
    <row r="536" spans="1:17" x14ac:dyDescent="0.25">
      <c r="A536">
        <v>535</v>
      </c>
      <c r="B536" t="s">
        <v>261</v>
      </c>
      <c r="C536" t="s">
        <v>262</v>
      </c>
      <c r="D536" t="s">
        <v>88</v>
      </c>
      <c r="E536">
        <v>0</v>
      </c>
      <c r="F536">
        <v>0</v>
      </c>
      <c r="G536">
        <v>0</v>
      </c>
      <c r="H536">
        <v>0</v>
      </c>
      <c r="I536">
        <v>0</v>
      </c>
      <c r="J536" s="1">
        <v>45234</v>
      </c>
      <c r="K536" t="s">
        <v>1143</v>
      </c>
      <c r="L536">
        <v>11</v>
      </c>
      <c r="M536">
        <v>2023</v>
      </c>
      <c r="N536">
        <f t="shared" si="8"/>
        <v>0</v>
      </c>
      <c r="O536" s="19">
        <f>IF(Table1_2[Tiền Nhập]&lt;&gt;0, Table1_2[Lợi Nhuận Gộp]/Table1_2[Tiền Nhập], 0)</f>
        <v>0</v>
      </c>
      <c r="P536">
        <f>IF(Table1_2[SL Xuất]&gt;0, Table1_2[Tiền Xuất]/Table1_2[SL Xuất], 0)</f>
        <v>0</v>
      </c>
      <c r="Q536">
        <f>Table1_2[SL Xuất] - Table1_2[SL Xuất KM]</f>
        <v>0</v>
      </c>
    </row>
    <row r="537" spans="1:17" x14ac:dyDescent="0.25">
      <c r="A537">
        <v>536</v>
      </c>
      <c r="B537" t="s">
        <v>80</v>
      </c>
      <c r="C537" t="s">
        <v>81</v>
      </c>
      <c r="D537" t="s">
        <v>13</v>
      </c>
      <c r="E537">
        <v>320004</v>
      </c>
      <c r="F537">
        <v>6</v>
      </c>
      <c r="G537">
        <v>12</v>
      </c>
      <c r="H537">
        <v>210000</v>
      </c>
      <c r="I537">
        <v>-110004</v>
      </c>
      <c r="J537" s="1">
        <v>45234</v>
      </c>
      <c r="K537" t="s">
        <v>206</v>
      </c>
      <c r="L537">
        <v>11</v>
      </c>
      <c r="M537">
        <v>2023</v>
      </c>
      <c r="N537">
        <f t="shared" si="8"/>
        <v>-430008</v>
      </c>
      <c r="O537" s="19">
        <f>IF(Table1_2[Tiền Nhập]&lt;&gt;0, Table1_2[Lợi Nhuận Gộp]/Table1_2[Tiền Nhập], 0)</f>
        <v>-1.3437582030224622</v>
      </c>
      <c r="P537">
        <f>IF(Table1_2[SL Xuất]&gt;0, Table1_2[Tiền Xuất]/Table1_2[SL Xuất], 0)</f>
        <v>17500</v>
      </c>
      <c r="Q537">
        <f>Table1_2[SL Xuất] - Table1_2[SL Xuất KM]</f>
        <v>6</v>
      </c>
    </row>
    <row r="538" spans="1:17" x14ac:dyDescent="0.25">
      <c r="A538">
        <v>537</v>
      </c>
      <c r="B538" t="s">
        <v>1146</v>
      </c>
      <c r="C538" t="s">
        <v>1147</v>
      </c>
      <c r="D538" t="s">
        <v>13</v>
      </c>
      <c r="E538">
        <v>1058940</v>
      </c>
      <c r="F538">
        <v>0</v>
      </c>
      <c r="G538">
        <v>9</v>
      </c>
      <c r="H538">
        <v>1431000</v>
      </c>
      <c r="I538">
        <v>372060</v>
      </c>
      <c r="J538" s="1">
        <v>45234</v>
      </c>
      <c r="K538" t="s">
        <v>206</v>
      </c>
      <c r="L538">
        <v>11</v>
      </c>
      <c r="M538">
        <v>2023</v>
      </c>
      <c r="N538">
        <f t="shared" si="8"/>
        <v>-686880</v>
      </c>
      <c r="O538" s="19">
        <f>IF(Table1_2[Tiền Nhập]&lt;&gt;0, Table1_2[Lợi Nhuận Gộp]/Table1_2[Tiền Nhập], 0)</f>
        <v>-0.64864864864864868</v>
      </c>
      <c r="P538">
        <f>IF(Table1_2[SL Xuất]&gt;0, Table1_2[Tiền Xuất]/Table1_2[SL Xuất], 0)</f>
        <v>159000</v>
      </c>
      <c r="Q538">
        <f>Table1_2[SL Xuất] - Table1_2[SL Xuất KM]</f>
        <v>9</v>
      </c>
    </row>
    <row r="539" spans="1:17" x14ac:dyDescent="0.25">
      <c r="A539">
        <v>538</v>
      </c>
      <c r="B539" t="s">
        <v>502</v>
      </c>
      <c r="C539" t="s">
        <v>503</v>
      </c>
      <c r="D539" t="s">
        <v>220</v>
      </c>
      <c r="E539">
        <v>63000</v>
      </c>
      <c r="F539">
        <v>0</v>
      </c>
      <c r="G539">
        <v>1</v>
      </c>
      <c r="H539">
        <v>73000</v>
      </c>
      <c r="I539">
        <v>10000</v>
      </c>
      <c r="J539" s="1">
        <v>45234</v>
      </c>
      <c r="K539" t="s">
        <v>1151</v>
      </c>
      <c r="L539">
        <v>11</v>
      </c>
      <c r="M539">
        <v>2023</v>
      </c>
      <c r="N539">
        <f t="shared" si="8"/>
        <v>-53000</v>
      </c>
      <c r="O539" s="19">
        <f>IF(Table1_2[Tiền Nhập]&lt;&gt;0, Table1_2[Lợi Nhuận Gộp]/Table1_2[Tiền Nhập], 0)</f>
        <v>-0.84126984126984128</v>
      </c>
      <c r="P539">
        <f>IF(Table1_2[SL Xuất]&gt;0, Table1_2[Tiền Xuất]/Table1_2[SL Xuất], 0)</f>
        <v>73000</v>
      </c>
      <c r="Q539">
        <f>Table1_2[SL Xuất] - Table1_2[SL Xuất KM]</f>
        <v>1</v>
      </c>
    </row>
    <row r="540" spans="1:17" x14ac:dyDescent="0.25">
      <c r="A540">
        <v>539</v>
      </c>
      <c r="B540" t="s">
        <v>324</v>
      </c>
      <c r="C540" t="s">
        <v>325</v>
      </c>
      <c r="D540" t="s">
        <v>220</v>
      </c>
      <c r="E540">
        <v>63000</v>
      </c>
      <c r="F540">
        <v>0</v>
      </c>
      <c r="G540">
        <v>1</v>
      </c>
      <c r="H540">
        <v>73000</v>
      </c>
      <c r="I540">
        <v>10000</v>
      </c>
      <c r="J540" s="1">
        <v>45234</v>
      </c>
      <c r="K540" t="s">
        <v>1151</v>
      </c>
      <c r="L540">
        <v>11</v>
      </c>
      <c r="M540">
        <v>2023</v>
      </c>
      <c r="N540">
        <f t="shared" si="8"/>
        <v>-53000</v>
      </c>
      <c r="O540" s="19">
        <f>IF(Table1_2[Tiền Nhập]&lt;&gt;0, Table1_2[Lợi Nhuận Gộp]/Table1_2[Tiền Nhập], 0)</f>
        <v>-0.84126984126984128</v>
      </c>
      <c r="P540">
        <f>IF(Table1_2[SL Xuất]&gt;0, Table1_2[Tiền Xuất]/Table1_2[SL Xuất], 0)</f>
        <v>73000</v>
      </c>
      <c r="Q540">
        <f>Table1_2[SL Xuất] - Table1_2[SL Xuất KM]</f>
        <v>1</v>
      </c>
    </row>
    <row r="541" spans="1:17" x14ac:dyDescent="0.25">
      <c r="A541">
        <v>540</v>
      </c>
      <c r="B541" t="s">
        <v>1152</v>
      </c>
      <c r="C541" t="s">
        <v>1153</v>
      </c>
      <c r="D541" t="s">
        <v>88</v>
      </c>
      <c r="E541">
        <v>114400</v>
      </c>
      <c r="F541">
        <v>0</v>
      </c>
      <c r="G541">
        <v>2</v>
      </c>
      <c r="H541">
        <v>134000</v>
      </c>
      <c r="I541">
        <v>19600</v>
      </c>
      <c r="J541" s="1">
        <v>45234</v>
      </c>
      <c r="K541" t="s">
        <v>1151</v>
      </c>
      <c r="L541">
        <v>11</v>
      </c>
      <c r="M541">
        <v>2023</v>
      </c>
      <c r="N541">
        <f t="shared" si="8"/>
        <v>-94800</v>
      </c>
      <c r="O541" s="19">
        <f>IF(Table1_2[Tiền Nhập]&lt;&gt;0, Table1_2[Lợi Nhuận Gộp]/Table1_2[Tiền Nhập], 0)</f>
        <v>-0.82867132867132864</v>
      </c>
      <c r="P541">
        <f>IF(Table1_2[SL Xuất]&gt;0, Table1_2[Tiền Xuất]/Table1_2[SL Xuất], 0)</f>
        <v>67000</v>
      </c>
      <c r="Q541">
        <f>Table1_2[SL Xuất] - Table1_2[SL Xuất KM]</f>
        <v>2</v>
      </c>
    </row>
    <row r="542" spans="1:17" x14ac:dyDescent="0.25">
      <c r="A542">
        <v>541</v>
      </c>
      <c r="B542" t="s">
        <v>1157</v>
      </c>
      <c r="C542" t="s">
        <v>1158</v>
      </c>
      <c r="D542" t="s">
        <v>88</v>
      </c>
      <c r="E542">
        <v>114400</v>
      </c>
      <c r="F542">
        <v>0</v>
      </c>
      <c r="G542">
        <v>2</v>
      </c>
      <c r="H542">
        <v>134000</v>
      </c>
      <c r="I542">
        <v>19600</v>
      </c>
      <c r="J542" s="1">
        <v>45234</v>
      </c>
      <c r="K542" t="s">
        <v>1151</v>
      </c>
      <c r="L542">
        <v>11</v>
      </c>
      <c r="M542">
        <v>2023</v>
      </c>
      <c r="N542">
        <f t="shared" si="8"/>
        <v>-94800</v>
      </c>
      <c r="O542" s="19">
        <f>IF(Table1_2[Tiền Nhập]&lt;&gt;0, Table1_2[Lợi Nhuận Gộp]/Table1_2[Tiền Nhập], 0)</f>
        <v>-0.82867132867132864</v>
      </c>
      <c r="P542">
        <f>IF(Table1_2[SL Xuất]&gt;0, Table1_2[Tiền Xuất]/Table1_2[SL Xuất], 0)</f>
        <v>67000</v>
      </c>
      <c r="Q542">
        <f>Table1_2[SL Xuất] - Table1_2[SL Xuất KM]</f>
        <v>2</v>
      </c>
    </row>
    <row r="543" spans="1:17" x14ac:dyDescent="0.25">
      <c r="A543">
        <v>542</v>
      </c>
      <c r="B543" t="s">
        <v>1159</v>
      </c>
      <c r="C543" t="s">
        <v>1160</v>
      </c>
      <c r="D543" t="s">
        <v>88</v>
      </c>
      <c r="E543">
        <v>114400</v>
      </c>
      <c r="F543">
        <v>0</v>
      </c>
      <c r="G543">
        <v>2</v>
      </c>
      <c r="H543">
        <v>134000</v>
      </c>
      <c r="I543">
        <v>19600</v>
      </c>
      <c r="J543" s="1">
        <v>45234</v>
      </c>
      <c r="K543" t="s">
        <v>1151</v>
      </c>
      <c r="L543">
        <v>11</v>
      </c>
      <c r="M543">
        <v>2023</v>
      </c>
      <c r="N543">
        <f t="shared" si="8"/>
        <v>-94800</v>
      </c>
      <c r="O543" s="19">
        <f>IF(Table1_2[Tiền Nhập]&lt;&gt;0, Table1_2[Lợi Nhuận Gộp]/Table1_2[Tiền Nhập], 0)</f>
        <v>-0.82867132867132864</v>
      </c>
      <c r="P543">
        <f>IF(Table1_2[SL Xuất]&gt;0, Table1_2[Tiền Xuất]/Table1_2[SL Xuất], 0)</f>
        <v>67000</v>
      </c>
      <c r="Q543">
        <f>Table1_2[SL Xuất] - Table1_2[SL Xuất KM]</f>
        <v>2</v>
      </c>
    </row>
    <row r="544" spans="1:17" x14ac:dyDescent="0.25">
      <c r="A544">
        <v>543</v>
      </c>
      <c r="B544" t="s">
        <v>947</v>
      </c>
      <c r="C544" t="s">
        <v>948</v>
      </c>
      <c r="D544" t="s">
        <v>13</v>
      </c>
      <c r="E544">
        <v>122000</v>
      </c>
      <c r="F544">
        <v>0</v>
      </c>
      <c r="G544">
        <v>10</v>
      </c>
      <c r="H544">
        <v>140000</v>
      </c>
      <c r="I544">
        <v>18000</v>
      </c>
      <c r="J544" s="1">
        <v>45234</v>
      </c>
      <c r="K544" t="s">
        <v>1151</v>
      </c>
      <c r="L544">
        <v>11</v>
      </c>
      <c r="M544">
        <v>2023</v>
      </c>
      <c r="N544">
        <f t="shared" si="8"/>
        <v>-104000</v>
      </c>
      <c r="O544" s="19">
        <f>IF(Table1_2[Tiền Nhập]&lt;&gt;0, Table1_2[Lợi Nhuận Gộp]/Table1_2[Tiền Nhập], 0)</f>
        <v>-0.85245901639344257</v>
      </c>
      <c r="P544">
        <f>IF(Table1_2[SL Xuất]&gt;0, Table1_2[Tiền Xuất]/Table1_2[SL Xuất], 0)</f>
        <v>14000</v>
      </c>
      <c r="Q544">
        <f>Table1_2[SL Xuất] - Table1_2[SL Xuất KM]</f>
        <v>10</v>
      </c>
    </row>
    <row r="545" spans="1:17" x14ac:dyDescent="0.25">
      <c r="A545">
        <v>544</v>
      </c>
      <c r="B545" t="s">
        <v>1152</v>
      </c>
      <c r="C545" t="s">
        <v>1153</v>
      </c>
      <c r="D545" t="s">
        <v>88</v>
      </c>
      <c r="E545">
        <v>114400</v>
      </c>
      <c r="F545">
        <v>0</v>
      </c>
      <c r="G545">
        <v>2</v>
      </c>
      <c r="H545">
        <v>134000</v>
      </c>
      <c r="I545">
        <v>19600</v>
      </c>
      <c r="J545" s="1">
        <v>45234</v>
      </c>
      <c r="K545" t="s">
        <v>1161</v>
      </c>
      <c r="L545">
        <v>11</v>
      </c>
      <c r="M545">
        <v>2023</v>
      </c>
      <c r="N545">
        <f t="shared" si="8"/>
        <v>-94800</v>
      </c>
      <c r="O545" s="19">
        <f>IF(Table1_2[Tiền Nhập]&lt;&gt;0, Table1_2[Lợi Nhuận Gộp]/Table1_2[Tiền Nhập], 0)</f>
        <v>-0.82867132867132864</v>
      </c>
      <c r="P545">
        <f>IF(Table1_2[SL Xuất]&gt;0, Table1_2[Tiền Xuất]/Table1_2[SL Xuất], 0)</f>
        <v>67000</v>
      </c>
      <c r="Q545">
        <f>Table1_2[SL Xuất] - Table1_2[SL Xuất KM]</f>
        <v>2</v>
      </c>
    </row>
    <row r="546" spans="1:17" x14ac:dyDescent="0.25">
      <c r="A546">
        <v>545</v>
      </c>
      <c r="B546" t="s">
        <v>1157</v>
      </c>
      <c r="C546" t="s">
        <v>1158</v>
      </c>
      <c r="D546" t="s">
        <v>88</v>
      </c>
      <c r="E546">
        <v>114400</v>
      </c>
      <c r="F546">
        <v>0</v>
      </c>
      <c r="G546">
        <v>2</v>
      </c>
      <c r="H546">
        <v>134000</v>
      </c>
      <c r="I546">
        <v>19600</v>
      </c>
      <c r="J546" s="1">
        <v>45234</v>
      </c>
      <c r="K546" t="s">
        <v>1161</v>
      </c>
      <c r="L546">
        <v>11</v>
      </c>
      <c r="M546">
        <v>2023</v>
      </c>
      <c r="N546">
        <f t="shared" si="8"/>
        <v>-94800</v>
      </c>
      <c r="O546" s="19">
        <f>IF(Table1_2[Tiền Nhập]&lt;&gt;0, Table1_2[Lợi Nhuận Gộp]/Table1_2[Tiền Nhập], 0)</f>
        <v>-0.82867132867132864</v>
      </c>
      <c r="P546">
        <f>IF(Table1_2[SL Xuất]&gt;0, Table1_2[Tiền Xuất]/Table1_2[SL Xuất], 0)</f>
        <v>67000</v>
      </c>
      <c r="Q546">
        <f>Table1_2[SL Xuất] - Table1_2[SL Xuất KM]</f>
        <v>2</v>
      </c>
    </row>
    <row r="547" spans="1:17" x14ac:dyDescent="0.25">
      <c r="A547">
        <v>546</v>
      </c>
      <c r="B547" t="s">
        <v>1159</v>
      </c>
      <c r="C547" t="s">
        <v>1160</v>
      </c>
      <c r="D547" t="s">
        <v>88</v>
      </c>
      <c r="E547">
        <v>114400</v>
      </c>
      <c r="F547">
        <v>0</v>
      </c>
      <c r="G547">
        <v>2</v>
      </c>
      <c r="H547">
        <v>134000</v>
      </c>
      <c r="I547">
        <v>19600</v>
      </c>
      <c r="J547" s="1">
        <v>45234</v>
      </c>
      <c r="K547" t="s">
        <v>1161</v>
      </c>
      <c r="L547">
        <v>11</v>
      </c>
      <c r="M547">
        <v>2023</v>
      </c>
      <c r="N547">
        <f t="shared" si="8"/>
        <v>-94800</v>
      </c>
      <c r="O547" s="19">
        <f>IF(Table1_2[Tiền Nhập]&lt;&gt;0, Table1_2[Lợi Nhuận Gộp]/Table1_2[Tiền Nhập], 0)</f>
        <v>-0.82867132867132864</v>
      </c>
      <c r="P547">
        <f>IF(Table1_2[SL Xuất]&gt;0, Table1_2[Tiền Xuất]/Table1_2[SL Xuất], 0)</f>
        <v>67000</v>
      </c>
      <c r="Q547">
        <f>Table1_2[SL Xuất] - Table1_2[SL Xuất KM]</f>
        <v>2</v>
      </c>
    </row>
    <row r="548" spans="1:17" x14ac:dyDescent="0.25">
      <c r="A548">
        <v>547</v>
      </c>
      <c r="B548" t="s">
        <v>922</v>
      </c>
      <c r="C548" t="s">
        <v>923</v>
      </c>
      <c r="D548" t="s">
        <v>85</v>
      </c>
      <c r="E548">
        <v>0</v>
      </c>
      <c r="F548">
        <v>0</v>
      </c>
      <c r="G548">
        <v>0</v>
      </c>
      <c r="H548">
        <v>0</v>
      </c>
      <c r="I548">
        <v>0</v>
      </c>
      <c r="J548" s="1">
        <v>45234</v>
      </c>
      <c r="K548" t="s">
        <v>119</v>
      </c>
      <c r="L548">
        <v>11</v>
      </c>
      <c r="M548">
        <v>2023</v>
      </c>
      <c r="N548">
        <f t="shared" si="8"/>
        <v>0</v>
      </c>
      <c r="O548" s="19">
        <f>IF(Table1_2[Tiền Nhập]&lt;&gt;0, Table1_2[Lợi Nhuận Gộp]/Table1_2[Tiền Nhập], 0)</f>
        <v>0</v>
      </c>
      <c r="P548">
        <f>IF(Table1_2[SL Xuất]&gt;0, Table1_2[Tiền Xuất]/Table1_2[SL Xuất], 0)</f>
        <v>0</v>
      </c>
      <c r="Q548">
        <f>Table1_2[SL Xuất] - Table1_2[SL Xuất KM]</f>
        <v>0</v>
      </c>
    </row>
    <row r="549" spans="1:17" x14ac:dyDescent="0.25">
      <c r="A549">
        <v>548</v>
      </c>
      <c r="B549" t="s">
        <v>683</v>
      </c>
      <c r="C549" t="s">
        <v>684</v>
      </c>
      <c r="D549" t="s">
        <v>45</v>
      </c>
      <c r="E549">
        <v>0</v>
      </c>
      <c r="F549">
        <v>0</v>
      </c>
      <c r="G549">
        <v>0</v>
      </c>
      <c r="H549">
        <v>0</v>
      </c>
      <c r="I549">
        <v>0</v>
      </c>
      <c r="J549" s="1">
        <v>45234</v>
      </c>
      <c r="K549" t="s">
        <v>119</v>
      </c>
      <c r="L549">
        <v>11</v>
      </c>
      <c r="M549">
        <v>2023</v>
      </c>
      <c r="N549">
        <f t="shared" si="8"/>
        <v>0</v>
      </c>
      <c r="O549" s="19">
        <f>IF(Table1_2[Tiền Nhập]&lt;&gt;0, Table1_2[Lợi Nhuận Gộp]/Table1_2[Tiền Nhập], 0)</f>
        <v>0</v>
      </c>
      <c r="P549">
        <f>IF(Table1_2[SL Xuất]&gt;0, Table1_2[Tiền Xuất]/Table1_2[SL Xuất], 0)</f>
        <v>0</v>
      </c>
      <c r="Q549">
        <f>Table1_2[SL Xuất] - Table1_2[SL Xuất KM]</f>
        <v>0</v>
      </c>
    </row>
    <row r="550" spans="1:17" x14ac:dyDescent="0.25">
      <c r="A550">
        <v>549</v>
      </c>
      <c r="B550" t="s">
        <v>717</v>
      </c>
      <c r="C550" t="s">
        <v>718</v>
      </c>
      <c r="D550" t="s">
        <v>88</v>
      </c>
      <c r="E550">
        <v>543600</v>
      </c>
      <c r="F550">
        <v>0</v>
      </c>
      <c r="G550">
        <v>12</v>
      </c>
      <c r="H550">
        <v>600000</v>
      </c>
      <c r="I550">
        <v>56400</v>
      </c>
      <c r="J550" s="1">
        <v>45234</v>
      </c>
      <c r="K550" t="s">
        <v>119</v>
      </c>
      <c r="L550">
        <v>11</v>
      </c>
      <c r="M550">
        <v>2023</v>
      </c>
      <c r="N550">
        <f t="shared" si="8"/>
        <v>-487200</v>
      </c>
      <c r="O550" s="19">
        <f>IF(Table1_2[Tiền Nhập]&lt;&gt;0, Table1_2[Lợi Nhuận Gộp]/Table1_2[Tiền Nhập], 0)</f>
        <v>-0.89624724061810157</v>
      </c>
      <c r="P550">
        <f>IF(Table1_2[SL Xuất]&gt;0, Table1_2[Tiền Xuất]/Table1_2[SL Xuất], 0)</f>
        <v>50000</v>
      </c>
      <c r="Q550">
        <f>Table1_2[SL Xuất] - Table1_2[SL Xuất KM]</f>
        <v>12</v>
      </c>
    </row>
    <row r="551" spans="1:17" x14ac:dyDescent="0.25">
      <c r="A551">
        <v>550</v>
      </c>
      <c r="B551" t="s">
        <v>753</v>
      </c>
      <c r="C551" t="s">
        <v>754</v>
      </c>
      <c r="D551" t="s">
        <v>88</v>
      </c>
      <c r="E551">
        <v>815400</v>
      </c>
      <c r="F551">
        <v>0</v>
      </c>
      <c r="G551">
        <v>18</v>
      </c>
      <c r="H551">
        <v>900000</v>
      </c>
      <c r="I551">
        <v>84600</v>
      </c>
      <c r="J551" s="1">
        <v>45234</v>
      </c>
      <c r="K551" t="s">
        <v>119</v>
      </c>
      <c r="L551">
        <v>11</v>
      </c>
      <c r="M551">
        <v>2023</v>
      </c>
      <c r="N551">
        <f t="shared" si="8"/>
        <v>-730800</v>
      </c>
      <c r="O551" s="19">
        <f>IF(Table1_2[Tiền Nhập]&lt;&gt;0, Table1_2[Lợi Nhuận Gộp]/Table1_2[Tiền Nhập], 0)</f>
        <v>-0.89624724061810157</v>
      </c>
      <c r="P551">
        <f>IF(Table1_2[SL Xuất]&gt;0, Table1_2[Tiền Xuất]/Table1_2[SL Xuất], 0)</f>
        <v>50000</v>
      </c>
      <c r="Q551">
        <f>Table1_2[SL Xuất] - Table1_2[SL Xuất KM]</f>
        <v>18</v>
      </c>
    </row>
    <row r="552" spans="1:17" x14ac:dyDescent="0.25">
      <c r="A552">
        <v>551</v>
      </c>
      <c r="B552" t="s">
        <v>757</v>
      </c>
      <c r="C552" t="s">
        <v>758</v>
      </c>
      <c r="D552" t="s">
        <v>88</v>
      </c>
      <c r="E552">
        <v>815400</v>
      </c>
      <c r="F552">
        <v>0</v>
      </c>
      <c r="G552">
        <v>18</v>
      </c>
      <c r="H552">
        <v>900000</v>
      </c>
      <c r="I552">
        <v>84600</v>
      </c>
      <c r="J552" s="1">
        <v>45234</v>
      </c>
      <c r="K552" t="s">
        <v>119</v>
      </c>
      <c r="L552">
        <v>11</v>
      </c>
      <c r="M552">
        <v>2023</v>
      </c>
      <c r="N552">
        <f t="shared" si="8"/>
        <v>-730800</v>
      </c>
      <c r="O552" s="19">
        <f>IF(Table1_2[Tiền Nhập]&lt;&gt;0, Table1_2[Lợi Nhuận Gộp]/Table1_2[Tiền Nhập], 0)</f>
        <v>-0.89624724061810157</v>
      </c>
      <c r="P552">
        <f>IF(Table1_2[SL Xuất]&gt;0, Table1_2[Tiền Xuất]/Table1_2[SL Xuất], 0)</f>
        <v>50000</v>
      </c>
      <c r="Q552">
        <f>Table1_2[SL Xuất] - Table1_2[SL Xuất KM]</f>
        <v>18</v>
      </c>
    </row>
    <row r="553" spans="1:17" x14ac:dyDescent="0.25">
      <c r="A553">
        <v>552</v>
      </c>
      <c r="B553" t="s">
        <v>701</v>
      </c>
      <c r="C553" t="s">
        <v>702</v>
      </c>
      <c r="D553" t="s">
        <v>45</v>
      </c>
      <c r="E553">
        <v>0</v>
      </c>
      <c r="F553">
        <v>1</v>
      </c>
      <c r="G553">
        <v>0</v>
      </c>
      <c r="H553">
        <v>-282000</v>
      </c>
      <c r="I553">
        <v>-282000</v>
      </c>
      <c r="J553" s="1">
        <v>45234</v>
      </c>
      <c r="K553" t="s">
        <v>119</v>
      </c>
      <c r="L553">
        <v>11</v>
      </c>
      <c r="M553">
        <v>2023</v>
      </c>
      <c r="N553">
        <f t="shared" si="8"/>
        <v>-282000</v>
      </c>
      <c r="O553" s="19">
        <f>IF(Table1_2[Tiền Nhập]&lt;&gt;0, Table1_2[Lợi Nhuận Gộp]/Table1_2[Tiền Nhập], 0)</f>
        <v>0</v>
      </c>
      <c r="P553">
        <f>IF(Table1_2[SL Xuất]&gt;0, Table1_2[Tiền Xuất]/Table1_2[SL Xuất], 0)</f>
        <v>0</v>
      </c>
      <c r="Q553">
        <f>Table1_2[SL Xuất] - Table1_2[SL Xuất KM]</f>
        <v>-1</v>
      </c>
    </row>
    <row r="554" spans="1:17" x14ac:dyDescent="0.25">
      <c r="A554">
        <v>553</v>
      </c>
      <c r="B554" t="s">
        <v>1166</v>
      </c>
      <c r="C554" t="s">
        <v>1167</v>
      </c>
      <c r="D554" t="s">
        <v>88</v>
      </c>
      <c r="E554">
        <v>125400</v>
      </c>
      <c r="F554">
        <v>0</v>
      </c>
      <c r="G554">
        <v>3</v>
      </c>
      <c r="H554">
        <v>147000</v>
      </c>
      <c r="I554">
        <v>21600</v>
      </c>
      <c r="J554" s="1">
        <v>45234</v>
      </c>
      <c r="K554" t="s">
        <v>724</v>
      </c>
      <c r="L554">
        <v>11</v>
      </c>
      <c r="M554">
        <v>2023</v>
      </c>
      <c r="N554">
        <f t="shared" si="8"/>
        <v>-103800</v>
      </c>
      <c r="O554" s="19">
        <f>IF(Table1_2[Tiền Nhập]&lt;&gt;0, Table1_2[Lợi Nhuận Gộp]/Table1_2[Tiền Nhập], 0)</f>
        <v>-0.82775119617224879</v>
      </c>
      <c r="P554">
        <f>IF(Table1_2[SL Xuất]&gt;0, Table1_2[Tiền Xuất]/Table1_2[SL Xuất], 0)</f>
        <v>49000</v>
      </c>
      <c r="Q554">
        <f>Table1_2[SL Xuất] - Table1_2[SL Xuất KM]</f>
        <v>3</v>
      </c>
    </row>
    <row r="555" spans="1:17" x14ac:dyDescent="0.25">
      <c r="A555">
        <v>554</v>
      </c>
      <c r="B555" t="s">
        <v>1170</v>
      </c>
      <c r="C555" t="s">
        <v>1171</v>
      </c>
      <c r="D555" t="s">
        <v>88</v>
      </c>
      <c r="E555">
        <v>125400</v>
      </c>
      <c r="F555">
        <v>0</v>
      </c>
      <c r="G555">
        <v>3</v>
      </c>
      <c r="H555">
        <v>147000</v>
      </c>
      <c r="I555">
        <v>21600</v>
      </c>
      <c r="J555" s="1">
        <v>45234</v>
      </c>
      <c r="K555" t="s">
        <v>724</v>
      </c>
      <c r="L555">
        <v>11</v>
      </c>
      <c r="M555">
        <v>2023</v>
      </c>
      <c r="N555">
        <f t="shared" si="8"/>
        <v>-103800</v>
      </c>
      <c r="O555" s="19">
        <f>IF(Table1_2[Tiền Nhập]&lt;&gt;0, Table1_2[Lợi Nhuận Gộp]/Table1_2[Tiền Nhập], 0)</f>
        <v>-0.82775119617224879</v>
      </c>
      <c r="P555">
        <f>IF(Table1_2[SL Xuất]&gt;0, Table1_2[Tiền Xuất]/Table1_2[SL Xuất], 0)</f>
        <v>49000</v>
      </c>
      <c r="Q555">
        <f>Table1_2[SL Xuất] - Table1_2[SL Xuất KM]</f>
        <v>3</v>
      </c>
    </row>
    <row r="556" spans="1:17" x14ac:dyDescent="0.25">
      <c r="A556">
        <v>555</v>
      </c>
      <c r="B556" t="s">
        <v>251</v>
      </c>
      <c r="C556" t="s">
        <v>252</v>
      </c>
      <c r="D556" t="s">
        <v>88</v>
      </c>
      <c r="E556">
        <v>0</v>
      </c>
      <c r="F556">
        <v>6</v>
      </c>
      <c r="G556">
        <v>0</v>
      </c>
      <c r="H556">
        <v>-654000</v>
      </c>
      <c r="I556">
        <v>-654000</v>
      </c>
      <c r="J556" s="1">
        <v>45234</v>
      </c>
      <c r="K556" t="s">
        <v>1172</v>
      </c>
      <c r="L556">
        <v>11</v>
      </c>
      <c r="M556">
        <v>2023</v>
      </c>
      <c r="N556">
        <f t="shared" si="8"/>
        <v>-654000</v>
      </c>
      <c r="O556" s="19">
        <f>IF(Table1_2[Tiền Nhập]&lt;&gt;0, Table1_2[Lợi Nhuận Gộp]/Table1_2[Tiền Nhập], 0)</f>
        <v>0</v>
      </c>
      <c r="P556">
        <f>IF(Table1_2[SL Xuất]&gt;0, Table1_2[Tiền Xuất]/Table1_2[SL Xuất], 0)</f>
        <v>0</v>
      </c>
      <c r="Q556">
        <f>Table1_2[SL Xuất] - Table1_2[SL Xuất KM]</f>
        <v>-6</v>
      </c>
    </row>
    <row r="557" spans="1:17" x14ac:dyDescent="0.25">
      <c r="A557">
        <v>556</v>
      </c>
      <c r="B557" t="s">
        <v>259</v>
      </c>
      <c r="C557" t="s">
        <v>260</v>
      </c>
      <c r="D557" t="s">
        <v>88</v>
      </c>
      <c r="E557">
        <v>600000</v>
      </c>
      <c r="F557">
        <v>0</v>
      </c>
      <c r="G557">
        <v>6</v>
      </c>
      <c r="H557">
        <v>1308000</v>
      </c>
      <c r="I557">
        <v>708000</v>
      </c>
      <c r="J557" s="1">
        <v>45234</v>
      </c>
      <c r="K557" t="s">
        <v>1172</v>
      </c>
      <c r="L557">
        <v>11</v>
      </c>
      <c r="M557">
        <v>2023</v>
      </c>
      <c r="N557">
        <f t="shared" si="8"/>
        <v>108000</v>
      </c>
      <c r="O557" s="19">
        <f>IF(Table1_2[Tiền Nhập]&lt;&gt;0, Table1_2[Lợi Nhuận Gộp]/Table1_2[Tiền Nhập], 0)</f>
        <v>0.18</v>
      </c>
      <c r="P557">
        <f>IF(Table1_2[SL Xuất]&gt;0, Table1_2[Tiền Xuất]/Table1_2[SL Xuất], 0)</f>
        <v>218000</v>
      </c>
      <c r="Q557">
        <f>Table1_2[SL Xuất] - Table1_2[SL Xuất KM]</f>
        <v>6</v>
      </c>
    </row>
    <row r="558" spans="1:17" x14ac:dyDescent="0.25">
      <c r="A558">
        <v>557</v>
      </c>
      <c r="B558" t="s">
        <v>251</v>
      </c>
      <c r="C558" t="s">
        <v>252</v>
      </c>
      <c r="D558" t="s">
        <v>88</v>
      </c>
      <c r="E558">
        <v>0</v>
      </c>
      <c r="F558">
        <v>3</v>
      </c>
      <c r="G558">
        <v>0</v>
      </c>
      <c r="H558">
        <v>-327000</v>
      </c>
      <c r="I558">
        <v>-327000</v>
      </c>
      <c r="J558" s="1">
        <v>45234</v>
      </c>
      <c r="K558" t="s">
        <v>1173</v>
      </c>
      <c r="L558">
        <v>11</v>
      </c>
      <c r="M558">
        <v>2023</v>
      </c>
      <c r="N558">
        <f t="shared" si="8"/>
        <v>-327000</v>
      </c>
      <c r="O558" s="19">
        <f>IF(Table1_2[Tiền Nhập]&lt;&gt;0, Table1_2[Lợi Nhuận Gộp]/Table1_2[Tiền Nhập], 0)</f>
        <v>0</v>
      </c>
      <c r="P558">
        <f>IF(Table1_2[SL Xuất]&gt;0, Table1_2[Tiền Xuất]/Table1_2[SL Xuất], 0)</f>
        <v>0</v>
      </c>
      <c r="Q558">
        <f>Table1_2[SL Xuất] - Table1_2[SL Xuất KM]</f>
        <v>-3</v>
      </c>
    </row>
    <row r="559" spans="1:17" x14ac:dyDescent="0.25">
      <c r="A559">
        <v>558</v>
      </c>
      <c r="B559" t="s">
        <v>259</v>
      </c>
      <c r="C559" t="s">
        <v>260</v>
      </c>
      <c r="D559" t="s">
        <v>88</v>
      </c>
      <c r="E559">
        <v>300000</v>
      </c>
      <c r="F559">
        <v>0</v>
      </c>
      <c r="G559">
        <v>3</v>
      </c>
      <c r="H559">
        <v>654000</v>
      </c>
      <c r="I559">
        <v>354000</v>
      </c>
      <c r="J559" s="1">
        <v>45234</v>
      </c>
      <c r="K559" t="s">
        <v>1173</v>
      </c>
      <c r="L559">
        <v>11</v>
      </c>
      <c r="M559">
        <v>2023</v>
      </c>
      <c r="N559">
        <f t="shared" si="8"/>
        <v>54000</v>
      </c>
      <c r="O559" s="19">
        <f>IF(Table1_2[Tiền Nhập]&lt;&gt;0, Table1_2[Lợi Nhuận Gộp]/Table1_2[Tiền Nhập], 0)</f>
        <v>0.18</v>
      </c>
      <c r="P559">
        <f>IF(Table1_2[SL Xuất]&gt;0, Table1_2[Tiền Xuất]/Table1_2[SL Xuất], 0)</f>
        <v>218000</v>
      </c>
      <c r="Q559">
        <f>Table1_2[SL Xuất] - Table1_2[SL Xuất KM]</f>
        <v>3</v>
      </c>
    </row>
    <row r="560" spans="1:17" x14ac:dyDescent="0.25">
      <c r="A560">
        <v>559</v>
      </c>
      <c r="B560" t="s">
        <v>281</v>
      </c>
      <c r="C560" t="s">
        <v>282</v>
      </c>
      <c r="D560" t="s">
        <v>85</v>
      </c>
      <c r="E560">
        <v>150000</v>
      </c>
      <c r="F560">
        <v>0</v>
      </c>
      <c r="G560">
        <v>4</v>
      </c>
      <c r="H560">
        <v>168000</v>
      </c>
      <c r="I560">
        <v>18000</v>
      </c>
      <c r="J560" s="1">
        <v>45234</v>
      </c>
      <c r="K560" t="s">
        <v>1173</v>
      </c>
      <c r="L560">
        <v>11</v>
      </c>
      <c r="M560">
        <v>2023</v>
      </c>
      <c r="N560">
        <f t="shared" si="8"/>
        <v>-132000</v>
      </c>
      <c r="O560" s="19">
        <f>IF(Table1_2[Tiền Nhập]&lt;&gt;0, Table1_2[Lợi Nhuận Gộp]/Table1_2[Tiền Nhập], 0)</f>
        <v>-0.88</v>
      </c>
      <c r="P560">
        <f>IF(Table1_2[SL Xuất]&gt;0, Table1_2[Tiền Xuất]/Table1_2[SL Xuất], 0)</f>
        <v>42000</v>
      </c>
      <c r="Q560">
        <f>Table1_2[SL Xuất] - Table1_2[SL Xuất KM]</f>
        <v>4</v>
      </c>
    </row>
    <row r="561" spans="1:17" x14ac:dyDescent="0.25">
      <c r="A561">
        <v>560</v>
      </c>
      <c r="B561" t="s">
        <v>947</v>
      </c>
      <c r="C561" t="s">
        <v>948</v>
      </c>
      <c r="D561" t="s">
        <v>13</v>
      </c>
      <c r="E561">
        <v>122000</v>
      </c>
      <c r="F561">
        <v>0</v>
      </c>
      <c r="G561">
        <v>10</v>
      </c>
      <c r="H561">
        <v>140000</v>
      </c>
      <c r="I561">
        <v>18000</v>
      </c>
      <c r="J561" s="1">
        <v>45234</v>
      </c>
      <c r="K561" t="s">
        <v>1173</v>
      </c>
      <c r="L561">
        <v>11</v>
      </c>
      <c r="M561">
        <v>2023</v>
      </c>
      <c r="N561">
        <f t="shared" si="8"/>
        <v>-104000</v>
      </c>
      <c r="O561" s="19">
        <f>IF(Table1_2[Tiền Nhập]&lt;&gt;0, Table1_2[Lợi Nhuận Gộp]/Table1_2[Tiền Nhập], 0)</f>
        <v>-0.85245901639344257</v>
      </c>
      <c r="P561">
        <f>IF(Table1_2[SL Xuất]&gt;0, Table1_2[Tiền Xuất]/Table1_2[SL Xuất], 0)</f>
        <v>14000</v>
      </c>
      <c r="Q561">
        <f>Table1_2[SL Xuất] - Table1_2[SL Xuất KM]</f>
        <v>10</v>
      </c>
    </row>
    <row r="562" spans="1:17" x14ac:dyDescent="0.25">
      <c r="A562">
        <v>561</v>
      </c>
      <c r="B562" t="s">
        <v>502</v>
      </c>
      <c r="C562" t="s">
        <v>503</v>
      </c>
      <c r="D562" t="s">
        <v>220</v>
      </c>
      <c r="E562">
        <v>63000</v>
      </c>
      <c r="F562">
        <v>0</v>
      </c>
      <c r="G562">
        <v>1</v>
      </c>
      <c r="H562">
        <v>72000</v>
      </c>
      <c r="I562">
        <v>9000</v>
      </c>
      <c r="J562" s="1">
        <v>45234</v>
      </c>
      <c r="K562" t="s">
        <v>1174</v>
      </c>
      <c r="L562">
        <v>11</v>
      </c>
      <c r="M562">
        <v>2023</v>
      </c>
      <c r="N562">
        <f t="shared" si="8"/>
        <v>-54000</v>
      </c>
      <c r="O562" s="19">
        <f>IF(Table1_2[Tiền Nhập]&lt;&gt;0, Table1_2[Lợi Nhuận Gộp]/Table1_2[Tiền Nhập], 0)</f>
        <v>-0.8571428571428571</v>
      </c>
      <c r="P562">
        <f>IF(Table1_2[SL Xuất]&gt;0, Table1_2[Tiền Xuất]/Table1_2[SL Xuất], 0)</f>
        <v>72000</v>
      </c>
      <c r="Q562">
        <f>Table1_2[SL Xuất] - Table1_2[SL Xuất KM]</f>
        <v>1</v>
      </c>
    </row>
    <row r="563" spans="1:17" x14ac:dyDescent="0.25">
      <c r="A563">
        <v>562</v>
      </c>
      <c r="B563" t="s">
        <v>147</v>
      </c>
      <c r="C563" t="s">
        <v>148</v>
      </c>
      <c r="D563" t="s">
        <v>149</v>
      </c>
      <c r="E563">
        <v>165000</v>
      </c>
      <c r="F563">
        <v>0</v>
      </c>
      <c r="G563">
        <v>30</v>
      </c>
      <c r="H563">
        <v>200000</v>
      </c>
      <c r="I563">
        <v>35000</v>
      </c>
      <c r="J563" s="1">
        <v>45234</v>
      </c>
      <c r="K563" t="s">
        <v>1174</v>
      </c>
      <c r="L563">
        <v>11</v>
      </c>
      <c r="M563">
        <v>2023</v>
      </c>
      <c r="N563">
        <f t="shared" si="8"/>
        <v>-130000</v>
      </c>
      <c r="O563" s="19">
        <f>IF(Table1_2[Tiền Nhập]&lt;&gt;0, Table1_2[Lợi Nhuận Gộp]/Table1_2[Tiền Nhập], 0)</f>
        <v>-0.78787878787878785</v>
      </c>
      <c r="P563">
        <f>IF(Table1_2[SL Xuất]&gt;0, Table1_2[Tiền Xuất]/Table1_2[SL Xuất], 0)</f>
        <v>6666.666666666667</v>
      </c>
      <c r="Q563">
        <f>Table1_2[SL Xuất] - Table1_2[SL Xuất KM]</f>
        <v>30</v>
      </c>
    </row>
    <row r="564" spans="1:17" x14ac:dyDescent="0.25">
      <c r="A564">
        <v>563</v>
      </c>
      <c r="B564" t="s">
        <v>1152</v>
      </c>
      <c r="C564" t="s">
        <v>1153</v>
      </c>
      <c r="D564" t="s">
        <v>88</v>
      </c>
      <c r="E564">
        <v>114400</v>
      </c>
      <c r="F564">
        <v>0</v>
      </c>
      <c r="G564">
        <v>2</v>
      </c>
      <c r="H564">
        <v>134000</v>
      </c>
      <c r="I564">
        <v>19600</v>
      </c>
      <c r="J564" s="1">
        <v>45234</v>
      </c>
      <c r="K564" t="s">
        <v>525</v>
      </c>
      <c r="L564">
        <v>11</v>
      </c>
      <c r="M564">
        <v>2023</v>
      </c>
      <c r="N564">
        <f t="shared" si="8"/>
        <v>-94800</v>
      </c>
      <c r="O564" s="19">
        <f>IF(Table1_2[Tiền Nhập]&lt;&gt;0, Table1_2[Lợi Nhuận Gộp]/Table1_2[Tiền Nhập], 0)</f>
        <v>-0.82867132867132864</v>
      </c>
      <c r="P564">
        <f>IF(Table1_2[SL Xuất]&gt;0, Table1_2[Tiền Xuất]/Table1_2[SL Xuất], 0)</f>
        <v>67000</v>
      </c>
      <c r="Q564">
        <f>Table1_2[SL Xuất] - Table1_2[SL Xuất KM]</f>
        <v>2</v>
      </c>
    </row>
    <row r="565" spans="1:17" x14ac:dyDescent="0.25">
      <c r="A565">
        <v>564</v>
      </c>
      <c r="B565" t="s">
        <v>1157</v>
      </c>
      <c r="C565" t="s">
        <v>1158</v>
      </c>
      <c r="D565" t="s">
        <v>88</v>
      </c>
      <c r="E565">
        <v>114400</v>
      </c>
      <c r="F565">
        <v>0</v>
      </c>
      <c r="G565">
        <v>2</v>
      </c>
      <c r="H565">
        <v>134000</v>
      </c>
      <c r="I565">
        <v>19600</v>
      </c>
      <c r="J565" s="1">
        <v>45234</v>
      </c>
      <c r="K565" t="s">
        <v>525</v>
      </c>
      <c r="L565">
        <v>11</v>
      </c>
      <c r="M565">
        <v>2023</v>
      </c>
      <c r="N565">
        <f t="shared" si="8"/>
        <v>-94800</v>
      </c>
      <c r="O565" s="19">
        <f>IF(Table1_2[Tiền Nhập]&lt;&gt;0, Table1_2[Lợi Nhuận Gộp]/Table1_2[Tiền Nhập], 0)</f>
        <v>-0.82867132867132864</v>
      </c>
      <c r="P565">
        <f>IF(Table1_2[SL Xuất]&gt;0, Table1_2[Tiền Xuất]/Table1_2[SL Xuất], 0)</f>
        <v>67000</v>
      </c>
      <c r="Q565">
        <f>Table1_2[SL Xuất] - Table1_2[SL Xuất KM]</f>
        <v>2</v>
      </c>
    </row>
    <row r="566" spans="1:17" x14ac:dyDescent="0.25">
      <c r="A566">
        <v>565</v>
      </c>
      <c r="B566" t="s">
        <v>1159</v>
      </c>
      <c r="C566" t="s">
        <v>1160</v>
      </c>
      <c r="D566" t="s">
        <v>88</v>
      </c>
      <c r="E566">
        <v>57200</v>
      </c>
      <c r="F566">
        <v>0</v>
      </c>
      <c r="G566">
        <v>1</v>
      </c>
      <c r="H566">
        <v>67000</v>
      </c>
      <c r="I566">
        <v>9800</v>
      </c>
      <c r="J566" s="1">
        <v>45234</v>
      </c>
      <c r="K566" t="s">
        <v>525</v>
      </c>
      <c r="L566">
        <v>11</v>
      </c>
      <c r="M566">
        <v>2023</v>
      </c>
      <c r="N566">
        <f t="shared" si="8"/>
        <v>-47400</v>
      </c>
      <c r="O566" s="19">
        <f>IF(Table1_2[Tiền Nhập]&lt;&gt;0, Table1_2[Lợi Nhuận Gộp]/Table1_2[Tiền Nhập], 0)</f>
        <v>-0.82867132867132864</v>
      </c>
      <c r="P566">
        <f>IF(Table1_2[SL Xuất]&gt;0, Table1_2[Tiền Xuất]/Table1_2[SL Xuất], 0)</f>
        <v>67000</v>
      </c>
      <c r="Q566">
        <f>Table1_2[SL Xuất] - Table1_2[SL Xuất KM]</f>
        <v>1</v>
      </c>
    </row>
    <row r="567" spans="1:17" x14ac:dyDescent="0.25">
      <c r="A567">
        <v>566</v>
      </c>
      <c r="B567" t="s">
        <v>1177</v>
      </c>
      <c r="C567" t="s">
        <v>1178</v>
      </c>
      <c r="D567" t="s">
        <v>13</v>
      </c>
      <c r="E567">
        <v>0</v>
      </c>
      <c r="F567">
        <v>0</v>
      </c>
      <c r="G567">
        <v>0</v>
      </c>
      <c r="H567">
        <v>0</v>
      </c>
      <c r="I567">
        <v>0</v>
      </c>
      <c r="J567" s="1">
        <v>45234</v>
      </c>
      <c r="K567" t="s">
        <v>525</v>
      </c>
      <c r="L567">
        <v>11</v>
      </c>
      <c r="M567">
        <v>2023</v>
      </c>
      <c r="N567">
        <f t="shared" si="8"/>
        <v>0</v>
      </c>
      <c r="O567" s="19">
        <f>IF(Table1_2[Tiền Nhập]&lt;&gt;0, Table1_2[Lợi Nhuận Gộp]/Table1_2[Tiền Nhập], 0)</f>
        <v>0</v>
      </c>
      <c r="P567">
        <f>IF(Table1_2[SL Xuất]&gt;0, Table1_2[Tiền Xuất]/Table1_2[SL Xuất], 0)</f>
        <v>0</v>
      </c>
      <c r="Q567">
        <f>Table1_2[SL Xuất] - Table1_2[SL Xuất KM]</f>
        <v>0</v>
      </c>
    </row>
    <row r="568" spans="1:17" x14ac:dyDescent="0.25">
      <c r="A568">
        <v>567</v>
      </c>
      <c r="B568" t="s">
        <v>540</v>
      </c>
      <c r="C568" t="s">
        <v>541</v>
      </c>
      <c r="D568" t="s">
        <v>339</v>
      </c>
      <c r="E568">
        <v>2548800</v>
      </c>
      <c r="F568">
        <v>0</v>
      </c>
      <c r="G568">
        <v>12</v>
      </c>
      <c r="H568">
        <v>2865600</v>
      </c>
      <c r="I568">
        <v>316800</v>
      </c>
      <c r="J568" s="1">
        <v>45236</v>
      </c>
      <c r="K568" t="s">
        <v>166</v>
      </c>
      <c r="L568">
        <v>11</v>
      </c>
      <c r="M568">
        <v>2023</v>
      </c>
      <c r="N568">
        <f t="shared" si="8"/>
        <v>-2232000</v>
      </c>
      <c r="O568" s="19">
        <f>IF(Table1_2[Tiền Nhập]&lt;&gt;0, Table1_2[Lợi Nhuận Gộp]/Table1_2[Tiền Nhập], 0)</f>
        <v>-0.87570621468926557</v>
      </c>
      <c r="P568">
        <f>IF(Table1_2[SL Xuất]&gt;0, Table1_2[Tiền Xuất]/Table1_2[SL Xuất], 0)</f>
        <v>238800</v>
      </c>
      <c r="Q568">
        <f>Table1_2[SL Xuất] - Table1_2[SL Xuất KM]</f>
        <v>12</v>
      </c>
    </row>
    <row r="569" spans="1:17" x14ac:dyDescent="0.25">
      <c r="A569">
        <v>568</v>
      </c>
      <c r="B569" t="s">
        <v>793</v>
      </c>
      <c r="C569" t="s">
        <v>794</v>
      </c>
      <c r="D569" t="s">
        <v>13</v>
      </c>
      <c r="E569">
        <v>3360000</v>
      </c>
      <c r="F569">
        <v>0</v>
      </c>
      <c r="G569">
        <v>70</v>
      </c>
      <c r="H569">
        <v>2912000</v>
      </c>
      <c r="I569">
        <v>-448000</v>
      </c>
      <c r="J569" s="1">
        <v>45236</v>
      </c>
      <c r="K569" t="s">
        <v>553</v>
      </c>
      <c r="L569">
        <v>11</v>
      </c>
      <c r="M569">
        <v>2023</v>
      </c>
      <c r="N569">
        <f t="shared" si="8"/>
        <v>-3808000</v>
      </c>
      <c r="O569" s="19">
        <f>IF(Table1_2[Tiền Nhập]&lt;&gt;0, Table1_2[Lợi Nhuận Gộp]/Table1_2[Tiền Nhập], 0)</f>
        <v>-1.1333333333333333</v>
      </c>
      <c r="P569">
        <f>IF(Table1_2[SL Xuất]&gt;0, Table1_2[Tiền Xuất]/Table1_2[SL Xuất], 0)</f>
        <v>41600</v>
      </c>
      <c r="Q569">
        <f>Table1_2[SL Xuất] - Table1_2[SL Xuất KM]</f>
        <v>70</v>
      </c>
    </row>
    <row r="570" spans="1:17" x14ac:dyDescent="0.25">
      <c r="A570">
        <v>569</v>
      </c>
      <c r="B570" t="s">
        <v>613</v>
      </c>
      <c r="C570" t="s">
        <v>614</v>
      </c>
      <c r="D570" t="s">
        <v>88</v>
      </c>
      <c r="E570">
        <v>42084</v>
      </c>
      <c r="F570">
        <v>0</v>
      </c>
      <c r="G570">
        <v>1</v>
      </c>
      <c r="H570">
        <v>48000</v>
      </c>
      <c r="I570">
        <v>5916</v>
      </c>
      <c r="J570" s="1">
        <v>45236</v>
      </c>
      <c r="K570" t="s">
        <v>329</v>
      </c>
      <c r="L570">
        <v>11</v>
      </c>
      <c r="M570">
        <v>2023</v>
      </c>
      <c r="N570">
        <f t="shared" si="8"/>
        <v>-36168</v>
      </c>
      <c r="O570" s="19">
        <f>IF(Table1_2[Tiền Nhập]&lt;&gt;0, Table1_2[Lợi Nhuận Gộp]/Table1_2[Tiền Nhập], 0)</f>
        <v>-0.85942400912460792</v>
      </c>
      <c r="P570">
        <f>IF(Table1_2[SL Xuất]&gt;0, Table1_2[Tiền Xuất]/Table1_2[SL Xuất], 0)</f>
        <v>48000</v>
      </c>
      <c r="Q570">
        <f>Table1_2[SL Xuất] - Table1_2[SL Xuất KM]</f>
        <v>1</v>
      </c>
    </row>
    <row r="571" spans="1:17" x14ac:dyDescent="0.25">
      <c r="A571">
        <v>570</v>
      </c>
      <c r="B571" t="s">
        <v>618</v>
      </c>
      <c r="C571" t="s">
        <v>619</v>
      </c>
      <c r="D571" t="s">
        <v>88</v>
      </c>
      <c r="E571">
        <v>42084</v>
      </c>
      <c r="F571">
        <v>0</v>
      </c>
      <c r="G571">
        <v>1</v>
      </c>
      <c r="H571">
        <v>48000</v>
      </c>
      <c r="I571">
        <v>5916</v>
      </c>
      <c r="J571" s="1">
        <v>45236</v>
      </c>
      <c r="K571" t="s">
        <v>329</v>
      </c>
      <c r="L571">
        <v>11</v>
      </c>
      <c r="M571">
        <v>2023</v>
      </c>
      <c r="N571">
        <f t="shared" si="8"/>
        <v>-36168</v>
      </c>
      <c r="O571" s="19">
        <f>IF(Table1_2[Tiền Nhập]&lt;&gt;0, Table1_2[Lợi Nhuận Gộp]/Table1_2[Tiền Nhập], 0)</f>
        <v>-0.85942400912460792</v>
      </c>
      <c r="P571">
        <f>IF(Table1_2[SL Xuất]&gt;0, Table1_2[Tiền Xuất]/Table1_2[SL Xuất], 0)</f>
        <v>48000</v>
      </c>
      <c r="Q571">
        <f>Table1_2[SL Xuất] - Table1_2[SL Xuất KM]</f>
        <v>1</v>
      </c>
    </row>
    <row r="572" spans="1:17" x14ac:dyDescent="0.25">
      <c r="A572">
        <v>571</v>
      </c>
      <c r="B572" t="s">
        <v>1186</v>
      </c>
      <c r="C572" t="s">
        <v>1187</v>
      </c>
      <c r="D572" t="s">
        <v>88</v>
      </c>
      <c r="E572">
        <v>0</v>
      </c>
      <c r="F572">
        <v>0</v>
      </c>
      <c r="G572">
        <v>0</v>
      </c>
      <c r="H572">
        <v>0</v>
      </c>
      <c r="I572">
        <v>0</v>
      </c>
      <c r="J572" s="1">
        <v>45236</v>
      </c>
      <c r="K572" t="s">
        <v>329</v>
      </c>
      <c r="L572">
        <v>11</v>
      </c>
      <c r="M572">
        <v>2023</v>
      </c>
      <c r="N572">
        <f t="shared" si="8"/>
        <v>0</v>
      </c>
      <c r="O572" s="19">
        <f>IF(Table1_2[Tiền Nhập]&lt;&gt;0, Table1_2[Lợi Nhuận Gộp]/Table1_2[Tiền Nhập], 0)</f>
        <v>0</v>
      </c>
      <c r="P572">
        <f>IF(Table1_2[SL Xuất]&gt;0, Table1_2[Tiền Xuất]/Table1_2[SL Xuất], 0)</f>
        <v>0</v>
      </c>
      <c r="Q572">
        <f>Table1_2[SL Xuất] - Table1_2[SL Xuất KM]</f>
        <v>0</v>
      </c>
    </row>
    <row r="573" spans="1:17" x14ac:dyDescent="0.25">
      <c r="A573">
        <v>572</v>
      </c>
      <c r="B573" t="s">
        <v>753</v>
      </c>
      <c r="C573" t="s">
        <v>754</v>
      </c>
      <c r="D573" t="s">
        <v>88</v>
      </c>
      <c r="E573">
        <v>271800</v>
      </c>
      <c r="F573">
        <v>0</v>
      </c>
      <c r="G573">
        <v>6</v>
      </c>
      <c r="H573">
        <v>300000</v>
      </c>
      <c r="I573">
        <v>28200</v>
      </c>
      <c r="J573" s="1">
        <v>45236</v>
      </c>
      <c r="K573" t="s">
        <v>329</v>
      </c>
      <c r="L573">
        <v>11</v>
      </c>
      <c r="M573">
        <v>2023</v>
      </c>
      <c r="N573">
        <f t="shared" si="8"/>
        <v>-243600</v>
      </c>
      <c r="O573" s="19">
        <f>IF(Table1_2[Tiền Nhập]&lt;&gt;0, Table1_2[Lợi Nhuận Gộp]/Table1_2[Tiền Nhập], 0)</f>
        <v>-0.89624724061810157</v>
      </c>
      <c r="P573">
        <f>IF(Table1_2[SL Xuất]&gt;0, Table1_2[Tiền Xuất]/Table1_2[SL Xuất], 0)</f>
        <v>50000</v>
      </c>
      <c r="Q573">
        <f>Table1_2[SL Xuất] - Table1_2[SL Xuất KM]</f>
        <v>6</v>
      </c>
    </row>
    <row r="574" spans="1:17" x14ac:dyDescent="0.25">
      <c r="A574">
        <v>573</v>
      </c>
      <c r="B574" t="s">
        <v>757</v>
      </c>
      <c r="C574" t="s">
        <v>758</v>
      </c>
      <c r="D574" t="s">
        <v>88</v>
      </c>
      <c r="E574">
        <v>271800</v>
      </c>
      <c r="F574">
        <v>1</v>
      </c>
      <c r="G574">
        <v>6</v>
      </c>
      <c r="H574">
        <v>300000</v>
      </c>
      <c r="I574">
        <v>28200</v>
      </c>
      <c r="J574" s="1">
        <v>45236</v>
      </c>
      <c r="K574" t="s">
        <v>329</v>
      </c>
      <c r="L574">
        <v>11</v>
      </c>
      <c r="M574">
        <v>2023</v>
      </c>
      <c r="N574">
        <f t="shared" si="8"/>
        <v>-243600</v>
      </c>
      <c r="O574" s="19">
        <f>IF(Table1_2[Tiền Nhập]&lt;&gt;0, Table1_2[Lợi Nhuận Gộp]/Table1_2[Tiền Nhập], 0)</f>
        <v>-0.89624724061810157</v>
      </c>
      <c r="P574">
        <f>IF(Table1_2[SL Xuất]&gt;0, Table1_2[Tiền Xuất]/Table1_2[SL Xuất], 0)</f>
        <v>50000</v>
      </c>
      <c r="Q574">
        <f>Table1_2[SL Xuất] - Table1_2[SL Xuất KM]</f>
        <v>5</v>
      </c>
    </row>
    <row r="575" spans="1:17" x14ac:dyDescent="0.25">
      <c r="A575">
        <v>574</v>
      </c>
      <c r="B575" t="s">
        <v>1189</v>
      </c>
      <c r="C575" t="s">
        <v>1190</v>
      </c>
      <c r="D575" t="s">
        <v>13</v>
      </c>
      <c r="E575">
        <v>78320</v>
      </c>
      <c r="F575">
        <v>0</v>
      </c>
      <c r="G575">
        <v>5</v>
      </c>
      <c r="H575">
        <v>92500</v>
      </c>
      <c r="I575">
        <v>14180</v>
      </c>
      <c r="J575" s="1">
        <v>45236</v>
      </c>
      <c r="K575" t="s">
        <v>329</v>
      </c>
      <c r="L575">
        <v>11</v>
      </c>
      <c r="M575">
        <v>2023</v>
      </c>
      <c r="N575">
        <f t="shared" si="8"/>
        <v>-64140</v>
      </c>
      <c r="O575" s="19">
        <f>IF(Table1_2[Tiền Nhập]&lt;&gt;0, Table1_2[Lợi Nhuận Gộp]/Table1_2[Tiền Nhập], 0)</f>
        <v>-0.81894790602655776</v>
      </c>
      <c r="P575">
        <f>IF(Table1_2[SL Xuất]&gt;0, Table1_2[Tiền Xuất]/Table1_2[SL Xuất], 0)</f>
        <v>18500</v>
      </c>
      <c r="Q575">
        <f>Table1_2[SL Xuất] - Table1_2[SL Xuất KM]</f>
        <v>5</v>
      </c>
    </row>
    <row r="576" spans="1:17" x14ac:dyDescent="0.25">
      <c r="A576">
        <v>575</v>
      </c>
      <c r="B576" t="s">
        <v>218</v>
      </c>
      <c r="C576" t="s">
        <v>219</v>
      </c>
      <c r="D576" t="s">
        <v>220</v>
      </c>
      <c r="E576">
        <v>0</v>
      </c>
      <c r="F576">
        <v>0</v>
      </c>
      <c r="G576">
        <v>0</v>
      </c>
      <c r="H576">
        <v>0</v>
      </c>
      <c r="I576">
        <v>0</v>
      </c>
      <c r="J576" s="1">
        <v>45239</v>
      </c>
      <c r="K576" t="s">
        <v>316</v>
      </c>
      <c r="L576">
        <v>11</v>
      </c>
      <c r="M576">
        <v>2023</v>
      </c>
      <c r="N576">
        <f t="shared" si="8"/>
        <v>0</v>
      </c>
      <c r="O576" s="19">
        <f>IF(Table1_2[Tiền Nhập]&lt;&gt;0, Table1_2[Lợi Nhuận Gộp]/Table1_2[Tiền Nhập], 0)</f>
        <v>0</v>
      </c>
      <c r="P576">
        <f>IF(Table1_2[SL Xuất]&gt;0, Table1_2[Tiền Xuất]/Table1_2[SL Xuất], 0)</f>
        <v>0</v>
      </c>
      <c r="Q576">
        <f>Table1_2[SL Xuất] - Table1_2[SL Xuất KM]</f>
        <v>0</v>
      </c>
    </row>
    <row r="577" spans="1:17" x14ac:dyDescent="0.25">
      <c r="A577">
        <v>576</v>
      </c>
      <c r="B577" t="s">
        <v>744</v>
      </c>
      <c r="C577" t="s">
        <v>745</v>
      </c>
      <c r="D577" t="s">
        <v>13</v>
      </c>
      <c r="E577">
        <v>26250</v>
      </c>
      <c r="F577">
        <v>0</v>
      </c>
      <c r="G577">
        <v>5</v>
      </c>
      <c r="H577">
        <v>35000</v>
      </c>
      <c r="I577">
        <v>8750</v>
      </c>
      <c r="J577" s="1">
        <v>45239</v>
      </c>
      <c r="K577" t="s">
        <v>316</v>
      </c>
      <c r="L577">
        <v>11</v>
      </c>
      <c r="M577">
        <v>2023</v>
      </c>
      <c r="N577">
        <f t="shared" si="8"/>
        <v>-17500</v>
      </c>
      <c r="O577" s="19">
        <f>IF(Table1_2[Tiền Nhập]&lt;&gt;0, Table1_2[Lợi Nhuận Gộp]/Table1_2[Tiền Nhập], 0)</f>
        <v>-0.66666666666666663</v>
      </c>
      <c r="P577">
        <f>IF(Table1_2[SL Xuất]&gt;0, Table1_2[Tiền Xuất]/Table1_2[SL Xuất], 0)</f>
        <v>7000</v>
      </c>
      <c r="Q577">
        <f>Table1_2[SL Xuất] - Table1_2[SL Xuất KM]</f>
        <v>5</v>
      </c>
    </row>
    <row r="578" spans="1:17" x14ac:dyDescent="0.25">
      <c r="A578">
        <v>577</v>
      </c>
      <c r="B578" t="s">
        <v>748</v>
      </c>
      <c r="C578" t="s">
        <v>749</v>
      </c>
      <c r="D578" t="s">
        <v>13</v>
      </c>
      <c r="E578">
        <v>26250</v>
      </c>
      <c r="F578">
        <v>0</v>
      </c>
      <c r="G578">
        <v>5</v>
      </c>
      <c r="H578">
        <v>35000</v>
      </c>
      <c r="I578">
        <v>8750</v>
      </c>
      <c r="J578" s="1">
        <v>45239</v>
      </c>
      <c r="K578" t="s">
        <v>316</v>
      </c>
      <c r="L578">
        <v>11</v>
      </c>
      <c r="M578">
        <v>2023</v>
      </c>
      <c r="N578">
        <f t="shared" ref="N578:N641" si="9">I578-E578</f>
        <v>-17500</v>
      </c>
      <c r="O578" s="19">
        <f>IF(Table1_2[Tiền Nhập]&lt;&gt;0, Table1_2[Lợi Nhuận Gộp]/Table1_2[Tiền Nhập], 0)</f>
        <v>-0.66666666666666663</v>
      </c>
      <c r="P578">
        <f>IF(Table1_2[SL Xuất]&gt;0, Table1_2[Tiền Xuất]/Table1_2[SL Xuất], 0)</f>
        <v>7000</v>
      </c>
      <c r="Q578">
        <f>Table1_2[SL Xuất] - Table1_2[SL Xuất KM]</f>
        <v>5</v>
      </c>
    </row>
    <row r="579" spans="1:17" x14ac:dyDescent="0.25">
      <c r="A579">
        <v>578</v>
      </c>
      <c r="B579" t="s">
        <v>632</v>
      </c>
      <c r="C579" t="s">
        <v>633</v>
      </c>
      <c r="D579" t="s">
        <v>13</v>
      </c>
      <c r="E579">
        <v>26250</v>
      </c>
      <c r="F579">
        <v>0</v>
      </c>
      <c r="G579">
        <v>5</v>
      </c>
      <c r="H579">
        <v>35000</v>
      </c>
      <c r="I579">
        <v>8750</v>
      </c>
      <c r="J579" s="1">
        <v>45239</v>
      </c>
      <c r="K579" t="s">
        <v>316</v>
      </c>
      <c r="L579">
        <v>11</v>
      </c>
      <c r="M579">
        <v>2023</v>
      </c>
      <c r="N579">
        <f t="shared" si="9"/>
        <v>-17500</v>
      </c>
      <c r="O579" s="19">
        <f>IF(Table1_2[Tiền Nhập]&lt;&gt;0, Table1_2[Lợi Nhuận Gộp]/Table1_2[Tiền Nhập], 0)</f>
        <v>-0.66666666666666663</v>
      </c>
      <c r="P579">
        <f>IF(Table1_2[SL Xuất]&gt;0, Table1_2[Tiền Xuất]/Table1_2[SL Xuất], 0)</f>
        <v>7000</v>
      </c>
      <c r="Q579">
        <f>Table1_2[SL Xuất] - Table1_2[SL Xuất KM]</f>
        <v>5</v>
      </c>
    </row>
    <row r="580" spans="1:17" x14ac:dyDescent="0.25">
      <c r="A580">
        <v>579</v>
      </c>
      <c r="B580" t="s">
        <v>1195</v>
      </c>
      <c r="C580" t="s">
        <v>1196</v>
      </c>
      <c r="D580" t="s">
        <v>88</v>
      </c>
      <c r="E580">
        <v>82500</v>
      </c>
      <c r="F580">
        <v>0</v>
      </c>
      <c r="G580">
        <v>3</v>
      </c>
      <c r="H580">
        <v>84000</v>
      </c>
      <c r="I580">
        <v>1500</v>
      </c>
      <c r="J580" s="1">
        <v>45239</v>
      </c>
      <c r="K580" t="s">
        <v>329</v>
      </c>
      <c r="L580">
        <v>11</v>
      </c>
      <c r="M580">
        <v>2023</v>
      </c>
      <c r="N580">
        <f t="shared" si="9"/>
        <v>-81000</v>
      </c>
      <c r="O580" s="19">
        <f>IF(Table1_2[Tiền Nhập]&lt;&gt;0, Table1_2[Lợi Nhuận Gộp]/Table1_2[Tiền Nhập], 0)</f>
        <v>-0.98181818181818181</v>
      </c>
      <c r="P580">
        <f>IF(Table1_2[SL Xuất]&gt;0, Table1_2[Tiền Xuất]/Table1_2[SL Xuất], 0)</f>
        <v>28000</v>
      </c>
      <c r="Q580">
        <f>Table1_2[SL Xuất] - Table1_2[SL Xuất KM]</f>
        <v>3</v>
      </c>
    </row>
    <row r="581" spans="1:17" x14ac:dyDescent="0.25">
      <c r="A581">
        <v>580</v>
      </c>
      <c r="B581" t="s">
        <v>1198</v>
      </c>
      <c r="C581" t="s">
        <v>1199</v>
      </c>
      <c r="D581" t="s">
        <v>88</v>
      </c>
      <c r="E581">
        <v>82500</v>
      </c>
      <c r="F581">
        <v>0</v>
      </c>
      <c r="G581">
        <v>3</v>
      </c>
      <c r="H581">
        <v>84000</v>
      </c>
      <c r="I581">
        <v>1500</v>
      </c>
      <c r="J581" s="1">
        <v>45239</v>
      </c>
      <c r="K581" t="s">
        <v>329</v>
      </c>
      <c r="L581">
        <v>11</v>
      </c>
      <c r="M581">
        <v>2023</v>
      </c>
      <c r="N581">
        <f t="shared" si="9"/>
        <v>-81000</v>
      </c>
      <c r="O581" s="19">
        <f>IF(Table1_2[Tiền Nhập]&lt;&gt;0, Table1_2[Lợi Nhuận Gộp]/Table1_2[Tiền Nhập], 0)</f>
        <v>-0.98181818181818181</v>
      </c>
      <c r="P581">
        <f>IF(Table1_2[SL Xuất]&gt;0, Table1_2[Tiền Xuất]/Table1_2[SL Xuất], 0)</f>
        <v>28000</v>
      </c>
      <c r="Q581">
        <f>Table1_2[SL Xuất] - Table1_2[SL Xuất KM]</f>
        <v>3</v>
      </c>
    </row>
    <row r="582" spans="1:17" x14ac:dyDescent="0.25">
      <c r="A582">
        <v>581</v>
      </c>
      <c r="B582" t="s">
        <v>1200</v>
      </c>
      <c r="C582" t="s">
        <v>1201</v>
      </c>
      <c r="D582" t="s">
        <v>88</v>
      </c>
      <c r="E582">
        <v>82500</v>
      </c>
      <c r="F582">
        <v>0</v>
      </c>
      <c r="G582">
        <v>3</v>
      </c>
      <c r="H582">
        <v>84000</v>
      </c>
      <c r="I582">
        <v>1500</v>
      </c>
      <c r="J582" s="1">
        <v>45239</v>
      </c>
      <c r="K582" t="s">
        <v>329</v>
      </c>
      <c r="L582">
        <v>11</v>
      </c>
      <c r="M582">
        <v>2023</v>
      </c>
      <c r="N582">
        <f t="shared" si="9"/>
        <v>-81000</v>
      </c>
      <c r="O582" s="19">
        <f>IF(Table1_2[Tiền Nhập]&lt;&gt;0, Table1_2[Lợi Nhuận Gộp]/Table1_2[Tiền Nhập], 0)</f>
        <v>-0.98181818181818181</v>
      </c>
      <c r="P582">
        <f>IF(Table1_2[SL Xuất]&gt;0, Table1_2[Tiền Xuất]/Table1_2[SL Xuất], 0)</f>
        <v>28000</v>
      </c>
      <c r="Q582">
        <f>Table1_2[SL Xuất] - Table1_2[SL Xuất KM]</f>
        <v>3</v>
      </c>
    </row>
    <row r="583" spans="1:17" x14ac:dyDescent="0.25">
      <c r="A583">
        <v>582</v>
      </c>
      <c r="B583" t="s">
        <v>1202</v>
      </c>
      <c r="C583" t="s">
        <v>1203</v>
      </c>
      <c r="D583" t="s">
        <v>88</v>
      </c>
      <c r="E583">
        <v>82500</v>
      </c>
      <c r="F583">
        <v>0</v>
      </c>
      <c r="G583">
        <v>3</v>
      </c>
      <c r="H583">
        <v>84000</v>
      </c>
      <c r="I583">
        <v>1500</v>
      </c>
      <c r="J583" s="1">
        <v>45239</v>
      </c>
      <c r="K583" t="s">
        <v>329</v>
      </c>
      <c r="L583">
        <v>11</v>
      </c>
      <c r="M583">
        <v>2023</v>
      </c>
      <c r="N583">
        <f t="shared" si="9"/>
        <v>-81000</v>
      </c>
      <c r="O583" s="19">
        <f>IF(Table1_2[Tiền Nhập]&lt;&gt;0, Table1_2[Lợi Nhuận Gộp]/Table1_2[Tiền Nhập], 0)</f>
        <v>-0.98181818181818181</v>
      </c>
      <c r="P583">
        <f>IF(Table1_2[SL Xuất]&gt;0, Table1_2[Tiền Xuất]/Table1_2[SL Xuất], 0)</f>
        <v>28000</v>
      </c>
      <c r="Q583">
        <f>Table1_2[SL Xuất] - Table1_2[SL Xuất KM]</f>
        <v>3</v>
      </c>
    </row>
    <row r="584" spans="1:17" x14ac:dyDescent="0.25">
      <c r="A584">
        <v>583</v>
      </c>
      <c r="B584" t="s">
        <v>147</v>
      </c>
      <c r="C584" t="s">
        <v>148</v>
      </c>
      <c r="D584" t="s">
        <v>149</v>
      </c>
      <c r="E584">
        <v>165000</v>
      </c>
      <c r="F584">
        <v>0</v>
      </c>
      <c r="G584">
        <v>30</v>
      </c>
      <c r="H584">
        <v>195000</v>
      </c>
      <c r="I584">
        <v>30000</v>
      </c>
      <c r="J584" s="1">
        <v>45239</v>
      </c>
      <c r="K584" t="s">
        <v>329</v>
      </c>
      <c r="L584">
        <v>11</v>
      </c>
      <c r="M584">
        <v>2023</v>
      </c>
      <c r="N584">
        <f t="shared" si="9"/>
        <v>-135000</v>
      </c>
      <c r="O584" s="19">
        <f>IF(Table1_2[Tiền Nhập]&lt;&gt;0, Table1_2[Lợi Nhuận Gộp]/Table1_2[Tiền Nhập], 0)</f>
        <v>-0.81818181818181823</v>
      </c>
      <c r="P584">
        <f>IF(Table1_2[SL Xuất]&gt;0, Table1_2[Tiền Xuất]/Table1_2[SL Xuất], 0)</f>
        <v>6500</v>
      </c>
      <c r="Q584">
        <f>Table1_2[SL Xuất] - Table1_2[SL Xuất KM]</f>
        <v>30</v>
      </c>
    </row>
    <row r="585" spans="1:17" x14ac:dyDescent="0.25">
      <c r="A585">
        <v>584</v>
      </c>
      <c r="B585" t="s">
        <v>618</v>
      </c>
      <c r="C585" t="s">
        <v>619</v>
      </c>
      <c r="D585" t="s">
        <v>88</v>
      </c>
      <c r="E585">
        <v>42084</v>
      </c>
      <c r="F585">
        <v>0</v>
      </c>
      <c r="G585">
        <v>1</v>
      </c>
      <c r="H585">
        <v>48000</v>
      </c>
      <c r="I585">
        <v>5916</v>
      </c>
      <c r="J585" s="1">
        <v>45239</v>
      </c>
      <c r="K585" t="s">
        <v>329</v>
      </c>
      <c r="L585">
        <v>11</v>
      </c>
      <c r="M585">
        <v>2023</v>
      </c>
      <c r="N585">
        <f t="shared" si="9"/>
        <v>-36168</v>
      </c>
      <c r="O585" s="19">
        <f>IF(Table1_2[Tiền Nhập]&lt;&gt;0, Table1_2[Lợi Nhuận Gộp]/Table1_2[Tiền Nhập], 0)</f>
        <v>-0.85942400912460792</v>
      </c>
      <c r="P585">
        <f>IF(Table1_2[SL Xuất]&gt;0, Table1_2[Tiền Xuất]/Table1_2[SL Xuất], 0)</f>
        <v>48000</v>
      </c>
      <c r="Q585">
        <f>Table1_2[SL Xuất] - Table1_2[SL Xuất KM]</f>
        <v>1</v>
      </c>
    </row>
    <row r="586" spans="1:17" x14ac:dyDescent="0.25">
      <c r="A586">
        <v>585</v>
      </c>
      <c r="B586" t="s">
        <v>622</v>
      </c>
      <c r="C586" t="s">
        <v>623</v>
      </c>
      <c r="D586" t="s">
        <v>13</v>
      </c>
      <c r="E586">
        <v>90000</v>
      </c>
      <c r="F586">
        <v>0</v>
      </c>
      <c r="G586">
        <v>25</v>
      </c>
      <c r="H586">
        <v>100000</v>
      </c>
      <c r="I586">
        <v>10000</v>
      </c>
      <c r="J586" s="1">
        <v>45239</v>
      </c>
      <c r="K586" t="s">
        <v>329</v>
      </c>
      <c r="L586">
        <v>11</v>
      </c>
      <c r="M586">
        <v>2023</v>
      </c>
      <c r="N586">
        <f t="shared" si="9"/>
        <v>-80000</v>
      </c>
      <c r="O586" s="19">
        <f>IF(Table1_2[Tiền Nhập]&lt;&gt;0, Table1_2[Lợi Nhuận Gộp]/Table1_2[Tiền Nhập], 0)</f>
        <v>-0.88888888888888884</v>
      </c>
      <c r="P586">
        <f>IF(Table1_2[SL Xuất]&gt;0, Table1_2[Tiền Xuất]/Table1_2[SL Xuất], 0)</f>
        <v>4000</v>
      </c>
      <c r="Q586">
        <f>Table1_2[SL Xuất] - Table1_2[SL Xuất KM]</f>
        <v>25</v>
      </c>
    </row>
    <row r="587" spans="1:17" x14ac:dyDescent="0.25">
      <c r="A587">
        <v>586</v>
      </c>
      <c r="B587" t="s">
        <v>201</v>
      </c>
      <c r="C587" t="s">
        <v>202</v>
      </c>
      <c r="D587" t="s">
        <v>23</v>
      </c>
      <c r="E587">
        <v>450000</v>
      </c>
      <c r="F587">
        <v>12</v>
      </c>
      <c r="G587">
        <v>60</v>
      </c>
      <c r="H587">
        <v>650000</v>
      </c>
      <c r="I587">
        <v>200000</v>
      </c>
      <c r="J587" s="1">
        <v>45239</v>
      </c>
      <c r="K587" t="s">
        <v>347</v>
      </c>
      <c r="L587">
        <v>11</v>
      </c>
      <c r="M587">
        <v>2023</v>
      </c>
      <c r="N587">
        <f t="shared" si="9"/>
        <v>-250000</v>
      </c>
      <c r="O587" s="19">
        <f>IF(Table1_2[Tiền Nhập]&lt;&gt;0, Table1_2[Lợi Nhuận Gộp]/Table1_2[Tiền Nhập], 0)</f>
        <v>-0.55555555555555558</v>
      </c>
      <c r="P587">
        <f>IF(Table1_2[SL Xuất]&gt;0, Table1_2[Tiền Xuất]/Table1_2[SL Xuất], 0)</f>
        <v>10833.333333333334</v>
      </c>
      <c r="Q587">
        <f>Table1_2[SL Xuất] - Table1_2[SL Xuất KM]</f>
        <v>48</v>
      </c>
    </row>
    <row r="588" spans="1:17" x14ac:dyDescent="0.25">
      <c r="A588">
        <v>587</v>
      </c>
      <c r="B588" t="s">
        <v>1205</v>
      </c>
      <c r="C588" t="s">
        <v>1206</v>
      </c>
      <c r="D588" t="s">
        <v>220</v>
      </c>
      <c r="E588">
        <v>230000</v>
      </c>
      <c r="F588">
        <v>0</v>
      </c>
      <c r="G588">
        <v>2</v>
      </c>
      <c r="H588">
        <v>390000</v>
      </c>
      <c r="I588">
        <v>160000</v>
      </c>
      <c r="J588" s="1">
        <v>45239</v>
      </c>
      <c r="K588" t="s">
        <v>625</v>
      </c>
      <c r="L588">
        <v>11</v>
      </c>
      <c r="M588">
        <v>2023</v>
      </c>
      <c r="N588">
        <f t="shared" si="9"/>
        <v>-70000</v>
      </c>
      <c r="O588" s="19">
        <f>IF(Table1_2[Tiền Nhập]&lt;&gt;0, Table1_2[Lợi Nhuận Gộp]/Table1_2[Tiền Nhập], 0)</f>
        <v>-0.30434782608695654</v>
      </c>
      <c r="P588">
        <f>IF(Table1_2[SL Xuất]&gt;0, Table1_2[Tiền Xuất]/Table1_2[SL Xuất], 0)</f>
        <v>195000</v>
      </c>
      <c r="Q588">
        <f>Table1_2[SL Xuất] - Table1_2[SL Xuất KM]</f>
        <v>2</v>
      </c>
    </row>
    <row r="589" spans="1:17" x14ac:dyDescent="0.25">
      <c r="A589">
        <v>588</v>
      </c>
      <c r="B589" t="s">
        <v>147</v>
      </c>
      <c r="C589" t="s">
        <v>148</v>
      </c>
      <c r="D589" t="s">
        <v>149</v>
      </c>
      <c r="E589">
        <v>165000</v>
      </c>
      <c r="F589">
        <v>0</v>
      </c>
      <c r="G589">
        <v>30</v>
      </c>
      <c r="H589">
        <v>180000</v>
      </c>
      <c r="I589">
        <v>15000</v>
      </c>
      <c r="J589" s="1">
        <v>45239</v>
      </c>
      <c r="K589" t="s">
        <v>625</v>
      </c>
      <c r="L589">
        <v>11</v>
      </c>
      <c r="M589">
        <v>2023</v>
      </c>
      <c r="N589">
        <f t="shared" si="9"/>
        <v>-150000</v>
      </c>
      <c r="O589" s="19">
        <f>IF(Table1_2[Tiền Nhập]&lt;&gt;0, Table1_2[Lợi Nhuận Gộp]/Table1_2[Tiền Nhập], 0)</f>
        <v>-0.90909090909090906</v>
      </c>
      <c r="P589">
        <f>IF(Table1_2[SL Xuất]&gt;0, Table1_2[Tiền Xuất]/Table1_2[SL Xuất], 0)</f>
        <v>6000</v>
      </c>
      <c r="Q589">
        <f>Table1_2[SL Xuất] - Table1_2[SL Xuất KM]</f>
        <v>30</v>
      </c>
    </row>
    <row r="590" spans="1:17" x14ac:dyDescent="0.25">
      <c r="A590">
        <v>589</v>
      </c>
      <c r="B590" t="s">
        <v>281</v>
      </c>
      <c r="C590" t="s">
        <v>282</v>
      </c>
      <c r="D590" t="s">
        <v>85</v>
      </c>
      <c r="E590">
        <v>75000</v>
      </c>
      <c r="F590">
        <v>0</v>
      </c>
      <c r="G590">
        <v>2</v>
      </c>
      <c r="H590">
        <v>82000</v>
      </c>
      <c r="I590">
        <v>7000</v>
      </c>
      <c r="J590" s="1">
        <v>45239</v>
      </c>
      <c r="K590" t="s">
        <v>625</v>
      </c>
      <c r="L590">
        <v>11</v>
      </c>
      <c r="M590">
        <v>2023</v>
      </c>
      <c r="N590">
        <f t="shared" si="9"/>
        <v>-68000</v>
      </c>
      <c r="O590" s="19">
        <f>IF(Table1_2[Tiền Nhập]&lt;&gt;0, Table1_2[Lợi Nhuận Gộp]/Table1_2[Tiền Nhập], 0)</f>
        <v>-0.90666666666666662</v>
      </c>
      <c r="P590">
        <f>IF(Table1_2[SL Xuất]&gt;0, Table1_2[Tiền Xuất]/Table1_2[SL Xuất], 0)</f>
        <v>41000</v>
      </c>
      <c r="Q590">
        <f>Table1_2[SL Xuất] - Table1_2[SL Xuất KM]</f>
        <v>2</v>
      </c>
    </row>
    <row r="591" spans="1:17" x14ac:dyDescent="0.25">
      <c r="A591">
        <v>590</v>
      </c>
      <c r="B591" t="s">
        <v>1207</v>
      </c>
      <c r="C591" t="s">
        <v>1208</v>
      </c>
      <c r="D591" t="s">
        <v>45</v>
      </c>
      <c r="E591">
        <v>0</v>
      </c>
      <c r="F591">
        <v>1</v>
      </c>
      <c r="G591">
        <v>0</v>
      </c>
      <c r="H591">
        <v>0</v>
      </c>
      <c r="I591">
        <v>0</v>
      </c>
      <c r="J591" s="1">
        <v>45239</v>
      </c>
      <c r="K591" t="s">
        <v>625</v>
      </c>
      <c r="L591">
        <v>11</v>
      </c>
      <c r="M591">
        <v>2023</v>
      </c>
      <c r="N591">
        <f t="shared" si="9"/>
        <v>0</v>
      </c>
      <c r="O591" s="19">
        <f>IF(Table1_2[Tiền Nhập]&lt;&gt;0, Table1_2[Lợi Nhuận Gộp]/Table1_2[Tiền Nhập], 0)</f>
        <v>0</v>
      </c>
      <c r="P591">
        <f>IF(Table1_2[SL Xuất]&gt;0, Table1_2[Tiền Xuất]/Table1_2[SL Xuất], 0)</f>
        <v>0</v>
      </c>
      <c r="Q591">
        <f>Table1_2[SL Xuất] - Table1_2[SL Xuất KM]</f>
        <v>-1</v>
      </c>
    </row>
    <row r="592" spans="1:17" x14ac:dyDescent="0.25">
      <c r="A592">
        <v>591</v>
      </c>
      <c r="B592" t="s">
        <v>598</v>
      </c>
      <c r="C592" t="s">
        <v>599</v>
      </c>
      <c r="D592" t="s">
        <v>194</v>
      </c>
      <c r="E592">
        <v>46562</v>
      </c>
      <c r="F592">
        <v>0</v>
      </c>
      <c r="G592">
        <v>2</v>
      </c>
      <c r="H592">
        <v>63000</v>
      </c>
      <c r="I592">
        <v>16438</v>
      </c>
      <c r="J592" s="1">
        <v>45239</v>
      </c>
      <c r="K592" t="s">
        <v>625</v>
      </c>
      <c r="L592">
        <v>11</v>
      </c>
      <c r="M592">
        <v>2023</v>
      </c>
      <c r="N592">
        <f t="shared" si="9"/>
        <v>-30124</v>
      </c>
      <c r="O592" s="19">
        <f>IF(Table1_2[Tiền Nhập]&lt;&gt;0, Table1_2[Lợi Nhuận Gộp]/Table1_2[Tiền Nhập], 0)</f>
        <v>-0.64696533654052657</v>
      </c>
      <c r="P592">
        <f>IF(Table1_2[SL Xuất]&gt;0, Table1_2[Tiền Xuất]/Table1_2[SL Xuất], 0)</f>
        <v>31500</v>
      </c>
      <c r="Q592">
        <f>Table1_2[SL Xuất] - Table1_2[SL Xuất KM]</f>
        <v>2</v>
      </c>
    </row>
    <row r="593" spans="1:17" x14ac:dyDescent="0.25">
      <c r="A593">
        <v>592</v>
      </c>
      <c r="B593" t="s">
        <v>147</v>
      </c>
      <c r="C593" t="s">
        <v>148</v>
      </c>
      <c r="D593" t="s">
        <v>149</v>
      </c>
      <c r="E593">
        <v>82500</v>
      </c>
      <c r="F593">
        <v>0</v>
      </c>
      <c r="G593">
        <v>15</v>
      </c>
      <c r="H593">
        <v>97500</v>
      </c>
      <c r="I593">
        <v>15000</v>
      </c>
      <c r="J593" s="1">
        <v>45239</v>
      </c>
      <c r="K593" t="s">
        <v>366</v>
      </c>
      <c r="L593">
        <v>11</v>
      </c>
      <c r="M593">
        <v>2023</v>
      </c>
      <c r="N593">
        <f t="shared" si="9"/>
        <v>-67500</v>
      </c>
      <c r="O593" s="19">
        <f>IF(Table1_2[Tiền Nhập]&lt;&gt;0, Table1_2[Lợi Nhuận Gộp]/Table1_2[Tiền Nhập], 0)</f>
        <v>-0.81818181818181823</v>
      </c>
      <c r="P593">
        <f>IF(Table1_2[SL Xuất]&gt;0, Table1_2[Tiền Xuất]/Table1_2[SL Xuất], 0)</f>
        <v>6500</v>
      </c>
      <c r="Q593">
        <f>Table1_2[SL Xuất] - Table1_2[SL Xuất KM]</f>
        <v>15</v>
      </c>
    </row>
    <row r="594" spans="1:17" x14ac:dyDescent="0.25">
      <c r="A594">
        <v>593</v>
      </c>
      <c r="B594" t="s">
        <v>155</v>
      </c>
      <c r="C594" t="s">
        <v>156</v>
      </c>
      <c r="D594" t="s">
        <v>149</v>
      </c>
      <c r="E594">
        <v>82500</v>
      </c>
      <c r="F594">
        <v>0</v>
      </c>
      <c r="G594">
        <v>15</v>
      </c>
      <c r="H594">
        <v>97500</v>
      </c>
      <c r="I594">
        <v>15000</v>
      </c>
      <c r="J594" s="1">
        <v>45239</v>
      </c>
      <c r="K594" t="s">
        <v>366</v>
      </c>
      <c r="L594">
        <v>11</v>
      </c>
      <c r="M594">
        <v>2023</v>
      </c>
      <c r="N594">
        <f t="shared" si="9"/>
        <v>-67500</v>
      </c>
      <c r="O594" s="19">
        <f>IF(Table1_2[Tiền Nhập]&lt;&gt;0, Table1_2[Lợi Nhuận Gộp]/Table1_2[Tiền Nhập], 0)</f>
        <v>-0.81818181818181823</v>
      </c>
      <c r="P594">
        <f>IF(Table1_2[SL Xuất]&gt;0, Table1_2[Tiền Xuất]/Table1_2[SL Xuất], 0)</f>
        <v>6500</v>
      </c>
      <c r="Q594">
        <f>Table1_2[SL Xuất] - Table1_2[SL Xuất KM]</f>
        <v>15</v>
      </c>
    </row>
    <row r="595" spans="1:17" x14ac:dyDescent="0.25">
      <c r="A595">
        <v>594</v>
      </c>
      <c r="B595" t="s">
        <v>1211</v>
      </c>
      <c r="C595" t="s">
        <v>1212</v>
      </c>
      <c r="D595" t="s">
        <v>13</v>
      </c>
      <c r="E595">
        <v>57000</v>
      </c>
      <c r="F595">
        <v>0</v>
      </c>
      <c r="G595">
        <v>3</v>
      </c>
      <c r="H595">
        <v>84000</v>
      </c>
      <c r="I595">
        <v>27000</v>
      </c>
      <c r="J595" s="1">
        <v>45239</v>
      </c>
      <c r="K595" t="s">
        <v>654</v>
      </c>
      <c r="L595">
        <v>11</v>
      </c>
      <c r="M595">
        <v>2023</v>
      </c>
      <c r="N595">
        <f t="shared" si="9"/>
        <v>-30000</v>
      </c>
      <c r="O595" s="19">
        <f>IF(Table1_2[Tiền Nhập]&lt;&gt;0, Table1_2[Lợi Nhuận Gộp]/Table1_2[Tiền Nhập], 0)</f>
        <v>-0.52631578947368418</v>
      </c>
      <c r="P595">
        <f>IF(Table1_2[SL Xuất]&gt;0, Table1_2[Tiền Xuất]/Table1_2[SL Xuất], 0)</f>
        <v>28000</v>
      </c>
      <c r="Q595">
        <f>Table1_2[SL Xuất] - Table1_2[SL Xuất KM]</f>
        <v>3</v>
      </c>
    </row>
    <row r="596" spans="1:17" x14ac:dyDescent="0.25">
      <c r="A596">
        <v>595</v>
      </c>
      <c r="B596" t="s">
        <v>1006</v>
      </c>
      <c r="C596" t="s">
        <v>1007</v>
      </c>
      <c r="D596" t="s">
        <v>13</v>
      </c>
      <c r="E596">
        <v>90000</v>
      </c>
      <c r="F596">
        <v>0</v>
      </c>
      <c r="G596">
        <v>10</v>
      </c>
      <c r="H596">
        <v>130000</v>
      </c>
      <c r="I596">
        <v>40000</v>
      </c>
      <c r="J596" s="1">
        <v>45239</v>
      </c>
      <c r="K596" t="s">
        <v>654</v>
      </c>
      <c r="L596">
        <v>11</v>
      </c>
      <c r="M596">
        <v>2023</v>
      </c>
      <c r="N596">
        <f t="shared" si="9"/>
        <v>-50000</v>
      </c>
      <c r="O596" s="19">
        <f>IF(Table1_2[Tiền Nhập]&lt;&gt;0, Table1_2[Lợi Nhuận Gộp]/Table1_2[Tiền Nhập], 0)</f>
        <v>-0.55555555555555558</v>
      </c>
      <c r="P596">
        <f>IF(Table1_2[SL Xuất]&gt;0, Table1_2[Tiền Xuất]/Table1_2[SL Xuất], 0)</f>
        <v>13000</v>
      </c>
      <c r="Q596">
        <f>Table1_2[SL Xuất] - Table1_2[SL Xuất KM]</f>
        <v>10</v>
      </c>
    </row>
    <row r="597" spans="1:17" x14ac:dyDescent="0.25">
      <c r="A597">
        <v>596</v>
      </c>
      <c r="B597" t="s">
        <v>400</v>
      </c>
      <c r="C597" t="s">
        <v>401</v>
      </c>
      <c r="D597" t="s">
        <v>13</v>
      </c>
      <c r="E597">
        <v>75000</v>
      </c>
      <c r="F597">
        <v>0</v>
      </c>
      <c r="G597">
        <v>10</v>
      </c>
      <c r="H597">
        <v>90000</v>
      </c>
      <c r="I597">
        <v>15000</v>
      </c>
      <c r="J597" s="1">
        <v>45239</v>
      </c>
      <c r="K597" t="s">
        <v>654</v>
      </c>
      <c r="L597">
        <v>11</v>
      </c>
      <c r="M597">
        <v>2023</v>
      </c>
      <c r="N597">
        <f t="shared" si="9"/>
        <v>-60000</v>
      </c>
      <c r="O597" s="19">
        <f>IF(Table1_2[Tiền Nhập]&lt;&gt;0, Table1_2[Lợi Nhuận Gộp]/Table1_2[Tiền Nhập], 0)</f>
        <v>-0.8</v>
      </c>
      <c r="P597">
        <f>IF(Table1_2[SL Xuất]&gt;0, Table1_2[Tiền Xuất]/Table1_2[SL Xuất], 0)</f>
        <v>9000</v>
      </c>
      <c r="Q597">
        <f>Table1_2[SL Xuất] - Table1_2[SL Xuất KM]</f>
        <v>10</v>
      </c>
    </row>
    <row r="598" spans="1:17" x14ac:dyDescent="0.25">
      <c r="A598">
        <v>597</v>
      </c>
      <c r="B598" t="s">
        <v>273</v>
      </c>
      <c r="C598" t="s">
        <v>274</v>
      </c>
      <c r="D598" t="s">
        <v>13</v>
      </c>
      <c r="E598">
        <v>270000</v>
      </c>
      <c r="F598">
        <v>0</v>
      </c>
      <c r="G598">
        <v>40</v>
      </c>
      <c r="H598">
        <v>300000</v>
      </c>
      <c r="I598">
        <v>30000</v>
      </c>
      <c r="J598" s="1">
        <v>45239</v>
      </c>
      <c r="K598" t="s">
        <v>654</v>
      </c>
      <c r="L598">
        <v>11</v>
      </c>
      <c r="M598">
        <v>2023</v>
      </c>
      <c r="N598">
        <f t="shared" si="9"/>
        <v>-240000</v>
      </c>
      <c r="O598" s="19">
        <f>IF(Table1_2[Tiền Nhập]&lt;&gt;0, Table1_2[Lợi Nhuận Gộp]/Table1_2[Tiền Nhập], 0)</f>
        <v>-0.88888888888888884</v>
      </c>
      <c r="P598">
        <f>IF(Table1_2[SL Xuất]&gt;0, Table1_2[Tiền Xuất]/Table1_2[SL Xuất], 0)</f>
        <v>7500</v>
      </c>
      <c r="Q598">
        <f>Table1_2[SL Xuất] - Table1_2[SL Xuất KM]</f>
        <v>40</v>
      </c>
    </row>
    <row r="599" spans="1:17" x14ac:dyDescent="0.25">
      <c r="A599">
        <v>598</v>
      </c>
      <c r="B599" t="s">
        <v>111</v>
      </c>
      <c r="C599" t="s">
        <v>112</v>
      </c>
      <c r="D599" t="s">
        <v>13</v>
      </c>
      <c r="E599">
        <v>231000</v>
      </c>
      <c r="F599">
        <v>0</v>
      </c>
      <c r="G599">
        <v>30</v>
      </c>
      <c r="H599">
        <v>300000</v>
      </c>
      <c r="I599">
        <v>69000</v>
      </c>
      <c r="J599" s="1">
        <v>45240</v>
      </c>
      <c r="K599" t="s">
        <v>1214</v>
      </c>
      <c r="L599">
        <v>11</v>
      </c>
      <c r="M599">
        <v>2023</v>
      </c>
      <c r="N599">
        <f t="shared" si="9"/>
        <v>-162000</v>
      </c>
      <c r="O599" s="19">
        <f>IF(Table1_2[Tiền Nhập]&lt;&gt;0, Table1_2[Lợi Nhuận Gộp]/Table1_2[Tiền Nhập], 0)</f>
        <v>-0.70129870129870131</v>
      </c>
      <c r="P599">
        <f>IF(Table1_2[SL Xuất]&gt;0, Table1_2[Tiền Xuất]/Table1_2[SL Xuất], 0)</f>
        <v>10000</v>
      </c>
      <c r="Q599">
        <f>Table1_2[SL Xuất] - Table1_2[SL Xuất KM]</f>
        <v>30</v>
      </c>
    </row>
    <row r="600" spans="1:17" x14ac:dyDescent="0.25">
      <c r="A600">
        <v>599</v>
      </c>
      <c r="B600" t="s">
        <v>11</v>
      </c>
      <c r="C600" t="s">
        <v>12</v>
      </c>
      <c r="D600" t="s">
        <v>13</v>
      </c>
      <c r="E600">
        <v>0</v>
      </c>
      <c r="F600">
        <v>0</v>
      </c>
      <c r="G600">
        <v>0</v>
      </c>
      <c r="H600">
        <v>0</v>
      </c>
      <c r="I600">
        <v>0</v>
      </c>
      <c r="J600" s="1">
        <v>45240</v>
      </c>
      <c r="K600" t="s">
        <v>1215</v>
      </c>
      <c r="L600">
        <v>11</v>
      </c>
      <c r="M600">
        <v>2023</v>
      </c>
      <c r="N600">
        <f t="shared" si="9"/>
        <v>0</v>
      </c>
      <c r="O600" s="19">
        <f>IF(Table1_2[Tiền Nhập]&lt;&gt;0, Table1_2[Lợi Nhuận Gộp]/Table1_2[Tiền Nhập], 0)</f>
        <v>0</v>
      </c>
      <c r="P600">
        <f>IF(Table1_2[SL Xuất]&gt;0, Table1_2[Tiền Xuất]/Table1_2[SL Xuất], 0)</f>
        <v>0</v>
      </c>
      <c r="Q600">
        <f>Table1_2[SL Xuất] - Table1_2[SL Xuất KM]</f>
        <v>0</v>
      </c>
    </row>
    <row r="601" spans="1:17" x14ac:dyDescent="0.25">
      <c r="A601">
        <v>600</v>
      </c>
      <c r="B601" t="s">
        <v>67</v>
      </c>
      <c r="C601" t="s">
        <v>68</v>
      </c>
      <c r="D601" t="s">
        <v>13</v>
      </c>
      <c r="E601">
        <v>264000</v>
      </c>
      <c r="F601">
        <v>0</v>
      </c>
      <c r="G601">
        <v>24</v>
      </c>
      <c r="H601">
        <v>240000</v>
      </c>
      <c r="I601">
        <v>-24000</v>
      </c>
      <c r="J601" s="1">
        <v>45240</v>
      </c>
      <c r="K601" t="s">
        <v>1215</v>
      </c>
      <c r="L601">
        <v>11</v>
      </c>
      <c r="M601">
        <v>2023</v>
      </c>
      <c r="N601">
        <f t="shared" si="9"/>
        <v>-288000</v>
      </c>
      <c r="O601" s="19">
        <f>IF(Table1_2[Tiền Nhập]&lt;&gt;0, Table1_2[Lợi Nhuận Gộp]/Table1_2[Tiền Nhập], 0)</f>
        <v>-1.0909090909090908</v>
      </c>
      <c r="P601">
        <f>IF(Table1_2[SL Xuất]&gt;0, Table1_2[Tiền Xuất]/Table1_2[SL Xuất], 0)</f>
        <v>10000</v>
      </c>
      <c r="Q601">
        <f>Table1_2[SL Xuất] - Table1_2[SL Xuất KM]</f>
        <v>24</v>
      </c>
    </row>
    <row r="602" spans="1:17" x14ac:dyDescent="0.25">
      <c r="A602">
        <v>601</v>
      </c>
      <c r="B602" t="s">
        <v>36</v>
      </c>
      <c r="C602" t="s">
        <v>37</v>
      </c>
      <c r="D602" t="s">
        <v>13</v>
      </c>
      <c r="E602">
        <v>1296000</v>
      </c>
      <c r="F602">
        <v>0</v>
      </c>
      <c r="G602">
        <v>180</v>
      </c>
      <c r="H602">
        <v>1692000</v>
      </c>
      <c r="I602">
        <v>396000</v>
      </c>
      <c r="J602" s="1">
        <v>45240</v>
      </c>
      <c r="K602" t="s">
        <v>42</v>
      </c>
      <c r="L602">
        <v>11</v>
      </c>
      <c r="M602">
        <v>2023</v>
      </c>
      <c r="N602">
        <f t="shared" si="9"/>
        <v>-900000</v>
      </c>
      <c r="O602" s="19">
        <f>IF(Table1_2[Tiền Nhập]&lt;&gt;0, Table1_2[Lợi Nhuận Gộp]/Table1_2[Tiền Nhập], 0)</f>
        <v>-0.69444444444444442</v>
      </c>
      <c r="P602">
        <f>IF(Table1_2[SL Xuất]&gt;0, Table1_2[Tiền Xuất]/Table1_2[SL Xuất], 0)</f>
        <v>9400</v>
      </c>
      <c r="Q602">
        <f>Table1_2[SL Xuất] - Table1_2[SL Xuất KM]</f>
        <v>180</v>
      </c>
    </row>
    <row r="603" spans="1:17" x14ac:dyDescent="0.25">
      <c r="A603">
        <v>602</v>
      </c>
      <c r="B603" t="s">
        <v>502</v>
      </c>
      <c r="C603" t="s">
        <v>503</v>
      </c>
      <c r="D603" t="s">
        <v>220</v>
      </c>
      <c r="E603">
        <v>63000</v>
      </c>
      <c r="F603">
        <v>0</v>
      </c>
      <c r="G603">
        <v>1</v>
      </c>
      <c r="H603">
        <v>73000</v>
      </c>
      <c r="I603">
        <v>10000</v>
      </c>
      <c r="J603" s="1">
        <v>45240</v>
      </c>
      <c r="K603" t="s">
        <v>1217</v>
      </c>
      <c r="L603">
        <v>11</v>
      </c>
      <c r="M603">
        <v>2023</v>
      </c>
      <c r="N603">
        <f t="shared" si="9"/>
        <v>-53000</v>
      </c>
      <c r="O603" s="19">
        <f>IF(Table1_2[Tiền Nhập]&lt;&gt;0, Table1_2[Lợi Nhuận Gộp]/Table1_2[Tiền Nhập], 0)</f>
        <v>-0.84126984126984128</v>
      </c>
      <c r="P603">
        <f>IF(Table1_2[SL Xuất]&gt;0, Table1_2[Tiền Xuất]/Table1_2[SL Xuất], 0)</f>
        <v>73000</v>
      </c>
      <c r="Q603">
        <f>Table1_2[SL Xuất] - Table1_2[SL Xuất KM]</f>
        <v>1</v>
      </c>
    </row>
    <row r="604" spans="1:17" x14ac:dyDescent="0.25">
      <c r="A604">
        <v>603</v>
      </c>
      <c r="B604" t="s">
        <v>281</v>
      </c>
      <c r="C604" t="s">
        <v>282</v>
      </c>
      <c r="D604" t="s">
        <v>85</v>
      </c>
      <c r="E604">
        <v>75000</v>
      </c>
      <c r="F604">
        <v>0</v>
      </c>
      <c r="G604">
        <v>2</v>
      </c>
      <c r="H604">
        <v>84000</v>
      </c>
      <c r="I604">
        <v>9000</v>
      </c>
      <c r="J604" s="1">
        <v>45240</v>
      </c>
      <c r="K604" t="s">
        <v>1217</v>
      </c>
      <c r="L604">
        <v>11</v>
      </c>
      <c r="M604">
        <v>2023</v>
      </c>
      <c r="N604">
        <f t="shared" si="9"/>
        <v>-66000</v>
      </c>
      <c r="O604" s="19">
        <f>IF(Table1_2[Tiền Nhập]&lt;&gt;0, Table1_2[Lợi Nhuận Gộp]/Table1_2[Tiền Nhập], 0)</f>
        <v>-0.88</v>
      </c>
      <c r="P604">
        <f>IF(Table1_2[SL Xuất]&gt;0, Table1_2[Tiền Xuất]/Table1_2[SL Xuất], 0)</f>
        <v>42000</v>
      </c>
      <c r="Q604">
        <f>Table1_2[SL Xuất] - Table1_2[SL Xuất KM]</f>
        <v>2</v>
      </c>
    </row>
    <row r="605" spans="1:17" x14ac:dyDescent="0.25">
      <c r="A605">
        <v>604</v>
      </c>
      <c r="B605" t="s">
        <v>1218</v>
      </c>
      <c r="C605" t="s">
        <v>1219</v>
      </c>
      <c r="D605" t="s">
        <v>45</v>
      </c>
      <c r="E605">
        <v>225000</v>
      </c>
      <c r="F605">
        <v>0</v>
      </c>
      <c r="G605">
        <v>30</v>
      </c>
      <c r="H605">
        <v>285000</v>
      </c>
      <c r="I605">
        <v>60000</v>
      </c>
      <c r="J605" s="1">
        <v>45240</v>
      </c>
      <c r="K605" t="s">
        <v>1022</v>
      </c>
      <c r="L605">
        <v>11</v>
      </c>
      <c r="M605">
        <v>2023</v>
      </c>
      <c r="N605">
        <f t="shared" si="9"/>
        <v>-165000</v>
      </c>
      <c r="O605" s="19">
        <f>IF(Table1_2[Tiền Nhập]&lt;&gt;0, Table1_2[Lợi Nhuận Gộp]/Table1_2[Tiền Nhập], 0)</f>
        <v>-0.73333333333333328</v>
      </c>
      <c r="P605">
        <f>IF(Table1_2[SL Xuất]&gt;0, Table1_2[Tiền Xuất]/Table1_2[SL Xuất], 0)</f>
        <v>9500</v>
      </c>
      <c r="Q605">
        <f>Table1_2[SL Xuất] - Table1_2[SL Xuất KM]</f>
        <v>30</v>
      </c>
    </row>
    <row r="606" spans="1:17" x14ac:dyDescent="0.25">
      <c r="A606">
        <v>605</v>
      </c>
      <c r="B606" t="s">
        <v>1220</v>
      </c>
      <c r="C606" t="s">
        <v>1221</v>
      </c>
      <c r="D606" t="s">
        <v>13</v>
      </c>
      <c r="E606">
        <v>104400</v>
      </c>
      <c r="F606">
        <v>0</v>
      </c>
      <c r="G606">
        <v>36</v>
      </c>
      <c r="H606">
        <v>144000</v>
      </c>
      <c r="I606">
        <v>39600</v>
      </c>
      <c r="J606" s="1">
        <v>45240</v>
      </c>
      <c r="K606" t="s">
        <v>1224</v>
      </c>
      <c r="L606">
        <v>11</v>
      </c>
      <c r="M606">
        <v>2023</v>
      </c>
      <c r="N606">
        <f t="shared" si="9"/>
        <v>-64800</v>
      </c>
      <c r="O606" s="19">
        <f>IF(Table1_2[Tiền Nhập]&lt;&gt;0, Table1_2[Lợi Nhuận Gộp]/Table1_2[Tiền Nhập], 0)</f>
        <v>-0.62068965517241381</v>
      </c>
      <c r="P606">
        <f>IF(Table1_2[SL Xuất]&gt;0, Table1_2[Tiền Xuất]/Table1_2[SL Xuất], 0)</f>
        <v>4000</v>
      </c>
      <c r="Q606">
        <f>Table1_2[SL Xuất] - Table1_2[SL Xuất KM]</f>
        <v>36</v>
      </c>
    </row>
    <row r="607" spans="1:17" x14ac:dyDescent="0.25">
      <c r="A607">
        <v>606</v>
      </c>
      <c r="B607" t="s">
        <v>1225</v>
      </c>
      <c r="C607" t="s">
        <v>1226</v>
      </c>
      <c r="D607" t="s">
        <v>45</v>
      </c>
      <c r="E607">
        <v>64000</v>
      </c>
      <c r="F607">
        <v>0</v>
      </c>
      <c r="G607">
        <v>2</v>
      </c>
      <c r="H607">
        <v>80000</v>
      </c>
      <c r="I607">
        <v>16000</v>
      </c>
      <c r="J607" s="1">
        <v>45240</v>
      </c>
      <c r="K607" t="s">
        <v>1227</v>
      </c>
      <c r="L607">
        <v>11</v>
      </c>
      <c r="M607">
        <v>2023</v>
      </c>
      <c r="N607">
        <f t="shared" si="9"/>
        <v>-48000</v>
      </c>
      <c r="O607" s="19">
        <f>IF(Table1_2[Tiền Nhập]&lt;&gt;0, Table1_2[Lợi Nhuận Gộp]/Table1_2[Tiền Nhập], 0)</f>
        <v>-0.75</v>
      </c>
      <c r="P607">
        <f>IF(Table1_2[SL Xuất]&gt;0, Table1_2[Tiền Xuất]/Table1_2[SL Xuất], 0)</f>
        <v>40000</v>
      </c>
      <c r="Q607">
        <f>Table1_2[SL Xuất] - Table1_2[SL Xuất KM]</f>
        <v>2</v>
      </c>
    </row>
    <row r="608" spans="1:17" x14ac:dyDescent="0.25">
      <c r="A608">
        <v>607</v>
      </c>
      <c r="B608" t="s">
        <v>403</v>
      </c>
      <c r="C608" t="s">
        <v>404</v>
      </c>
      <c r="D608" t="s">
        <v>369</v>
      </c>
      <c r="E608">
        <v>156000</v>
      </c>
      <c r="F608">
        <v>0</v>
      </c>
      <c r="G608">
        <v>2</v>
      </c>
      <c r="H608">
        <v>172000</v>
      </c>
      <c r="I608">
        <v>16000</v>
      </c>
      <c r="J608" s="1">
        <v>45240</v>
      </c>
      <c r="K608" t="s">
        <v>1227</v>
      </c>
      <c r="L608">
        <v>11</v>
      </c>
      <c r="M608">
        <v>2023</v>
      </c>
      <c r="N608">
        <f t="shared" si="9"/>
        <v>-140000</v>
      </c>
      <c r="O608" s="19">
        <f>IF(Table1_2[Tiền Nhập]&lt;&gt;0, Table1_2[Lợi Nhuận Gộp]/Table1_2[Tiền Nhập], 0)</f>
        <v>-0.89743589743589747</v>
      </c>
      <c r="P608">
        <f>IF(Table1_2[SL Xuất]&gt;0, Table1_2[Tiền Xuất]/Table1_2[SL Xuất], 0)</f>
        <v>86000</v>
      </c>
      <c r="Q608">
        <f>Table1_2[SL Xuất] - Table1_2[SL Xuất KM]</f>
        <v>2</v>
      </c>
    </row>
    <row r="609" spans="1:17" x14ac:dyDescent="0.25">
      <c r="A609">
        <v>608</v>
      </c>
      <c r="B609" t="s">
        <v>259</v>
      </c>
      <c r="C609" t="s">
        <v>260</v>
      </c>
      <c r="D609" t="s">
        <v>88</v>
      </c>
      <c r="E609">
        <v>600000</v>
      </c>
      <c r="F609">
        <v>0</v>
      </c>
      <c r="G609">
        <v>6</v>
      </c>
      <c r="H609">
        <v>1308000</v>
      </c>
      <c r="I609">
        <v>708000</v>
      </c>
      <c r="J609" s="1">
        <v>45241</v>
      </c>
      <c r="K609" t="s">
        <v>1230</v>
      </c>
      <c r="L609">
        <v>11</v>
      </c>
      <c r="M609">
        <v>2023</v>
      </c>
      <c r="N609">
        <f t="shared" si="9"/>
        <v>108000</v>
      </c>
      <c r="O609" s="19">
        <f>IF(Table1_2[Tiền Nhập]&lt;&gt;0, Table1_2[Lợi Nhuận Gộp]/Table1_2[Tiền Nhập], 0)</f>
        <v>0.18</v>
      </c>
      <c r="P609">
        <f>IF(Table1_2[SL Xuất]&gt;0, Table1_2[Tiền Xuất]/Table1_2[SL Xuất], 0)</f>
        <v>218000</v>
      </c>
      <c r="Q609">
        <f>Table1_2[SL Xuất] - Table1_2[SL Xuất KM]</f>
        <v>6</v>
      </c>
    </row>
    <row r="610" spans="1:17" x14ac:dyDescent="0.25">
      <c r="A610">
        <v>609</v>
      </c>
      <c r="B610" t="s">
        <v>261</v>
      </c>
      <c r="C610" t="s">
        <v>262</v>
      </c>
      <c r="D610" t="s">
        <v>88</v>
      </c>
      <c r="E610">
        <v>0</v>
      </c>
      <c r="F610">
        <v>6</v>
      </c>
      <c r="G610">
        <v>0</v>
      </c>
      <c r="H610">
        <v>-654000</v>
      </c>
      <c r="I610">
        <v>-654000</v>
      </c>
      <c r="J610" s="1">
        <v>45241</v>
      </c>
      <c r="K610" t="s">
        <v>1230</v>
      </c>
      <c r="L610">
        <v>11</v>
      </c>
      <c r="M610">
        <v>2023</v>
      </c>
      <c r="N610">
        <f t="shared" si="9"/>
        <v>-654000</v>
      </c>
      <c r="O610" s="19">
        <f>IF(Table1_2[Tiền Nhập]&lt;&gt;0, Table1_2[Lợi Nhuận Gộp]/Table1_2[Tiền Nhập], 0)</f>
        <v>0</v>
      </c>
      <c r="P610">
        <f>IF(Table1_2[SL Xuất]&gt;0, Table1_2[Tiền Xuất]/Table1_2[SL Xuất], 0)</f>
        <v>0</v>
      </c>
      <c r="Q610">
        <f>Table1_2[SL Xuất] - Table1_2[SL Xuất KM]</f>
        <v>-6</v>
      </c>
    </row>
    <row r="611" spans="1:17" x14ac:dyDescent="0.25">
      <c r="A611">
        <v>610</v>
      </c>
      <c r="B611" t="s">
        <v>111</v>
      </c>
      <c r="C611" t="s">
        <v>112</v>
      </c>
      <c r="D611" t="s">
        <v>13</v>
      </c>
      <c r="E611">
        <v>231000</v>
      </c>
      <c r="F611">
        <v>0</v>
      </c>
      <c r="G611">
        <v>30</v>
      </c>
      <c r="H611">
        <v>300000</v>
      </c>
      <c r="I611">
        <v>69000</v>
      </c>
      <c r="J611" s="1">
        <v>45241</v>
      </c>
      <c r="K611" t="s">
        <v>1230</v>
      </c>
      <c r="L611">
        <v>11</v>
      </c>
      <c r="M611">
        <v>2023</v>
      </c>
      <c r="N611">
        <f t="shared" si="9"/>
        <v>-162000</v>
      </c>
      <c r="O611" s="19">
        <f>IF(Table1_2[Tiền Nhập]&lt;&gt;0, Table1_2[Lợi Nhuận Gộp]/Table1_2[Tiền Nhập], 0)</f>
        <v>-0.70129870129870131</v>
      </c>
      <c r="P611">
        <f>IF(Table1_2[SL Xuất]&gt;0, Table1_2[Tiền Xuất]/Table1_2[SL Xuất], 0)</f>
        <v>10000</v>
      </c>
      <c r="Q611">
        <f>Table1_2[SL Xuất] - Table1_2[SL Xuất KM]</f>
        <v>30</v>
      </c>
    </row>
    <row r="612" spans="1:17" x14ac:dyDescent="0.25">
      <c r="A612">
        <v>611</v>
      </c>
      <c r="B612" t="s">
        <v>1205</v>
      </c>
      <c r="C612" t="s">
        <v>1206</v>
      </c>
      <c r="D612" t="s">
        <v>220</v>
      </c>
      <c r="E612">
        <v>115000</v>
      </c>
      <c r="F612">
        <v>0</v>
      </c>
      <c r="G612">
        <v>1</v>
      </c>
      <c r="H612">
        <v>150000</v>
      </c>
      <c r="I612">
        <v>35000</v>
      </c>
      <c r="J612" s="1">
        <v>45243</v>
      </c>
      <c r="K612" t="s">
        <v>388</v>
      </c>
      <c r="L612">
        <v>11</v>
      </c>
      <c r="M612">
        <v>2023</v>
      </c>
      <c r="N612">
        <f t="shared" si="9"/>
        <v>-80000</v>
      </c>
      <c r="O612" s="19">
        <f>IF(Table1_2[Tiền Nhập]&lt;&gt;0, Table1_2[Lợi Nhuận Gộp]/Table1_2[Tiền Nhập], 0)</f>
        <v>-0.69565217391304346</v>
      </c>
      <c r="P612">
        <f>IF(Table1_2[SL Xuất]&gt;0, Table1_2[Tiền Xuất]/Table1_2[SL Xuất], 0)</f>
        <v>150000</v>
      </c>
      <c r="Q612">
        <f>Table1_2[SL Xuất] - Table1_2[SL Xuất KM]</f>
        <v>1</v>
      </c>
    </row>
    <row r="613" spans="1:17" x14ac:dyDescent="0.25">
      <c r="A613">
        <v>612</v>
      </c>
      <c r="B613" t="s">
        <v>1107</v>
      </c>
      <c r="C613" t="s">
        <v>1108</v>
      </c>
      <c r="D613" t="s">
        <v>45</v>
      </c>
      <c r="E613">
        <v>93336</v>
      </c>
      <c r="F613">
        <v>0</v>
      </c>
      <c r="G613">
        <v>8</v>
      </c>
      <c r="H613">
        <v>112000</v>
      </c>
      <c r="I613">
        <v>18664</v>
      </c>
      <c r="J613" s="1">
        <v>45243</v>
      </c>
      <c r="K613" t="s">
        <v>388</v>
      </c>
      <c r="L613">
        <v>11</v>
      </c>
      <c r="M613">
        <v>2023</v>
      </c>
      <c r="N613">
        <f t="shared" si="9"/>
        <v>-74672</v>
      </c>
      <c r="O613" s="19">
        <f>IF(Table1_2[Tiền Nhập]&lt;&gt;0, Table1_2[Lợi Nhuận Gộp]/Table1_2[Tiền Nhập], 0)</f>
        <v>-0.80003428473472182</v>
      </c>
      <c r="P613">
        <f>IF(Table1_2[SL Xuất]&gt;0, Table1_2[Tiền Xuất]/Table1_2[SL Xuất], 0)</f>
        <v>14000</v>
      </c>
      <c r="Q613">
        <f>Table1_2[SL Xuất] - Table1_2[SL Xuất KM]</f>
        <v>8</v>
      </c>
    </row>
    <row r="614" spans="1:17" x14ac:dyDescent="0.25">
      <c r="A614">
        <v>613</v>
      </c>
      <c r="B614" t="s">
        <v>1111</v>
      </c>
      <c r="C614" t="s">
        <v>1112</v>
      </c>
      <c r="D614" t="s">
        <v>45</v>
      </c>
      <c r="E614">
        <v>93336</v>
      </c>
      <c r="F614">
        <v>0</v>
      </c>
      <c r="G614">
        <v>8</v>
      </c>
      <c r="H614">
        <v>112000</v>
      </c>
      <c r="I614">
        <v>18664</v>
      </c>
      <c r="J614" s="1">
        <v>45243</v>
      </c>
      <c r="K614" t="s">
        <v>388</v>
      </c>
      <c r="L614">
        <v>11</v>
      </c>
      <c r="M614">
        <v>2023</v>
      </c>
      <c r="N614">
        <f t="shared" si="9"/>
        <v>-74672</v>
      </c>
      <c r="O614" s="19">
        <f>IF(Table1_2[Tiền Nhập]&lt;&gt;0, Table1_2[Lợi Nhuận Gộp]/Table1_2[Tiền Nhập], 0)</f>
        <v>-0.80003428473472182</v>
      </c>
      <c r="P614">
        <f>IF(Table1_2[SL Xuất]&gt;0, Table1_2[Tiền Xuất]/Table1_2[SL Xuất], 0)</f>
        <v>14000</v>
      </c>
      <c r="Q614">
        <f>Table1_2[SL Xuất] - Table1_2[SL Xuất KM]</f>
        <v>8</v>
      </c>
    </row>
    <row r="615" spans="1:17" x14ac:dyDescent="0.25">
      <c r="A615">
        <v>614</v>
      </c>
      <c r="B615" t="s">
        <v>1113</v>
      </c>
      <c r="C615" t="s">
        <v>1114</v>
      </c>
      <c r="D615" t="s">
        <v>45</v>
      </c>
      <c r="E615">
        <v>93336</v>
      </c>
      <c r="F615">
        <v>4</v>
      </c>
      <c r="G615">
        <v>8</v>
      </c>
      <c r="H615">
        <v>64000</v>
      </c>
      <c r="I615">
        <v>-29336</v>
      </c>
      <c r="J615" s="1">
        <v>45243</v>
      </c>
      <c r="K615" t="s">
        <v>388</v>
      </c>
      <c r="L615">
        <v>11</v>
      </c>
      <c r="M615">
        <v>2023</v>
      </c>
      <c r="N615">
        <f t="shared" si="9"/>
        <v>-122672</v>
      </c>
      <c r="O615" s="19">
        <f>IF(Table1_2[Tiền Nhập]&lt;&gt;0, Table1_2[Lợi Nhuận Gộp]/Table1_2[Tiền Nhập], 0)</f>
        <v>-1.3143053055626983</v>
      </c>
      <c r="P615">
        <f>IF(Table1_2[SL Xuất]&gt;0, Table1_2[Tiền Xuất]/Table1_2[SL Xuất], 0)</f>
        <v>8000</v>
      </c>
      <c r="Q615">
        <f>Table1_2[SL Xuất] - Table1_2[SL Xuất KM]</f>
        <v>4</v>
      </c>
    </row>
    <row r="616" spans="1:17" x14ac:dyDescent="0.25">
      <c r="A616">
        <v>615</v>
      </c>
      <c r="B616" t="s">
        <v>957</v>
      </c>
      <c r="C616" t="s">
        <v>958</v>
      </c>
      <c r="D616" t="s">
        <v>88</v>
      </c>
      <c r="E616">
        <v>66665</v>
      </c>
      <c r="F616">
        <v>2</v>
      </c>
      <c r="G616">
        <v>5</v>
      </c>
      <c r="H616">
        <v>54000</v>
      </c>
      <c r="I616">
        <v>-12665</v>
      </c>
      <c r="J616" s="1">
        <v>45243</v>
      </c>
      <c r="K616" t="s">
        <v>388</v>
      </c>
      <c r="L616">
        <v>11</v>
      </c>
      <c r="M616">
        <v>2023</v>
      </c>
      <c r="N616">
        <f t="shared" si="9"/>
        <v>-79330</v>
      </c>
      <c r="O616" s="19">
        <f>IF(Table1_2[Tiền Nhập]&lt;&gt;0, Table1_2[Lợi Nhuận Gộp]/Table1_2[Tiền Nhập], 0)</f>
        <v>-1.1899797494937374</v>
      </c>
      <c r="P616">
        <f>IF(Table1_2[SL Xuất]&gt;0, Table1_2[Tiền Xuất]/Table1_2[SL Xuất], 0)</f>
        <v>10800</v>
      </c>
      <c r="Q616">
        <f>Table1_2[SL Xuất] - Table1_2[SL Xuất KM]</f>
        <v>3</v>
      </c>
    </row>
    <row r="617" spans="1:17" x14ac:dyDescent="0.25">
      <c r="A617">
        <v>616</v>
      </c>
      <c r="B617" t="s">
        <v>962</v>
      </c>
      <c r="C617" t="s">
        <v>963</v>
      </c>
      <c r="D617" t="s">
        <v>88</v>
      </c>
      <c r="E617">
        <v>66665</v>
      </c>
      <c r="F617">
        <v>0</v>
      </c>
      <c r="G617">
        <v>5</v>
      </c>
      <c r="H617">
        <v>80000</v>
      </c>
      <c r="I617">
        <v>13335</v>
      </c>
      <c r="J617" s="1">
        <v>45243</v>
      </c>
      <c r="K617" t="s">
        <v>388</v>
      </c>
      <c r="L617">
        <v>11</v>
      </c>
      <c r="M617">
        <v>2023</v>
      </c>
      <c r="N617">
        <f t="shared" si="9"/>
        <v>-53330</v>
      </c>
      <c r="O617" s="19">
        <f>IF(Table1_2[Tiền Nhập]&lt;&gt;0, Table1_2[Lợi Nhuận Gộp]/Table1_2[Tiền Nhập], 0)</f>
        <v>-0.79996999924998125</v>
      </c>
      <c r="P617">
        <f>IF(Table1_2[SL Xuất]&gt;0, Table1_2[Tiền Xuất]/Table1_2[SL Xuất], 0)</f>
        <v>16000</v>
      </c>
      <c r="Q617">
        <f>Table1_2[SL Xuất] - Table1_2[SL Xuất KM]</f>
        <v>5</v>
      </c>
    </row>
    <row r="618" spans="1:17" x14ac:dyDescent="0.25">
      <c r="A618">
        <v>617</v>
      </c>
      <c r="B618" t="s">
        <v>400</v>
      </c>
      <c r="C618" t="s">
        <v>401</v>
      </c>
      <c r="D618" t="s">
        <v>13</v>
      </c>
      <c r="E618">
        <v>450000</v>
      </c>
      <c r="F618">
        <v>0</v>
      </c>
      <c r="G618">
        <v>60</v>
      </c>
      <c r="H618">
        <v>480000</v>
      </c>
      <c r="I618">
        <v>30000</v>
      </c>
      <c r="J618" s="1">
        <v>45243</v>
      </c>
      <c r="K618" t="s">
        <v>388</v>
      </c>
      <c r="L618">
        <v>11</v>
      </c>
      <c r="M618">
        <v>2023</v>
      </c>
      <c r="N618">
        <f t="shared" si="9"/>
        <v>-420000</v>
      </c>
      <c r="O618" s="19">
        <f>IF(Table1_2[Tiền Nhập]&lt;&gt;0, Table1_2[Lợi Nhuận Gộp]/Table1_2[Tiền Nhập], 0)</f>
        <v>-0.93333333333333335</v>
      </c>
      <c r="P618">
        <f>IF(Table1_2[SL Xuất]&gt;0, Table1_2[Tiền Xuất]/Table1_2[SL Xuất], 0)</f>
        <v>8000</v>
      </c>
      <c r="Q618">
        <f>Table1_2[SL Xuất] - Table1_2[SL Xuất KM]</f>
        <v>60</v>
      </c>
    </row>
    <row r="619" spans="1:17" x14ac:dyDescent="0.25">
      <c r="A619">
        <v>618</v>
      </c>
      <c r="B619" t="s">
        <v>452</v>
      </c>
      <c r="C619" t="s">
        <v>453</v>
      </c>
      <c r="D619" t="s">
        <v>88</v>
      </c>
      <c r="E619">
        <v>1215000</v>
      </c>
      <c r="F619">
        <v>0</v>
      </c>
      <c r="G619">
        <v>6</v>
      </c>
      <c r="H619">
        <v>1620000</v>
      </c>
      <c r="I619">
        <v>405000</v>
      </c>
      <c r="J619" s="1">
        <v>45243</v>
      </c>
      <c r="K619" t="s">
        <v>176</v>
      </c>
      <c r="L619">
        <v>11</v>
      </c>
      <c r="M619">
        <v>2023</v>
      </c>
      <c r="N619">
        <f t="shared" si="9"/>
        <v>-810000</v>
      </c>
      <c r="O619" s="19">
        <f>IF(Table1_2[Tiền Nhập]&lt;&gt;0, Table1_2[Lợi Nhuận Gộp]/Table1_2[Tiền Nhập], 0)</f>
        <v>-0.66666666666666663</v>
      </c>
      <c r="P619">
        <f>IF(Table1_2[SL Xuất]&gt;0, Table1_2[Tiền Xuất]/Table1_2[SL Xuất], 0)</f>
        <v>270000</v>
      </c>
      <c r="Q619">
        <f>Table1_2[SL Xuất] - Table1_2[SL Xuất KM]</f>
        <v>6</v>
      </c>
    </row>
    <row r="620" spans="1:17" x14ac:dyDescent="0.25">
      <c r="A620">
        <v>619</v>
      </c>
      <c r="B620" t="s">
        <v>169</v>
      </c>
      <c r="C620" t="s">
        <v>170</v>
      </c>
      <c r="D620" t="s">
        <v>88</v>
      </c>
      <c r="E620">
        <v>1152000</v>
      </c>
      <c r="F620">
        <v>0</v>
      </c>
      <c r="G620">
        <v>6</v>
      </c>
      <c r="H620">
        <v>1440000</v>
      </c>
      <c r="I620">
        <v>288000</v>
      </c>
      <c r="J620" s="1">
        <v>45243</v>
      </c>
      <c r="K620" t="s">
        <v>176</v>
      </c>
      <c r="L620">
        <v>11</v>
      </c>
      <c r="M620">
        <v>2023</v>
      </c>
      <c r="N620">
        <f t="shared" si="9"/>
        <v>-864000</v>
      </c>
      <c r="O620" s="19">
        <f>IF(Table1_2[Tiền Nhập]&lt;&gt;0, Table1_2[Lợi Nhuận Gộp]/Table1_2[Tiền Nhập], 0)</f>
        <v>-0.75</v>
      </c>
      <c r="P620">
        <f>IF(Table1_2[SL Xuất]&gt;0, Table1_2[Tiền Xuất]/Table1_2[SL Xuất], 0)</f>
        <v>240000</v>
      </c>
      <c r="Q620">
        <f>Table1_2[SL Xuất] - Table1_2[SL Xuất KM]</f>
        <v>6</v>
      </c>
    </row>
    <row r="621" spans="1:17" x14ac:dyDescent="0.25">
      <c r="A621">
        <v>620</v>
      </c>
      <c r="B621" t="s">
        <v>429</v>
      </c>
      <c r="C621" t="s">
        <v>430</v>
      </c>
      <c r="D621" t="s">
        <v>88</v>
      </c>
      <c r="E621">
        <v>0</v>
      </c>
      <c r="F621">
        <v>6</v>
      </c>
      <c r="G621">
        <v>0</v>
      </c>
      <c r="H621">
        <v>-654000</v>
      </c>
      <c r="I621">
        <v>-654000</v>
      </c>
      <c r="J621" s="1">
        <v>45243</v>
      </c>
      <c r="K621" t="s">
        <v>176</v>
      </c>
      <c r="L621">
        <v>11</v>
      </c>
      <c r="M621">
        <v>2023</v>
      </c>
      <c r="N621">
        <f t="shared" si="9"/>
        <v>-654000</v>
      </c>
      <c r="O621" s="19">
        <f>IF(Table1_2[Tiền Nhập]&lt;&gt;0, Table1_2[Lợi Nhuận Gộp]/Table1_2[Tiền Nhập], 0)</f>
        <v>0</v>
      </c>
      <c r="P621">
        <f>IF(Table1_2[SL Xuất]&gt;0, Table1_2[Tiền Xuất]/Table1_2[SL Xuất], 0)</f>
        <v>0</v>
      </c>
      <c r="Q621">
        <f>Table1_2[SL Xuất] - Table1_2[SL Xuất KM]</f>
        <v>-6</v>
      </c>
    </row>
    <row r="622" spans="1:17" x14ac:dyDescent="0.25">
      <c r="A622">
        <v>621</v>
      </c>
      <c r="B622" t="s">
        <v>259</v>
      </c>
      <c r="C622" t="s">
        <v>260</v>
      </c>
      <c r="D622" t="s">
        <v>88</v>
      </c>
      <c r="E622">
        <v>0</v>
      </c>
      <c r="F622">
        <v>3</v>
      </c>
      <c r="G622">
        <v>0</v>
      </c>
      <c r="H622">
        <v>-327000</v>
      </c>
      <c r="I622">
        <v>-327000</v>
      </c>
      <c r="J622" s="1">
        <v>45243</v>
      </c>
      <c r="K622" t="s">
        <v>176</v>
      </c>
      <c r="L622">
        <v>11</v>
      </c>
      <c r="M622">
        <v>2023</v>
      </c>
      <c r="N622">
        <f t="shared" si="9"/>
        <v>-327000</v>
      </c>
      <c r="O622" s="19">
        <f>IF(Table1_2[Tiền Nhập]&lt;&gt;0, Table1_2[Lợi Nhuận Gộp]/Table1_2[Tiền Nhập], 0)</f>
        <v>0</v>
      </c>
      <c r="P622">
        <f>IF(Table1_2[SL Xuất]&gt;0, Table1_2[Tiền Xuất]/Table1_2[SL Xuất], 0)</f>
        <v>0</v>
      </c>
      <c r="Q622">
        <f>Table1_2[SL Xuất] - Table1_2[SL Xuất KM]</f>
        <v>-3</v>
      </c>
    </row>
    <row r="623" spans="1:17" x14ac:dyDescent="0.25">
      <c r="A623">
        <v>622</v>
      </c>
      <c r="B623" t="s">
        <v>459</v>
      </c>
      <c r="C623" t="s">
        <v>460</v>
      </c>
      <c r="D623" t="s">
        <v>88</v>
      </c>
      <c r="E623">
        <v>900000</v>
      </c>
      <c r="F623">
        <v>0</v>
      </c>
      <c r="G623">
        <v>6</v>
      </c>
      <c r="H623">
        <v>1308000</v>
      </c>
      <c r="I623">
        <v>408000</v>
      </c>
      <c r="J623" s="1">
        <v>45243</v>
      </c>
      <c r="K623" t="s">
        <v>176</v>
      </c>
      <c r="L623">
        <v>11</v>
      </c>
      <c r="M623">
        <v>2023</v>
      </c>
      <c r="N623">
        <f t="shared" si="9"/>
        <v>-492000</v>
      </c>
      <c r="O623" s="19">
        <f>IF(Table1_2[Tiền Nhập]&lt;&gt;0, Table1_2[Lợi Nhuận Gộp]/Table1_2[Tiền Nhập], 0)</f>
        <v>-0.54666666666666663</v>
      </c>
      <c r="P623">
        <f>IF(Table1_2[SL Xuất]&gt;0, Table1_2[Tiền Xuất]/Table1_2[SL Xuất], 0)</f>
        <v>218000</v>
      </c>
      <c r="Q623">
        <f>Table1_2[SL Xuất] - Table1_2[SL Xuất KM]</f>
        <v>6</v>
      </c>
    </row>
    <row r="624" spans="1:17" x14ac:dyDescent="0.25">
      <c r="A624">
        <v>623</v>
      </c>
      <c r="B624" t="s">
        <v>240</v>
      </c>
      <c r="C624" t="s">
        <v>241</v>
      </c>
      <c r="D624" t="s">
        <v>88</v>
      </c>
      <c r="E624">
        <v>535500</v>
      </c>
      <c r="F624">
        <v>6</v>
      </c>
      <c r="G624">
        <v>36</v>
      </c>
      <c r="H624">
        <v>525000</v>
      </c>
      <c r="I624">
        <v>-10500</v>
      </c>
      <c r="J624" s="1">
        <v>45243</v>
      </c>
      <c r="K624" t="s">
        <v>66</v>
      </c>
      <c r="L624">
        <v>11</v>
      </c>
      <c r="M624">
        <v>2023</v>
      </c>
      <c r="N624">
        <f t="shared" si="9"/>
        <v>-546000</v>
      </c>
      <c r="O624" s="19">
        <f>IF(Table1_2[Tiền Nhập]&lt;&gt;0, Table1_2[Lợi Nhuận Gộp]/Table1_2[Tiền Nhập], 0)</f>
        <v>-1.0196078431372548</v>
      </c>
      <c r="P624">
        <f>IF(Table1_2[SL Xuất]&gt;0, Table1_2[Tiền Xuất]/Table1_2[SL Xuất], 0)</f>
        <v>14583.333333333334</v>
      </c>
      <c r="Q624">
        <f>Table1_2[SL Xuất] - Table1_2[SL Xuất KM]</f>
        <v>30</v>
      </c>
    </row>
    <row r="625" spans="1:17" x14ac:dyDescent="0.25">
      <c r="A625">
        <v>624</v>
      </c>
      <c r="B625" t="s">
        <v>1240</v>
      </c>
      <c r="C625" t="s">
        <v>1241</v>
      </c>
      <c r="D625" t="s">
        <v>13</v>
      </c>
      <c r="E625">
        <v>175000</v>
      </c>
      <c r="F625">
        <v>2</v>
      </c>
      <c r="G625">
        <v>10</v>
      </c>
      <c r="H625">
        <v>167000</v>
      </c>
      <c r="I625">
        <v>-8000</v>
      </c>
      <c r="J625" s="1">
        <v>45243</v>
      </c>
      <c r="K625" t="s">
        <v>1244</v>
      </c>
      <c r="L625">
        <v>11</v>
      </c>
      <c r="M625">
        <v>2023</v>
      </c>
      <c r="N625">
        <f t="shared" si="9"/>
        <v>-183000</v>
      </c>
      <c r="O625" s="19">
        <f>IF(Table1_2[Tiền Nhập]&lt;&gt;0, Table1_2[Lợi Nhuận Gộp]/Table1_2[Tiền Nhập], 0)</f>
        <v>-1.0457142857142858</v>
      </c>
      <c r="P625">
        <f>IF(Table1_2[SL Xuất]&gt;0, Table1_2[Tiền Xuất]/Table1_2[SL Xuất], 0)</f>
        <v>16700</v>
      </c>
      <c r="Q625">
        <f>Table1_2[SL Xuất] - Table1_2[SL Xuất KM]</f>
        <v>8</v>
      </c>
    </row>
    <row r="626" spans="1:17" x14ac:dyDescent="0.25">
      <c r="A626">
        <v>625</v>
      </c>
      <c r="B626" t="s">
        <v>613</v>
      </c>
      <c r="C626" t="s">
        <v>614</v>
      </c>
      <c r="D626" t="s">
        <v>88</v>
      </c>
      <c r="E626">
        <v>42084</v>
      </c>
      <c r="F626">
        <v>0</v>
      </c>
      <c r="G626">
        <v>1</v>
      </c>
      <c r="H626">
        <v>48000</v>
      </c>
      <c r="I626">
        <v>5916</v>
      </c>
      <c r="J626" s="1">
        <v>45243</v>
      </c>
      <c r="K626" t="s">
        <v>1245</v>
      </c>
      <c r="L626">
        <v>11</v>
      </c>
      <c r="M626">
        <v>2023</v>
      </c>
      <c r="N626">
        <f t="shared" si="9"/>
        <v>-36168</v>
      </c>
      <c r="O626" s="19">
        <f>IF(Table1_2[Tiền Nhập]&lt;&gt;0, Table1_2[Lợi Nhuận Gộp]/Table1_2[Tiền Nhập], 0)</f>
        <v>-0.85942400912460792</v>
      </c>
      <c r="P626">
        <f>IF(Table1_2[SL Xuất]&gt;0, Table1_2[Tiền Xuất]/Table1_2[SL Xuất], 0)</f>
        <v>48000</v>
      </c>
      <c r="Q626">
        <f>Table1_2[SL Xuất] - Table1_2[SL Xuất KM]</f>
        <v>1</v>
      </c>
    </row>
    <row r="627" spans="1:17" x14ac:dyDescent="0.25">
      <c r="A627">
        <v>626</v>
      </c>
      <c r="B627" t="s">
        <v>273</v>
      </c>
      <c r="C627" t="s">
        <v>274</v>
      </c>
      <c r="D627" t="s">
        <v>13</v>
      </c>
      <c r="E627">
        <v>195750</v>
      </c>
      <c r="F627">
        <v>0</v>
      </c>
      <c r="G627">
        <v>29</v>
      </c>
      <c r="H627">
        <v>217500</v>
      </c>
      <c r="I627">
        <v>21750</v>
      </c>
      <c r="J627" s="1">
        <v>45243</v>
      </c>
      <c r="K627" t="s">
        <v>1245</v>
      </c>
      <c r="L627">
        <v>11</v>
      </c>
      <c r="M627">
        <v>2023</v>
      </c>
      <c r="N627">
        <f t="shared" si="9"/>
        <v>-174000</v>
      </c>
      <c r="O627" s="19">
        <f>IF(Table1_2[Tiền Nhập]&lt;&gt;0, Table1_2[Lợi Nhuận Gộp]/Table1_2[Tiền Nhập], 0)</f>
        <v>-0.88888888888888884</v>
      </c>
      <c r="P627">
        <f>IF(Table1_2[SL Xuất]&gt;0, Table1_2[Tiền Xuất]/Table1_2[SL Xuất], 0)</f>
        <v>7500</v>
      </c>
      <c r="Q627">
        <f>Table1_2[SL Xuất] - Table1_2[SL Xuất KM]</f>
        <v>29</v>
      </c>
    </row>
    <row r="628" spans="1:17" x14ac:dyDescent="0.25">
      <c r="A628">
        <v>627</v>
      </c>
      <c r="B628" t="s">
        <v>1250</v>
      </c>
      <c r="C628" t="s">
        <v>1251</v>
      </c>
      <c r="D628" t="s">
        <v>88</v>
      </c>
      <c r="E628">
        <v>692064</v>
      </c>
      <c r="F628">
        <v>0</v>
      </c>
      <c r="G628">
        <v>36</v>
      </c>
      <c r="H628">
        <v>648000</v>
      </c>
      <c r="I628">
        <v>-44064</v>
      </c>
      <c r="J628" s="1">
        <v>45243</v>
      </c>
      <c r="K628" t="s">
        <v>76</v>
      </c>
      <c r="L628">
        <v>11</v>
      </c>
      <c r="M628">
        <v>2023</v>
      </c>
      <c r="N628">
        <f t="shared" si="9"/>
        <v>-736128</v>
      </c>
      <c r="O628" s="19">
        <f>IF(Table1_2[Tiền Nhập]&lt;&gt;0, Table1_2[Lợi Nhuận Gộp]/Table1_2[Tiền Nhập], 0)</f>
        <v>-1.0636704119850187</v>
      </c>
      <c r="P628">
        <f>IF(Table1_2[SL Xuất]&gt;0, Table1_2[Tiền Xuất]/Table1_2[SL Xuất], 0)</f>
        <v>18000</v>
      </c>
      <c r="Q628">
        <f>Table1_2[SL Xuất] - Table1_2[SL Xuất KM]</f>
        <v>36</v>
      </c>
    </row>
    <row r="629" spans="1:17" x14ac:dyDescent="0.25">
      <c r="A629">
        <v>628</v>
      </c>
      <c r="B629" t="s">
        <v>314</v>
      </c>
      <c r="C629" t="s">
        <v>315</v>
      </c>
      <c r="D629" t="s">
        <v>13</v>
      </c>
      <c r="E629">
        <v>576000</v>
      </c>
      <c r="F629">
        <v>0</v>
      </c>
      <c r="G629">
        <v>96</v>
      </c>
      <c r="H629">
        <v>720000</v>
      </c>
      <c r="I629">
        <v>144000</v>
      </c>
      <c r="J629" s="1">
        <v>45243</v>
      </c>
      <c r="K629" t="s">
        <v>428</v>
      </c>
      <c r="L629">
        <v>11</v>
      </c>
      <c r="M629">
        <v>2023</v>
      </c>
      <c r="N629">
        <f t="shared" si="9"/>
        <v>-432000</v>
      </c>
      <c r="O629" s="19">
        <f>IF(Table1_2[Tiền Nhập]&lt;&gt;0, Table1_2[Lợi Nhuận Gộp]/Table1_2[Tiền Nhập], 0)</f>
        <v>-0.75</v>
      </c>
      <c r="P629">
        <f>IF(Table1_2[SL Xuất]&gt;0, Table1_2[Tiền Xuất]/Table1_2[SL Xuất], 0)</f>
        <v>7500</v>
      </c>
      <c r="Q629">
        <f>Table1_2[SL Xuất] - Table1_2[SL Xuất KM]</f>
        <v>96</v>
      </c>
    </row>
    <row r="630" spans="1:17" x14ac:dyDescent="0.25">
      <c r="A630">
        <v>629</v>
      </c>
      <c r="B630" t="s">
        <v>429</v>
      </c>
      <c r="C630" t="s">
        <v>430</v>
      </c>
      <c r="D630" t="s">
        <v>88</v>
      </c>
      <c r="E630">
        <v>600000</v>
      </c>
      <c r="F630">
        <v>6</v>
      </c>
      <c r="G630">
        <v>6</v>
      </c>
      <c r="H630">
        <v>654000</v>
      </c>
      <c r="I630">
        <v>54000</v>
      </c>
      <c r="J630" s="1">
        <v>45243</v>
      </c>
      <c r="K630" t="s">
        <v>1143</v>
      </c>
      <c r="L630">
        <v>11</v>
      </c>
      <c r="M630">
        <v>2023</v>
      </c>
      <c r="N630">
        <f t="shared" si="9"/>
        <v>-546000</v>
      </c>
      <c r="O630" s="19">
        <f>IF(Table1_2[Tiền Nhập]&lt;&gt;0, Table1_2[Lợi Nhuận Gộp]/Table1_2[Tiền Nhập], 0)</f>
        <v>-0.91</v>
      </c>
      <c r="P630">
        <f>IF(Table1_2[SL Xuất]&gt;0, Table1_2[Tiền Xuất]/Table1_2[SL Xuất], 0)</f>
        <v>109000</v>
      </c>
      <c r="Q630">
        <f>Table1_2[SL Xuất] - Table1_2[SL Xuất KM]</f>
        <v>0</v>
      </c>
    </row>
    <row r="631" spans="1:17" x14ac:dyDescent="0.25">
      <c r="A631">
        <v>630</v>
      </c>
      <c r="B631" t="s">
        <v>259</v>
      </c>
      <c r="C631" t="s">
        <v>260</v>
      </c>
      <c r="D631" t="s">
        <v>88</v>
      </c>
      <c r="E631">
        <v>600000</v>
      </c>
      <c r="F631">
        <v>6</v>
      </c>
      <c r="G631">
        <v>6</v>
      </c>
      <c r="H631">
        <v>654000</v>
      </c>
      <c r="I631">
        <v>54000</v>
      </c>
      <c r="J631" s="1">
        <v>45243</v>
      </c>
      <c r="K631" t="s">
        <v>1143</v>
      </c>
      <c r="L631">
        <v>11</v>
      </c>
      <c r="M631">
        <v>2023</v>
      </c>
      <c r="N631">
        <f t="shared" si="9"/>
        <v>-546000</v>
      </c>
      <c r="O631" s="19">
        <f>IF(Table1_2[Tiền Nhập]&lt;&gt;0, Table1_2[Lợi Nhuận Gộp]/Table1_2[Tiền Nhập], 0)</f>
        <v>-0.91</v>
      </c>
      <c r="P631">
        <f>IF(Table1_2[SL Xuất]&gt;0, Table1_2[Tiền Xuất]/Table1_2[SL Xuất], 0)</f>
        <v>109000</v>
      </c>
      <c r="Q631">
        <f>Table1_2[SL Xuất] - Table1_2[SL Xuất KM]</f>
        <v>0</v>
      </c>
    </row>
    <row r="632" spans="1:17" x14ac:dyDescent="0.25">
      <c r="A632">
        <v>631</v>
      </c>
      <c r="B632" t="s">
        <v>1205</v>
      </c>
      <c r="C632" t="s">
        <v>1206</v>
      </c>
      <c r="D632" t="s">
        <v>220</v>
      </c>
      <c r="E632">
        <v>230000</v>
      </c>
      <c r="F632">
        <v>0</v>
      </c>
      <c r="G632">
        <v>2</v>
      </c>
      <c r="H632">
        <v>390000</v>
      </c>
      <c r="I632">
        <v>160000</v>
      </c>
      <c r="J632" s="1">
        <v>45243</v>
      </c>
      <c r="K632" t="s">
        <v>280</v>
      </c>
      <c r="L632">
        <v>11</v>
      </c>
      <c r="M632">
        <v>2023</v>
      </c>
      <c r="N632">
        <f t="shared" si="9"/>
        <v>-70000</v>
      </c>
      <c r="O632" s="19">
        <f>IF(Table1_2[Tiền Nhập]&lt;&gt;0, Table1_2[Lợi Nhuận Gộp]/Table1_2[Tiền Nhập], 0)</f>
        <v>-0.30434782608695654</v>
      </c>
      <c r="P632">
        <f>IF(Table1_2[SL Xuất]&gt;0, Table1_2[Tiền Xuất]/Table1_2[SL Xuất], 0)</f>
        <v>195000</v>
      </c>
      <c r="Q632">
        <f>Table1_2[SL Xuất] - Table1_2[SL Xuất KM]</f>
        <v>2</v>
      </c>
    </row>
    <row r="633" spans="1:17" x14ac:dyDescent="0.25">
      <c r="A633">
        <v>632</v>
      </c>
      <c r="B633" t="s">
        <v>429</v>
      </c>
      <c r="C633" t="s">
        <v>430</v>
      </c>
      <c r="D633" t="s">
        <v>88</v>
      </c>
      <c r="E633">
        <v>0</v>
      </c>
      <c r="F633">
        <v>3</v>
      </c>
      <c r="G633">
        <v>0</v>
      </c>
      <c r="H633">
        <v>-327000</v>
      </c>
      <c r="I633">
        <v>-327000</v>
      </c>
      <c r="J633" s="1">
        <v>45243</v>
      </c>
      <c r="K633" t="s">
        <v>280</v>
      </c>
      <c r="L633">
        <v>11</v>
      </c>
      <c r="M633">
        <v>2023</v>
      </c>
      <c r="N633">
        <f t="shared" si="9"/>
        <v>-327000</v>
      </c>
      <c r="O633" s="19">
        <f>IF(Table1_2[Tiền Nhập]&lt;&gt;0, Table1_2[Lợi Nhuận Gộp]/Table1_2[Tiền Nhập], 0)</f>
        <v>0</v>
      </c>
      <c r="P633">
        <f>IF(Table1_2[SL Xuất]&gt;0, Table1_2[Tiền Xuất]/Table1_2[SL Xuất], 0)</f>
        <v>0</v>
      </c>
      <c r="Q633">
        <f>Table1_2[SL Xuất] - Table1_2[SL Xuất KM]</f>
        <v>-3</v>
      </c>
    </row>
    <row r="634" spans="1:17" x14ac:dyDescent="0.25">
      <c r="A634">
        <v>633</v>
      </c>
      <c r="B634" t="s">
        <v>259</v>
      </c>
      <c r="C634" t="s">
        <v>260</v>
      </c>
      <c r="D634" t="s">
        <v>88</v>
      </c>
      <c r="E634">
        <v>600000</v>
      </c>
      <c r="F634">
        <v>3</v>
      </c>
      <c r="G634">
        <v>6</v>
      </c>
      <c r="H634">
        <v>981000</v>
      </c>
      <c r="I634">
        <v>381000</v>
      </c>
      <c r="J634" s="1">
        <v>45243</v>
      </c>
      <c r="K634" t="s">
        <v>280</v>
      </c>
      <c r="L634">
        <v>11</v>
      </c>
      <c r="M634">
        <v>2023</v>
      </c>
      <c r="N634">
        <f t="shared" si="9"/>
        <v>-219000</v>
      </c>
      <c r="O634" s="19">
        <f>IF(Table1_2[Tiền Nhập]&lt;&gt;0, Table1_2[Lợi Nhuận Gộp]/Table1_2[Tiền Nhập], 0)</f>
        <v>-0.36499999999999999</v>
      </c>
      <c r="P634">
        <f>IF(Table1_2[SL Xuất]&gt;0, Table1_2[Tiền Xuất]/Table1_2[SL Xuất], 0)</f>
        <v>163500</v>
      </c>
      <c r="Q634">
        <f>Table1_2[SL Xuất] - Table1_2[SL Xuất KM]</f>
        <v>3</v>
      </c>
    </row>
    <row r="635" spans="1:17" x14ac:dyDescent="0.25">
      <c r="A635">
        <v>634</v>
      </c>
      <c r="B635" t="s">
        <v>1218</v>
      </c>
      <c r="C635" t="s">
        <v>1219</v>
      </c>
      <c r="D635" t="s">
        <v>45</v>
      </c>
      <c r="E635">
        <v>75000</v>
      </c>
      <c r="F635">
        <v>0</v>
      </c>
      <c r="G635">
        <v>10</v>
      </c>
      <c r="H635">
        <v>95000</v>
      </c>
      <c r="I635">
        <v>20000</v>
      </c>
      <c r="J635" s="1">
        <v>45243</v>
      </c>
      <c r="K635" t="s">
        <v>280</v>
      </c>
      <c r="L635">
        <v>11</v>
      </c>
      <c r="M635">
        <v>2023</v>
      </c>
      <c r="N635">
        <f t="shared" si="9"/>
        <v>-55000</v>
      </c>
      <c r="O635" s="19">
        <f>IF(Table1_2[Tiền Nhập]&lt;&gt;0, Table1_2[Lợi Nhuận Gộp]/Table1_2[Tiền Nhập], 0)</f>
        <v>-0.73333333333333328</v>
      </c>
      <c r="P635">
        <f>IF(Table1_2[SL Xuất]&gt;0, Table1_2[Tiền Xuất]/Table1_2[SL Xuất], 0)</f>
        <v>9500</v>
      </c>
      <c r="Q635">
        <f>Table1_2[SL Xuất] - Table1_2[SL Xuất KM]</f>
        <v>10</v>
      </c>
    </row>
    <row r="636" spans="1:17" x14ac:dyDescent="0.25">
      <c r="A636">
        <v>635</v>
      </c>
      <c r="B636" t="s">
        <v>1207</v>
      </c>
      <c r="C636" t="s">
        <v>1208</v>
      </c>
      <c r="D636" t="s">
        <v>45</v>
      </c>
      <c r="E636">
        <v>0</v>
      </c>
      <c r="F636">
        <v>1</v>
      </c>
      <c r="G636">
        <v>0</v>
      </c>
      <c r="H636">
        <v>0</v>
      </c>
      <c r="I636">
        <v>0</v>
      </c>
      <c r="J636" s="1">
        <v>45243</v>
      </c>
      <c r="K636" t="s">
        <v>280</v>
      </c>
      <c r="L636">
        <v>11</v>
      </c>
      <c r="M636">
        <v>2023</v>
      </c>
      <c r="N636">
        <f t="shared" si="9"/>
        <v>0</v>
      </c>
      <c r="O636" s="19">
        <f>IF(Table1_2[Tiền Nhập]&lt;&gt;0, Table1_2[Lợi Nhuận Gộp]/Table1_2[Tiền Nhập], 0)</f>
        <v>0</v>
      </c>
      <c r="P636">
        <f>IF(Table1_2[SL Xuất]&gt;0, Table1_2[Tiền Xuất]/Table1_2[SL Xuất], 0)</f>
        <v>0</v>
      </c>
      <c r="Q636">
        <f>Table1_2[SL Xuất] - Table1_2[SL Xuất KM]</f>
        <v>-1</v>
      </c>
    </row>
    <row r="637" spans="1:17" x14ac:dyDescent="0.25">
      <c r="A637">
        <v>636</v>
      </c>
      <c r="B637" t="s">
        <v>572</v>
      </c>
      <c r="C637" t="s">
        <v>573</v>
      </c>
      <c r="D637" t="s">
        <v>45</v>
      </c>
      <c r="E637">
        <v>144000</v>
      </c>
      <c r="F637">
        <v>0</v>
      </c>
      <c r="G637">
        <v>30</v>
      </c>
      <c r="H637">
        <v>210000</v>
      </c>
      <c r="I637">
        <v>66000</v>
      </c>
      <c r="J637" s="1">
        <v>45243</v>
      </c>
      <c r="K637" t="s">
        <v>206</v>
      </c>
      <c r="L637">
        <v>11</v>
      </c>
      <c r="M637">
        <v>2023</v>
      </c>
      <c r="N637">
        <f t="shared" si="9"/>
        <v>-78000</v>
      </c>
      <c r="O637" s="19">
        <f>IF(Table1_2[Tiền Nhập]&lt;&gt;0, Table1_2[Lợi Nhuận Gộp]/Table1_2[Tiền Nhập], 0)</f>
        <v>-0.54166666666666663</v>
      </c>
      <c r="P637">
        <f>IF(Table1_2[SL Xuất]&gt;0, Table1_2[Tiền Xuất]/Table1_2[SL Xuất], 0)</f>
        <v>7000</v>
      </c>
      <c r="Q637">
        <f>Table1_2[SL Xuất] - Table1_2[SL Xuất KM]</f>
        <v>30</v>
      </c>
    </row>
    <row r="638" spans="1:17" x14ac:dyDescent="0.25">
      <c r="A638">
        <v>637</v>
      </c>
      <c r="B638" t="s">
        <v>213</v>
      </c>
      <c r="C638" t="s">
        <v>214</v>
      </c>
      <c r="D638" t="s">
        <v>45</v>
      </c>
      <c r="E638">
        <v>290000</v>
      </c>
      <c r="F638">
        <v>1</v>
      </c>
      <c r="G638">
        <v>10</v>
      </c>
      <c r="H638">
        <v>355000</v>
      </c>
      <c r="I638">
        <v>65000</v>
      </c>
      <c r="J638" s="1">
        <v>45243</v>
      </c>
      <c r="K638" t="s">
        <v>1256</v>
      </c>
      <c r="L638">
        <v>11</v>
      </c>
      <c r="M638">
        <v>2023</v>
      </c>
      <c r="N638">
        <f t="shared" si="9"/>
        <v>-225000</v>
      </c>
      <c r="O638" s="19">
        <f>IF(Table1_2[Tiền Nhập]&lt;&gt;0, Table1_2[Lợi Nhuận Gộp]/Table1_2[Tiền Nhập], 0)</f>
        <v>-0.77586206896551724</v>
      </c>
      <c r="P638">
        <f>IF(Table1_2[SL Xuất]&gt;0, Table1_2[Tiền Xuất]/Table1_2[SL Xuất], 0)</f>
        <v>35500</v>
      </c>
      <c r="Q638">
        <f>Table1_2[SL Xuất] - Table1_2[SL Xuất KM]</f>
        <v>9</v>
      </c>
    </row>
    <row r="639" spans="1:17" x14ac:dyDescent="0.25">
      <c r="A639">
        <v>638</v>
      </c>
      <c r="B639" t="s">
        <v>111</v>
      </c>
      <c r="C639" t="s">
        <v>112</v>
      </c>
      <c r="D639" t="s">
        <v>13</v>
      </c>
      <c r="E639">
        <v>77000</v>
      </c>
      <c r="F639">
        <v>0</v>
      </c>
      <c r="G639">
        <v>10</v>
      </c>
      <c r="H639">
        <v>100000</v>
      </c>
      <c r="I639">
        <v>23000</v>
      </c>
      <c r="J639" s="1">
        <v>45243</v>
      </c>
      <c r="K639" t="s">
        <v>1256</v>
      </c>
      <c r="L639">
        <v>11</v>
      </c>
      <c r="M639">
        <v>2023</v>
      </c>
      <c r="N639">
        <f t="shared" si="9"/>
        <v>-54000</v>
      </c>
      <c r="O639" s="19">
        <f>IF(Table1_2[Tiền Nhập]&lt;&gt;0, Table1_2[Lợi Nhuận Gộp]/Table1_2[Tiền Nhập], 0)</f>
        <v>-0.70129870129870131</v>
      </c>
      <c r="P639">
        <f>IF(Table1_2[SL Xuất]&gt;0, Table1_2[Tiền Xuất]/Table1_2[SL Xuất], 0)</f>
        <v>10000</v>
      </c>
      <c r="Q639">
        <f>Table1_2[SL Xuất] - Table1_2[SL Xuất KM]</f>
        <v>10</v>
      </c>
    </row>
    <row r="640" spans="1:17" x14ac:dyDescent="0.25">
      <c r="A640">
        <v>639</v>
      </c>
      <c r="B640" t="s">
        <v>429</v>
      </c>
      <c r="C640" t="s">
        <v>430</v>
      </c>
      <c r="D640" t="s">
        <v>88</v>
      </c>
      <c r="E640">
        <v>1800000</v>
      </c>
      <c r="F640">
        <v>0</v>
      </c>
      <c r="G640">
        <v>18</v>
      </c>
      <c r="H640">
        <v>3924000</v>
      </c>
      <c r="I640">
        <v>2124000</v>
      </c>
      <c r="J640" s="1">
        <v>45243</v>
      </c>
      <c r="K640" t="s">
        <v>1259</v>
      </c>
      <c r="L640">
        <v>11</v>
      </c>
      <c r="M640">
        <v>2023</v>
      </c>
      <c r="N640">
        <f t="shared" si="9"/>
        <v>324000</v>
      </c>
      <c r="O640" s="19">
        <f>IF(Table1_2[Tiền Nhập]&lt;&gt;0, Table1_2[Lợi Nhuận Gộp]/Table1_2[Tiền Nhập], 0)</f>
        <v>0.18</v>
      </c>
      <c r="P640">
        <f>IF(Table1_2[SL Xuất]&gt;0, Table1_2[Tiền Xuất]/Table1_2[SL Xuất], 0)</f>
        <v>218000</v>
      </c>
      <c r="Q640">
        <f>Table1_2[SL Xuất] - Table1_2[SL Xuất KM]</f>
        <v>18</v>
      </c>
    </row>
    <row r="641" spans="1:17" x14ac:dyDescent="0.25">
      <c r="A641">
        <v>640</v>
      </c>
      <c r="B641" t="s">
        <v>259</v>
      </c>
      <c r="C641" t="s">
        <v>260</v>
      </c>
      <c r="D641" t="s">
        <v>88</v>
      </c>
      <c r="E641">
        <v>0</v>
      </c>
      <c r="F641">
        <v>18</v>
      </c>
      <c r="G641">
        <v>0</v>
      </c>
      <c r="H641">
        <v>-1962000</v>
      </c>
      <c r="I641">
        <v>-1962000</v>
      </c>
      <c r="J641" s="1">
        <v>45243</v>
      </c>
      <c r="K641" t="s">
        <v>1259</v>
      </c>
      <c r="L641">
        <v>11</v>
      </c>
      <c r="M641">
        <v>2023</v>
      </c>
      <c r="N641">
        <f t="shared" si="9"/>
        <v>-1962000</v>
      </c>
      <c r="O641" s="19">
        <f>IF(Table1_2[Tiền Nhập]&lt;&gt;0, Table1_2[Lợi Nhuận Gộp]/Table1_2[Tiền Nhập], 0)</f>
        <v>0</v>
      </c>
      <c r="P641">
        <f>IF(Table1_2[SL Xuất]&gt;0, Table1_2[Tiền Xuất]/Table1_2[SL Xuất], 0)</f>
        <v>0</v>
      </c>
      <c r="Q641">
        <f>Table1_2[SL Xuất] - Table1_2[SL Xuất KM]</f>
        <v>-18</v>
      </c>
    </row>
    <row r="642" spans="1:17" x14ac:dyDescent="0.25">
      <c r="A642">
        <v>641</v>
      </c>
      <c r="B642" t="s">
        <v>502</v>
      </c>
      <c r="C642" t="s">
        <v>503</v>
      </c>
      <c r="D642" t="s">
        <v>220</v>
      </c>
      <c r="E642">
        <v>63000</v>
      </c>
      <c r="F642">
        <v>0</v>
      </c>
      <c r="G642">
        <v>1</v>
      </c>
      <c r="H642">
        <v>73000</v>
      </c>
      <c r="I642">
        <v>10000</v>
      </c>
      <c r="J642" s="1">
        <v>45243</v>
      </c>
      <c r="K642" t="s">
        <v>590</v>
      </c>
      <c r="L642">
        <v>11</v>
      </c>
      <c r="M642">
        <v>2023</v>
      </c>
      <c r="N642">
        <f t="shared" ref="N642:N705" si="10">I642-E642</f>
        <v>-53000</v>
      </c>
      <c r="O642" s="19">
        <f>IF(Table1_2[Tiền Nhập]&lt;&gt;0, Table1_2[Lợi Nhuận Gộp]/Table1_2[Tiền Nhập], 0)</f>
        <v>-0.84126984126984128</v>
      </c>
      <c r="P642">
        <f>IF(Table1_2[SL Xuất]&gt;0, Table1_2[Tiền Xuất]/Table1_2[SL Xuất], 0)</f>
        <v>73000</v>
      </c>
      <c r="Q642">
        <f>Table1_2[SL Xuất] - Table1_2[SL Xuất KM]</f>
        <v>1</v>
      </c>
    </row>
    <row r="643" spans="1:17" x14ac:dyDescent="0.25">
      <c r="A643">
        <v>642</v>
      </c>
      <c r="B643" t="s">
        <v>941</v>
      </c>
      <c r="C643" t="s">
        <v>942</v>
      </c>
      <c r="D643" t="s">
        <v>13</v>
      </c>
      <c r="E643">
        <v>61000</v>
      </c>
      <c r="F643">
        <v>0</v>
      </c>
      <c r="G643">
        <v>5</v>
      </c>
      <c r="H643">
        <v>70000</v>
      </c>
      <c r="I643">
        <v>9000</v>
      </c>
      <c r="J643" s="1">
        <v>45243</v>
      </c>
      <c r="K643" t="s">
        <v>590</v>
      </c>
      <c r="L643">
        <v>11</v>
      </c>
      <c r="M643">
        <v>2023</v>
      </c>
      <c r="N643">
        <f t="shared" si="10"/>
        <v>-52000</v>
      </c>
      <c r="O643" s="19">
        <f>IF(Table1_2[Tiền Nhập]&lt;&gt;0, Table1_2[Lợi Nhuận Gộp]/Table1_2[Tiền Nhập], 0)</f>
        <v>-0.85245901639344257</v>
      </c>
      <c r="P643">
        <f>IF(Table1_2[SL Xuất]&gt;0, Table1_2[Tiền Xuất]/Table1_2[SL Xuất], 0)</f>
        <v>14000</v>
      </c>
      <c r="Q643">
        <f>Table1_2[SL Xuất] - Table1_2[SL Xuất KM]</f>
        <v>5</v>
      </c>
    </row>
    <row r="644" spans="1:17" x14ac:dyDescent="0.25">
      <c r="A644">
        <v>643</v>
      </c>
      <c r="B644" t="s">
        <v>945</v>
      </c>
      <c r="C644" t="s">
        <v>946</v>
      </c>
      <c r="D644" t="s">
        <v>13</v>
      </c>
      <c r="E644">
        <v>61000</v>
      </c>
      <c r="F644">
        <v>0</v>
      </c>
      <c r="G644">
        <v>5</v>
      </c>
      <c r="H644">
        <v>70000</v>
      </c>
      <c r="I644">
        <v>9000</v>
      </c>
      <c r="J644" s="1">
        <v>45243</v>
      </c>
      <c r="K644" t="s">
        <v>590</v>
      </c>
      <c r="L644">
        <v>11</v>
      </c>
      <c r="M644">
        <v>2023</v>
      </c>
      <c r="N644">
        <f t="shared" si="10"/>
        <v>-52000</v>
      </c>
      <c r="O644" s="19">
        <f>IF(Table1_2[Tiền Nhập]&lt;&gt;0, Table1_2[Lợi Nhuận Gộp]/Table1_2[Tiền Nhập], 0)</f>
        <v>-0.85245901639344257</v>
      </c>
      <c r="P644">
        <f>IF(Table1_2[SL Xuất]&gt;0, Table1_2[Tiền Xuất]/Table1_2[SL Xuất], 0)</f>
        <v>14000</v>
      </c>
      <c r="Q644">
        <f>Table1_2[SL Xuất] - Table1_2[SL Xuất KM]</f>
        <v>5</v>
      </c>
    </row>
    <row r="645" spans="1:17" x14ac:dyDescent="0.25">
      <c r="A645">
        <v>644</v>
      </c>
      <c r="B645" t="s">
        <v>947</v>
      </c>
      <c r="C645" t="s">
        <v>948</v>
      </c>
      <c r="D645" t="s">
        <v>13</v>
      </c>
      <c r="E645">
        <v>12200</v>
      </c>
      <c r="F645">
        <v>0</v>
      </c>
      <c r="G645">
        <v>1</v>
      </c>
      <c r="H645">
        <v>14000</v>
      </c>
      <c r="I645">
        <v>1800</v>
      </c>
      <c r="J645" s="1">
        <v>45243</v>
      </c>
      <c r="K645" t="s">
        <v>590</v>
      </c>
      <c r="L645">
        <v>11</v>
      </c>
      <c r="M645">
        <v>2023</v>
      </c>
      <c r="N645">
        <f t="shared" si="10"/>
        <v>-10400</v>
      </c>
      <c r="O645" s="19">
        <f>IF(Table1_2[Tiền Nhập]&lt;&gt;0, Table1_2[Lợi Nhuận Gộp]/Table1_2[Tiền Nhập], 0)</f>
        <v>-0.85245901639344257</v>
      </c>
      <c r="P645">
        <f>IF(Table1_2[SL Xuất]&gt;0, Table1_2[Tiền Xuất]/Table1_2[SL Xuất], 0)</f>
        <v>14000</v>
      </c>
      <c r="Q645">
        <f>Table1_2[SL Xuất] - Table1_2[SL Xuất KM]</f>
        <v>1</v>
      </c>
    </row>
    <row r="646" spans="1:17" x14ac:dyDescent="0.25">
      <c r="A646">
        <v>645</v>
      </c>
      <c r="B646" t="s">
        <v>287</v>
      </c>
      <c r="C646" t="s">
        <v>288</v>
      </c>
      <c r="D646" t="s">
        <v>88</v>
      </c>
      <c r="E646">
        <v>174000</v>
      </c>
      <c r="F646">
        <v>0</v>
      </c>
      <c r="G646">
        <v>12</v>
      </c>
      <c r="H646">
        <v>168000</v>
      </c>
      <c r="I646">
        <v>-6000</v>
      </c>
      <c r="J646" s="1">
        <v>45243</v>
      </c>
      <c r="K646" t="s">
        <v>1056</v>
      </c>
      <c r="L646">
        <v>11</v>
      </c>
      <c r="M646">
        <v>2023</v>
      </c>
      <c r="N646">
        <f t="shared" si="10"/>
        <v>-180000</v>
      </c>
      <c r="O646" s="19">
        <f>IF(Table1_2[Tiền Nhập]&lt;&gt;0, Table1_2[Lợi Nhuận Gộp]/Table1_2[Tiền Nhập], 0)</f>
        <v>-1.0344827586206897</v>
      </c>
      <c r="P646">
        <f>IF(Table1_2[SL Xuất]&gt;0, Table1_2[Tiền Xuất]/Table1_2[SL Xuất], 0)</f>
        <v>14000</v>
      </c>
      <c r="Q646">
        <f>Table1_2[SL Xuất] - Table1_2[SL Xuất KM]</f>
        <v>12</v>
      </c>
    </row>
    <row r="647" spans="1:17" x14ac:dyDescent="0.25">
      <c r="A647">
        <v>646</v>
      </c>
      <c r="B647" t="s">
        <v>922</v>
      </c>
      <c r="C647" t="s">
        <v>923</v>
      </c>
      <c r="D647" t="s">
        <v>85</v>
      </c>
      <c r="E647">
        <v>130000</v>
      </c>
      <c r="F647">
        <v>0</v>
      </c>
      <c r="G647">
        <v>5</v>
      </c>
      <c r="H647">
        <v>120000</v>
      </c>
      <c r="I647">
        <v>-10000</v>
      </c>
      <c r="J647" s="1">
        <v>45243</v>
      </c>
      <c r="K647" t="s">
        <v>1057</v>
      </c>
      <c r="L647">
        <v>11</v>
      </c>
      <c r="M647">
        <v>2023</v>
      </c>
      <c r="N647">
        <f t="shared" si="10"/>
        <v>-140000</v>
      </c>
      <c r="O647" s="19">
        <f>IF(Table1_2[Tiền Nhập]&lt;&gt;0, Table1_2[Lợi Nhuận Gộp]/Table1_2[Tiền Nhập], 0)</f>
        <v>-1.0769230769230769</v>
      </c>
      <c r="P647">
        <f>IF(Table1_2[SL Xuất]&gt;0, Table1_2[Tiền Xuất]/Table1_2[SL Xuất], 0)</f>
        <v>24000</v>
      </c>
      <c r="Q647">
        <f>Table1_2[SL Xuất] - Table1_2[SL Xuất KM]</f>
        <v>5</v>
      </c>
    </row>
    <row r="648" spans="1:17" x14ac:dyDescent="0.25">
      <c r="A648">
        <v>647</v>
      </c>
      <c r="B648" t="s">
        <v>213</v>
      </c>
      <c r="C648" t="s">
        <v>214</v>
      </c>
      <c r="D648" t="s">
        <v>45</v>
      </c>
      <c r="E648">
        <v>174000</v>
      </c>
      <c r="F648">
        <v>0</v>
      </c>
      <c r="G648">
        <v>6</v>
      </c>
      <c r="H648">
        <v>210000</v>
      </c>
      <c r="I648">
        <v>36000</v>
      </c>
      <c r="J648" s="1">
        <v>45243</v>
      </c>
      <c r="K648" t="s">
        <v>1057</v>
      </c>
      <c r="L648">
        <v>11</v>
      </c>
      <c r="M648">
        <v>2023</v>
      </c>
      <c r="N648">
        <f t="shared" si="10"/>
        <v>-138000</v>
      </c>
      <c r="O648" s="19">
        <f>IF(Table1_2[Tiền Nhập]&lt;&gt;0, Table1_2[Lợi Nhuận Gộp]/Table1_2[Tiền Nhập], 0)</f>
        <v>-0.7931034482758621</v>
      </c>
      <c r="P648">
        <f>IF(Table1_2[SL Xuất]&gt;0, Table1_2[Tiền Xuất]/Table1_2[SL Xuất], 0)</f>
        <v>35000</v>
      </c>
      <c r="Q648">
        <f>Table1_2[SL Xuất] - Table1_2[SL Xuất KM]</f>
        <v>6</v>
      </c>
    </row>
    <row r="649" spans="1:17" x14ac:dyDescent="0.25">
      <c r="A649">
        <v>648</v>
      </c>
      <c r="B649" t="s">
        <v>1023</v>
      </c>
      <c r="C649" t="s">
        <v>1024</v>
      </c>
      <c r="D649" t="s">
        <v>13</v>
      </c>
      <c r="E649">
        <v>211200</v>
      </c>
      <c r="F649">
        <v>2</v>
      </c>
      <c r="G649">
        <v>10</v>
      </c>
      <c r="H649">
        <v>180000</v>
      </c>
      <c r="I649">
        <v>-31200</v>
      </c>
      <c r="J649" s="1">
        <v>45243</v>
      </c>
      <c r="K649" t="s">
        <v>1266</v>
      </c>
      <c r="L649">
        <v>11</v>
      </c>
      <c r="M649">
        <v>2023</v>
      </c>
      <c r="N649">
        <f t="shared" si="10"/>
        <v>-242400</v>
      </c>
      <c r="O649" s="19">
        <f>IF(Table1_2[Tiền Nhập]&lt;&gt;0, Table1_2[Lợi Nhuận Gộp]/Table1_2[Tiền Nhập], 0)</f>
        <v>-1.1477272727272727</v>
      </c>
      <c r="P649">
        <f>IF(Table1_2[SL Xuất]&gt;0, Table1_2[Tiền Xuất]/Table1_2[SL Xuất], 0)</f>
        <v>18000</v>
      </c>
      <c r="Q649">
        <f>Table1_2[SL Xuất] - Table1_2[SL Xuất KM]</f>
        <v>8</v>
      </c>
    </row>
    <row r="650" spans="1:17" x14ac:dyDescent="0.25">
      <c r="A650">
        <v>649</v>
      </c>
      <c r="B650" t="s">
        <v>111</v>
      </c>
      <c r="C650" t="s">
        <v>112</v>
      </c>
      <c r="D650" t="s">
        <v>13</v>
      </c>
      <c r="E650">
        <v>154000</v>
      </c>
      <c r="F650">
        <v>0</v>
      </c>
      <c r="G650">
        <v>20</v>
      </c>
      <c r="H650">
        <v>200000</v>
      </c>
      <c r="I650">
        <v>46000</v>
      </c>
      <c r="J650" s="1">
        <v>45243</v>
      </c>
      <c r="K650" t="s">
        <v>1267</v>
      </c>
      <c r="L650">
        <v>11</v>
      </c>
      <c r="M650">
        <v>2023</v>
      </c>
      <c r="N650">
        <f t="shared" si="10"/>
        <v>-108000</v>
      </c>
      <c r="O650" s="19">
        <f>IF(Table1_2[Tiền Nhập]&lt;&gt;0, Table1_2[Lợi Nhuận Gộp]/Table1_2[Tiền Nhập], 0)</f>
        <v>-0.70129870129870131</v>
      </c>
      <c r="P650">
        <f>IF(Table1_2[SL Xuất]&gt;0, Table1_2[Tiền Xuất]/Table1_2[SL Xuất], 0)</f>
        <v>10000</v>
      </c>
      <c r="Q650">
        <f>Table1_2[SL Xuất] - Table1_2[SL Xuất KM]</f>
        <v>20</v>
      </c>
    </row>
    <row r="651" spans="1:17" x14ac:dyDescent="0.25">
      <c r="A651">
        <v>650</v>
      </c>
      <c r="B651" t="s">
        <v>133</v>
      </c>
      <c r="C651" t="s">
        <v>134</v>
      </c>
      <c r="D651" t="s">
        <v>13</v>
      </c>
      <c r="E651">
        <v>66670</v>
      </c>
      <c r="F651">
        <v>0</v>
      </c>
      <c r="G651">
        <v>10</v>
      </c>
      <c r="H651">
        <v>75000</v>
      </c>
      <c r="I651">
        <v>8330</v>
      </c>
      <c r="J651" s="1">
        <v>45243</v>
      </c>
      <c r="K651" t="s">
        <v>1267</v>
      </c>
      <c r="L651">
        <v>11</v>
      </c>
      <c r="M651">
        <v>2023</v>
      </c>
      <c r="N651">
        <f t="shared" si="10"/>
        <v>-58340</v>
      </c>
      <c r="O651" s="19">
        <f>IF(Table1_2[Tiền Nhập]&lt;&gt;0, Table1_2[Lợi Nhuận Gộp]/Table1_2[Tiền Nhập], 0)</f>
        <v>-0.87505624718764063</v>
      </c>
      <c r="P651">
        <f>IF(Table1_2[SL Xuất]&gt;0, Table1_2[Tiền Xuất]/Table1_2[SL Xuất], 0)</f>
        <v>7500</v>
      </c>
      <c r="Q651">
        <f>Table1_2[SL Xuất] - Table1_2[SL Xuất KM]</f>
        <v>10</v>
      </c>
    </row>
    <row r="652" spans="1:17" x14ac:dyDescent="0.25">
      <c r="A652">
        <v>651</v>
      </c>
      <c r="B652" t="s">
        <v>111</v>
      </c>
      <c r="C652" t="s">
        <v>112</v>
      </c>
      <c r="D652" t="s">
        <v>13</v>
      </c>
      <c r="E652">
        <v>231000</v>
      </c>
      <c r="F652">
        <v>0</v>
      </c>
      <c r="G652">
        <v>30</v>
      </c>
      <c r="H652">
        <v>330000</v>
      </c>
      <c r="I652">
        <v>99000</v>
      </c>
      <c r="J652" s="1">
        <v>45243</v>
      </c>
      <c r="K652" t="s">
        <v>433</v>
      </c>
      <c r="L652">
        <v>11</v>
      </c>
      <c r="M652">
        <v>2023</v>
      </c>
      <c r="N652">
        <f t="shared" si="10"/>
        <v>-132000</v>
      </c>
      <c r="O652" s="19">
        <f>IF(Table1_2[Tiền Nhập]&lt;&gt;0, Table1_2[Lợi Nhuận Gộp]/Table1_2[Tiền Nhập], 0)</f>
        <v>-0.5714285714285714</v>
      </c>
      <c r="P652">
        <f>IF(Table1_2[SL Xuất]&gt;0, Table1_2[Tiền Xuất]/Table1_2[SL Xuất], 0)</f>
        <v>11000</v>
      </c>
      <c r="Q652">
        <f>Table1_2[SL Xuất] - Table1_2[SL Xuất KM]</f>
        <v>30</v>
      </c>
    </row>
    <row r="653" spans="1:17" x14ac:dyDescent="0.25">
      <c r="A653">
        <v>652</v>
      </c>
      <c r="B653" t="s">
        <v>400</v>
      </c>
      <c r="C653" t="s">
        <v>401</v>
      </c>
      <c r="D653" t="s">
        <v>13</v>
      </c>
      <c r="E653">
        <v>0</v>
      </c>
      <c r="F653">
        <v>3</v>
      </c>
      <c r="G653">
        <v>0</v>
      </c>
      <c r="H653">
        <v>-3000</v>
      </c>
      <c r="I653">
        <v>-3000</v>
      </c>
      <c r="J653" s="1">
        <v>45243</v>
      </c>
      <c r="K653" t="s">
        <v>433</v>
      </c>
      <c r="L653">
        <v>11</v>
      </c>
      <c r="M653">
        <v>2023</v>
      </c>
      <c r="N653">
        <f t="shared" si="10"/>
        <v>-3000</v>
      </c>
      <c r="O653" s="19">
        <f>IF(Table1_2[Tiền Nhập]&lt;&gt;0, Table1_2[Lợi Nhuận Gộp]/Table1_2[Tiền Nhập], 0)</f>
        <v>0</v>
      </c>
      <c r="P653">
        <f>IF(Table1_2[SL Xuất]&gt;0, Table1_2[Tiền Xuất]/Table1_2[SL Xuất], 0)</f>
        <v>0</v>
      </c>
      <c r="Q653">
        <f>Table1_2[SL Xuất] - Table1_2[SL Xuất KM]</f>
        <v>-3</v>
      </c>
    </row>
    <row r="654" spans="1:17" x14ac:dyDescent="0.25">
      <c r="A654">
        <v>653</v>
      </c>
      <c r="B654" t="s">
        <v>183</v>
      </c>
      <c r="C654" t="s">
        <v>184</v>
      </c>
      <c r="D654" t="s">
        <v>23</v>
      </c>
      <c r="E654">
        <v>190008</v>
      </c>
      <c r="F654">
        <v>0</v>
      </c>
      <c r="G654">
        <v>12</v>
      </c>
      <c r="H654">
        <v>270000</v>
      </c>
      <c r="I654">
        <v>79992</v>
      </c>
      <c r="J654" s="1">
        <v>45243</v>
      </c>
      <c r="K654" t="s">
        <v>433</v>
      </c>
      <c r="L654">
        <v>11</v>
      </c>
      <c r="M654">
        <v>2023</v>
      </c>
      <c r="N654">
        <f t="shared" si="10"/>
        <v>-110016</v>
      </c>
      <c r="O654" s="19">
        <f>IF(Table1_2[Tiền Nhập]&lt;&gt;0, Table1_2[Lợi Nhuận Gộp]/Table1_2[Tiền Nhập], 0)</f>
        <v>-0.57900719969685488</v>
      </c>
      <c r="P654">
        <f>IF(Table1_2[SL Xuất]&gt;0, Table1_2[Tiền Xuất]/Table1_2[SL Xuất], 0)</f>
        <v>22500</v>
      </c>
      <c r="Q654">
        <f>Table1_2[SL Xuất] - Table1_2[SL Xuất KM]</f>
        <v>12</v>
      </c>
    </row>
    <row r="655" spans="1:17" x14ac:dyDescent="0.25">
      <c r="A655">
        <v>654</v>
      </c>
      <c r="B655" t="s">
        <v>926</v>
      </c>
      <c r="C655" t="s">
        <v>927</v>
      </c>
      <c r="D655" t="s">
        <v>85</v>
      </c>
      <c r="E655">
        <v>294000</v>
      </c>
      <c r="F655">
        <v>2</v>
      </c>
      <c r="G655">
        <v>12</v>
      </c>
      <c r="H655">
        <v>288000</v>
      </c>
      <c r="I655">
        <v>-6000</v>
      </c>
      <c r="J655" s="1">
        <v>45243</v>
      </c>
      <c r="K655" t="s">
        <v>127</v>
      </c>
      <c r="L655">
        <v>11</v>
      </c>
      <c r="M655">
        <v>2023</v>
      </c>
      <c r="N655">
        <f t="shared" si="10"/>
        <v>-300000</v>
      </c>
      <c r="O655" s="19">
        <f>IF(Table1_2[Tiền Nhập]&lt;&gt;0, Table1_2[Lợi Nhuận Gộp]/Table1_2[Tiền Nhập], 0)</f>
        <v>-1.0204081632653061</v>
      </c>
      <c r="P655">
        <f>IF(Table1_2[SL Xuất]&gt;0, Table1_2[Tiền Xuất]/Table1_2[SL Xuất], 0)</f>
        <v>24000</v>
      </c>
      <c r="Q655">
        <f>Table1_2[SL Xuất] - Table1_2[SL Xuất KM]</f>
        <v>10</v>
      </c>
    </row>
    <row r="656" spans="1:17" x14ac:dyDescent="0.25">
      <c r="A656">
        <v>655</v>
      </c>
      <c r="B656" t="s">
        <v>701</v>
      </c>
      <c r="C656" t="s">
        <v>702</v>
      </c>
      <c r="D656" t="s">
        <v>45</v>
      </c>
      <c r="E656">
        <v>0</v>
      </c>
      <c r="F656">
        <v>1</v>
      </c>
      <c r="G656">
        <v>0</v>
      </c>
      <c r="H656">
        <v>-281000</v>
      </c>
      <c r="I656">
        <v>-281000</v>
      </c>
      <c r="J656" s="1">
        <v>45243</v>
      </c>
      <c r="K656" t="s">
        <v>1068</v>
      </c>
      <c r="L656">
        <v>11</v>
      </c>
      <c r="M656">
        <v>2023</v>
      </c>
      <c r="N656">
        <f t="shared" si="10"/>
        <v>-281000</v>
      </c>
      <c r="O656" s="19">
        <f>IF(Table1_2[Tiền Nhập]&lt;&gt;0, Table1_2[Lợi Nhuận Gộp]/Table1_2[Tiền Nhập], 0)</f>
        <v>0</v>
      </c>
      <c r="P656">
        <f>IF(Table1_2[SL Xuất]&gt;0, Table1_2[Tiền Xuất]/Table1_2[SL Xuất], 0)</f>
        <v>0</v>
      </c>
      <c r="Q656">
        <f>Table1_2[SL Xuất] - Table1_2[SL Xuất KM]</f>
        <v>-1</v>
      </c>
    </row>
    <row r="657" spans="1:17" x14ac:dyDescent="0.25">
      <c r="A657">
        <v>656</v>
      </c>
      <c r="B657" t="s">
        <v>1240</v>
      </c>
      <c r="C657" t="s">
        <v>1241</v>
      </c>
      <c r="D657" t="s">
        <v>13</v>
      </c>
      <c r="E657">
        <v>1575000</v>
      </c>
      <c r="F657">
        <v>0</v>
      </c>
      <c r="G657">
        <v>90</v>
      </c>
      <c r="H657">
        <v>1800000</v>
      </c>
      <c r="I657">
        <v>225000</v>
      </c>
      <c r="J657" s="1">
        <v>45243</v>
      </c>
      <c r="K657" t="s">
        <v>1068</v>
      </c>
      <c r="L657">
        <v>11</v>
      </c>
      <c r="M657">
        <v>2023</v>
      </c>
      <c r="N657">
        <f t="shared" si="10"/>
        <v>-1350000</v>
      </c>
      <c r="O657" s="19">
        <f>IF(Table1_2[Tiền Nhập]&lt;&gt;0, Table1_2[Lợi Nhuận Gộp]/Table1_2[Tiền Nhập], 0)</f>
        <v>-0.8571428571428571</v>
      </c>
      <c r="P657">
        <f>IF(Table1_2[SL Xuất]&gt;0, Table1_2[Tiền Xuất]/Table1_2[SL Xuất], 0)</f>
        <v>20000</v>
      </c>
      <c r="Q657">
        <f>Table1_2[SL Xuất] - Table1_2[SL Xuất KM]</f>
        <v>90</v>
      </c>
    </row>
    <row r="658" spans="1:17" x14ac:dyDescent="0.25">
      <c r="A658">
        <v>657</v>
      </c>
      <c r="B658" t="s">
        <v>133</v>
      </c>
      <c r="C658" t="s">
        <v>134</v>
      </c>
      <c r="D658" t="s">
        <v>13</v>
      </c>
      <c r="E658">
        <v>0</v>
      </c>
      <c r="F658">
        <v>0</v>
      </c>
      <c r="G658">
        <v>0</v>
      </c>
      <c r="H658">
        <v>0</v>
      </c>
      <c r="I658">
        <v>0</v>
      </c>
      <c r="J658" s="1">
        <v>45243</v>
      </c>
      <c r="K658" t="s">
        <v>1270</v>
      </c>
      <c r="L658">
        <v>11</v>
      </c>
      <c r="M658">
        <v>2023</v>
      </c>
      <c r="N658">
        <f t="shared" si="10"/>
        <v>0</v>
      </c>
      <c r="O658" s="19">
        <f>IF(Table1_2[Tiền Nhập]&lt;&gt;0, Table1_2[Lợi Nhuận Gộp]/Table1_2[Tiền Nhập], 0)</f>
        <v>0</v>
      </c>
      <c r="P658">
        <f>IF(Table1_2[SL Xuất]&gt;0, Table1_2[Tiền Xuất]/Table1_2[SL Xuất], 0)</f>
        <v>0</v>
      </c>
      <c r="Q658">
        <f>Table1_2[SL Xuất] - Table1_2[SL Xuất KM]</f>
        <v>0</v>
      </c>
    </row>
    <row r="659" spans="1:17" x14ac:dyDescent="0.25">
      <c r="A659">
        <v>658</v>
      </c>
      <c r="B659" t="s">
        <v>183</v>
      </c>
      <c r="C659" t="s">
        <v>184</v>
      </c>
      <c r="D659" t="s">
        <v>23</v>
      </c>
      <c r="E659">
        <v>190008</v>
      </c>
      <c r="F659">
        <v>0</v>
      </c>
      <c r="G659">
        <v>12</v>
      </c>
      <c r="H659">
        <v>264000</v>
      </c>
      <c r="I659">
        <v>73992</v>
      </c>
      <c r="J659" s="1">
        <v>45243</v>
      </c>
      <c r="K659" t="s">
        <v>1271</v>
      </c>
      <c r="L659">
        <v>11</v>
      </c>
      <c r="M659">
        <v>2023</v>
      </c>
      <c r="N659">
        <f t="shared" si="10"/>
        <v>-116016</v>
      </c>
      <c r="O659" s="19">
        <f>IF(Table1_2[Tiền Nhập]&lt;&gt;0, Table1_2[Lợi Nhuận Gộp]/Table1_2[Tiền Nhập], 0)</f>
        <v>-0.61058481748136917</v>
      </c>
      <c r="P659">
        <f>IF(Table1_2[SL Xuất]&gt;0, Table1_2[Tiền Xuất]/Table1_2[SL Xuất], 0)</f>
        <v>22000</v>
      </c>
      <c r="Q659">
        <f>Table1_2[SL Xuất] - Table1_2[SL Xuất KM]</f>
        <v>12</v>
      </c>
    </row>
    <row r="660" spans="1:17" x14ac:dyDescent="0.25">
      <c r="A660">
        <v>659</v>
      </c>
      <c r="B660" t="s">
        <v>213</v>
      </c>
      <c r="C660" t="s">
        <v>214</v>
      </c>
      <c r="D660" t="s">
        <v>45</v>
      </c>
      <c r="E660">
        <v>290000</v>
      </c>
      <c r="F660">
        <v>1</v>
      </c>
      <c r="G660">
        <v>10</v>
      </c>
      <c r="H660">
        <v>355000</v>
      </c>
      <c r="I660">
        <v>65000</v>
      </c>
      <c r="J660" s="1">
        <v>45243</v>
      </c>
      <c r="K660" t="s">
        <v>1272</v>
      </c>
      <c r="L660">
        <v>11</v>
      </c>
      <c r="M660">
        <v>2023</v>
      </c>
      <c r="N660">
        <f t="shared" si="10"/>
        <v>-225000</v>
      </c>
      <c r="O660" s="19">
        <f>IF(Table1_2[Tiền Nhập]&lt;&gt;0, Table1_2[Lợi Nhuận Gộp]/Table1_2[Tiền Nhập], 0)</f>
        <v>-0.77586206896551724</v>
      </c>
      <c r="P660">
        <f>IF(Table1_2[SL Xuất]&gt;0, Table1_2[Tiền Xuất]/Table1_2[SL Xuất], 0)</f>
        <v>35500</v>
      </c>
      <c r="Q660">
        <f>Table1_2[SL Xuất] - Table1_2[SL Xuất KM]</f>
        <v>9</v>
      </c>
    </row>
    <row r="661" spans="1:17" x14ac:dyDescent="0.25">
      <c r="A661">
        <v>660</v>
      </c>
      <c r="B661" t="s">
        <v>11</v>
      </c>
      <c r="C661" t="s">
        <v>12</v>
      </c>
      <c r="D661" t="s">
        <v>13</v>
      </c>
      <c r="E661">
        <v>345600</v>
      </c>
      <c r="F661">
        <v>4</v>
      </c>
      <c r="G661">
        <v>48</v>
      </c>
      <c r="H661">
        <v>536000</v>
      </c>
      <c r="I661">
        <v>190400</v>
      </c>
      <c r="J661" s="1">
        <v>45244</v>
      </c>
      <c r="K661" t="s">
        <v>66</v>
      </c>
      <c r="L661">
        <v>11</v>
      </c>
      <c r="M661">
        <v>2023</v>
      </c>
      <c r="N661">
        <f t="shared" si="10"/>
        <v>-155200</v>
      </c>
      <c r="O661" s="19">
        <f>IF(Table1_2[Tiền Nhập]&lt;&gt;0, Table1_2[Lợi Nhuận Gộp]/Table1_2[Tiền Nhập], 0)</f>
        <v>-0.44907407407407407</v>
      </c>
      <c r="P661">
        <f>IF(Table1_2[SL Xuất]&gt;0, Table1_2[Tiền Xuất]/Table1_2[SL Xuất], 0)</f>
        <v>11166.666666666666</v>
      </c>
      <c r="Q661">
        <f>Table1_2[SL Xuất] - Table1_2[SL Xuất KM]</f>
        <v>44</v>
      </c>
    </row>
    <row r="662" spans="1:17" x14ac:dyDescent="0.25">
      <c r="A662">
        <v>661</v>
      </c>
      <c r="B662" t="s">
        <v>11</v>
      </c>
      <c r="C662" t="s">
        <v>12</v>
      </c>
      <c r="D662" t="s">
        <v>13</v>
      </c>
      <c r="E662">
        <v>691200</v>
      </c>
      <c r="F662">
        <v>0</v>
      </c>
      <c r="G662">
        <v>96</v>
      </c>
      <c r="H662">
        <v>1017600</v>
      </c>
      <c r="I662">
        <v>326400</v>
      </c>
      <c r="J662" s="1">
        <v>45244</v>
      </c>
      <c r="K662" t="s">
        <v>828</v>
      </c>
      <c r="L662">
        <v>11</v>
      </c>
      <c r="M662">
        <v>2023</v>
      </c>
      <c r="N662">
        <f t="shared" si="10"/>
        <v>-364800</v>
      </c>
      <c r="O662" s="19">
        <f>IF(Table1_2[Tiền Nhập]&lt;&gt;0, Table1_2[Lợi Nhuận Gộp]/Table1_2[Tiền Nhập], 0)</f>
        <v>-0.52777777777777779</v>
      </c>
      <c r="P662">
        <f>IF(Table1_2[SL Xuất]&gt;0, Table1_2[Tiền Xuất]/Table1_2[SL Xuất], 0)</f>
        <v>10600</v>
      </c>
      <c r="Q662">
        <f>Table1_2[SL Xuất] - Table1_2[SL Xuất KM]</f>
        <v>96</v>
      </c>
    </row>
    <row r="663" spans="1:17" x14ac:dyDescent="0.25">
      <c r="A663">
        <v>662</v>
      </c>
      <c r="B663" t="s">
        <v>11</v>
      </c>
      <c r="C663" t="s">
        <v>12</v>
      </c>
      <c r="D663" t="s">
        <v>13</v>
      </c>
      <c r="E663">
        <v>0</v>
      </c>
      <c r="F663">
        <v>0</v>
      </c>
      <c r="G663">
        <v>0</v>
      </c>
      <c r="H663">
        <v>0</v>
      </c>
      <c r="I663">
        <v>0</v>
      </c>
      <c r="J663" s="1">
        <v>45244</v>
      </c>
      <c r="K663" t="s">
        <v>1276</v>
      </c>
      <c r="L663">
        <v>11</v>
      </c>
      <c r="M663">
        <v>2023</v>
      </c>
      <c r="N663">
        <f t="shared" si="10"/>
        <v>0</v>
      </c>
      <c r="O663" s="19">
        <f>IF(Table1_2[Tiền Nhập]&lt;&gt;0, Table1_2[Lợi Nhuận Gộp]/Table1_2[Tiền Nhập], 0)</f>
        <v>0</v>
      </c>
      <c r="P663">
        <f>IF(Table1_2[SL Xuất]&gt;0, Table1_2[Tiền Xuất]/Table1_2[SL Xuất], 0)</f>
        <v>0</v>
      </c>
      <c r="Q663">
        <f>Table1_2[SL Xuất] - Table1_2[SL Xuất KM]</f>
        <v>0</v>
      </c>
    </row>
    <row r="664" spans="1:17" x14ac:dyDescent="0.25">
      <c r="A664">
        <v>663</v>
      </c>
      <c r="B664" t="s">
        <v>259</v>
      </c>
      <c r="C664" t="s">
        <v>260</v>
      </c>
      <c r="D664" t="s">
        <v>88</v>
      </c>
      <c r="E664">
        <v>600000</v>
      </c>
      <c r="F664">
        <v>6</v>
      </c>
      <c r="G664">
        <v>6</v>
      </c>
      <c r="H664">
        <v>654000</v>
      </c>
      <c r="I664">
        <v>54000</v>
      </c>
      <c r="J664" s="1">
        <v>45244</v>
      </c>
      <c r="K664" t="s">
        <v>1277</v>
      </c>
      <c r="L664">
        <v>11</v>
      </c>
      <c r="M664">
        <v>2023</v>
      </c>
      <c r="N664">
        <f t="shared" si="10"/>
        <v>-546000</v>
      </c>
      <c r="O664" s="19">
        <f>IF(Table1_2[Tiền Nhập]&lt;&gt;0, Table1_2[Lợi Nhuận Gộp]/Table1_2[Tiền Nhập], 0)</f>
        <v>-0.91</v>
      </c>
      <c r="P664">
        <f>IF(Table1_2[SL Xuất]&gt;0, Table1_2[Tiền Xuất]/Table1_2[SL Xuất], 0)</f>
        <v>109000</v>
      </c>
      <c r="Q664">
        <f>Table1_2[SL Xuất] - Table1_2[SL Xuất KM]</f>
        <v>0</v>
      </c>
    </row>
    <row r="665" spans="1:17" x14ac:dyDescent="0.25">
      <c r="A665">
        <v>664</v>
      </c>
      <c r="B665" t="s">
        <v>273</v>
      </c>
      <c r="C665" t="s">
        <v>274</v>
      </c>
      <c r="D665" t="s">
        <v>13</v>
      </c>
      <c r="E665">
        <v>270000</v>
      </c>
      <c r="F665">
        <v>0</v>
      </c>
      <c r="G665">
        <v>40</v>
      </c>
      <c r="H665">
        <v>320000</v>
      </c>
      <c r="I665">
        <v>50000</v>
      </c>
      <c r="J665" s="1">
        <v>45244</v>
      </c>
      <c r="K665" t="s">
        <v>1277</v>
      </c>
      <c r="L665">
        <v>11</v>
      </c>
      <c r="M665">
        <v>2023</v>
      </c>
      <c r="N665">
        <f t="shared" si="10"/>
        <v>-220000</v>
      </c>
      <c r="O665" s="19">
        <f>IF(Table1_2[Tiền Nhập]&lt;&gt;0, Table1_2[Lợi Nhuận Gộp]/Table1_2[Tiền Nhập], 0)</f>
        <v>-0.81481481481481477</v>
      </c>
      <c r="P665">
        <f>IF(Table1_2[SL Xuất]&gt;0, Table1_2[Tiền Xuất]/Table1_2[SL Xuất], 0)</f>
        <v>8000</v>
      </c>
      <c r="Q665">
        <f>Table1_2[SL Xuất] - Table1_2[SL Xuất KM]</f>
        <v>40</v>
      </c>
    </row>
    <row r="666" spans="1:17" x14ac:dyDescent="0.25">
      <c r="A666">
        <v>665</v>
      </c>
      <c r="B666" t="s">
        <v>1278</v>
      </c>
      <c r="C666" t="s">
        <v>1279</v>
      </c>
      <c r="D666" t="s">
        <v>13</v>
      </c>
      <c r="E666">
        <v>0</v>
      </c>
      <c r="F666">
        <v>0</v>
      </c>
      <c r="G666">
        <v>0</v>
      </c>
      <c r="H666">
        <v>0</v>
      </c>
      <c r="I666">
        <v>0</v>
      </c>
      <c r="J666" s="1">
        <v>45245</v>
      </c>
      <c r="K666" t="s">
        <v>478</v>
      </c>
      <c r="L666">
        <v>11</v>
      </c>
      <c r="M666">
        <v>2023</v>
      </c>
      <c r="N666">
        <f t="shared" si="10"/>
        <v>0</v>
      </c>
      <c r="O666" s="19">
        <f>IF(Table1_2[Tiền Nhập]&lt;&gt;0, Table1_2[Lợi Nhuận Gộp]/Table1_2[Tiền Nhập], 0)</f>
        <v>0</v>
      </c>
      <c r="P666">
        <f>IF(Table1_2[SL Xuất]&gt;0, Table1_2[Tiền Xuất]/Table1_2[SL Xuất], 0)</f>
        <v>0</v>
      </c>
      <c r="Q666">
        <f>Table1_2[SL Xuất] - Table1_2[SL Xuất KM]</f>
        <v>0</v>
      </c>
    </row>
    <row r="667" spans="1:17" x14ac:dyDescent="0.25">
      <c r="A667">
        <v>666</v>
      </c>
      <c r="B667" t="s">
        <v>273</v>
      </c>
      <c r="C667" t="s">
        <v>274</v>
      </c>
      <c r="D667" t="s">
        <v>13</v>
      </c>
      <c r="E667">
        <v>0</v>
      </c>
      <c r="F667">
        <v>0</v>
      </c>
      <c r="G667">
        <v>0</v>
      </c>
      <c r="H667">
        <v>0</v>
      </c>
      <c r="I667">
        <v>0</v>
      </c>
      <c r="J667" s="1">
        <v>45245</v>
      </c>
      <c r="K667" t="s">
        <v>604</v>
      </c>
      <c r="L667">
        <v>11</v>
      </c>
      <c r="M667">
        <v>2023</v>
      </c>
      <c r="N667">
        <f t="shared" si="10"/>
        <v>0</v>
      </c>
      <c r="O667" s="19">
        <f>IF(Table1_2[Tiền Nhập]&lt;&gt;0, Table1_2[Lợi Nhuận Gộp]/Table1_2[Tiền Nhập], 0)</f>
        <v>0</v>
      </c>
      <c r="P667">
        <f>IF(Table1_2[SL Xuất]&gt;0, Table1_2[Tiền Xuất]/Table1_2[SL Xuất], 0)</f>
        <v>0</v>
      </c>
      <c r="Q667">
        <f>Table1_2[SL Xuất] - Table1_2[SL Xuất KM]</f>
        <v>0</v>
      </c>
    </row>
    <row r="668" spans="1:17" x14ac:dyDescent="0.25">
      <c r="A668">
        <v>667</v>
      </c>
      <c r="B668" t="s">
        <v>1281</v>
      </c>
      <c r="C668" t="s">
        <v>1282</v>
      </c>
      <c r="D668" t="s">
        <v>45</v>
      </c>
      <c r="E668">
        <v>672000</v>
      </c>
      <c r="F668">
        <v>2</v>
      </c>
      <c r="G668">
        <v>12</v>
      </c>
      <c r="H668">
        <v>441600</v>
      </c>
      <c r="I668">
        <v>-230400</v>
      </c>
      <c r="J668" s="1">
        <v>45246</v>
      </c>
      <c r="K668" t="s">
        <v>535</v>
      </c>
      <c r="L668">
        <v>11</v>
      </c>
      <c r="M668">
        <v>2023</v>
      </c>
      <c r="N668">
        <f t="shared" si="10"/>
        <v>-902400</v>
      </c>
      <c r="O668" s="19">
        <f>IF(Table1_2[Tiền Nhập]&lt;&gt;0, Table1_2[Lợi Nhuận Gộp]/Table1_2[Tiền Nhập], 0)</f>
        <v>-1.3428571428571427</v>
      </c>
      <c r="P668">
        <f>IF(Table1_2[SL Xuất]&gt;0, Table1_2[Tiền Xuất]/Table1_2[SL Xuất], 0)</f>
        <v>36800</v>
      </c>
      <c r="Q668">
        <f>Table1_2[SL Xuất] - Table1_2[SL Xuất KM]</f>
        <v>10</v>
      </c>
    </row>
    <row r="669" spans="1:17" x14ac:dyDescent="0.25">
      <c r="A669">
        <v>668</v>
      </c>
      <c r="B669" t="s">
        <v>1287</v>
      </c>
      <c r="C669" t="s">
        <v>1288</v>
      </c>
      <c r="D669" t="s">
        <v>45</v>
      </c>
      <c r="E669">
        <v>330000</v>
      </c>
      <c r="F669">
        <v>1</v>
      </c>
      <c r="G669">
        <v>6</v>
      </c>
      <c r="H669">
        <v>217000</v>
      </c>
      <c r="I669">
        <v>-113000</v>
      </c>
      <c r="J669" s="1">
        <v>45246</v>
      </c>
      <c r="K669" t="s">
        <v>535</v>
      </c>
      <c r="L669">
        <v>11</v>
      </c>
      <c r="M669">
        <v>2023</v>
      </c>
      <c r="N669">
        <f t="shared" si="10"/>
        <v>-443000</v>
      </c>
      <c r="O669" s="19">
        <f>IF(Table1_2[Tiền Nhập]&lt;&gt;0, Table1_2[Lợi Nhuận Gộp]/Table1_2[Tiền Nhập], 0)</f>
        <v>-1.3424242424242425</v>
      </c>
      <c r="P669">
        <f>IF(Table1_2[SL Xuất]&gt;0, Table1_2[Tiền Xuất]/Table1_2[SL Xuất], 0)</f>
        <v>36166.666666666664</v>
      </c>
      <c r="Q669">
        <f>Table1_2[SL Xuất] - Table1_2[SL Xuất KM]</f>
        <v>5</v>
      </c>
    </row>
    <row r="670" spans="1:17" x14ac:dyDescent="0.25">
      <c r="A670">
        <v>669</v>
      </c>
      <c r="B670" t="s">
        <v>947</v>
      </c>
      <c r="C670" t="s">
        <v>948</v>
      </c>
      <c r="D670" t="s">
        <v>13</v>
      </c>
      <c r="E670">
        <v>122000</v>
      </c>
      <c r="F670">
        <v>0</v>
      </c>
      <c r="G670">
        <v>10</v>
      </c>
      <c r="H670">
        <v>140000</v>
      </c>
      <c r="I670">
        <v>18000</v>
      </c>
      <c r="J670" s="1">
        <v>45247</v>
      </c>
      <c r="K670" t="s">
        <v>1215</v>
      </c>
      <c r="L670">
        <v>11</v>
      </c>
      <c r="M670">
        <v>2023</v>
      </c>
      <c r="N670">
        <f t="shared" si="10"/>
        <v>-104000</v>
      </c>
      <c r="O670" s="19">
        <f>IF(Table1_2[Tiền Nhập]&lt;&gt;0, Table1_2[Lợi Nhuận Gộp]/Table1_2[Tiền Nhập], 0)</f>
        <v>-0.85245901639344257</v>
      </c>
      <c r="P670">
        <f>IF(Table1_2[SL Xuất]&gt;0, Table1_2[Tiền Xuất]/Table1_2[SL Xuất], 0)</f>
        <v>14000</v>
      </c>
      <c r="Q670">
        <f>Table1_2[SL Xuất] - Table1_2[SL Xuất KM]</f>
        <v>10</v>
      </c>
    </row>
    <row r="671" spans="1:17" x14ac:dyDescent="0.25">
      <c r="A671">
        <v>670</v>
      </c>
      <c r="B671" t="s">
        <v>111</v>
      </c>
      <c r="C671" t="s">
        <v>112</v>
      </c>
      <c r="D671" t="s">
        <v>13</v>
      </c>
      <c r="E671">
        <v>77000</v>
      </c>
      <c r="F671">
        <v>0</v>
      </c>
      <c r="G671">
        <v>10</v>
      </c>
      <c r="H671">
        <v>100000</v>
      </c>
      <c r="I671">
        <v>23000</v>
      </c>
      <c r="J671" s="1">
        <v>45247</v>
      </c>
      <c r="K671" t="s">
        <v>1215</v>
      </c>
      <c r="L671">
        <v>11</v>
      </c>
      <c r="M671">
        <v>2023</v>
      </c>
      <c r="N671">
        <f t="shared" si="10"/>
        <v>-54000</v>
      </c>
      <c r="O671" s="19">
        <f>IF(Table1_2[Tiền Nhập]&lt;&gt;0, Table1_2[Lợi Nhuận Gộp]/Table1_2[Tiền Nhập], 0)</f>
        <v>-0.70129870129870131</v>
      </c>
      <c r="P671">
        <f>IF(Table1_2[SL Xuất]&gt;0, Table1_2[Tiền Xuất]/Table1_2[SL Xuất], 0)</f>
        <v>10000</v>
      </c>
      <c r="Q671">
        <f>Table1_2[SL Xuất] - Table1_2[SL Xuất KM]</f>
        <v>10</v>
      </c>
    </row>
    <row r="672" spans="1:17" x14ac:dyDescent="0.25">
      <c r="A672">
        <v>671</v>
      </c>
      <c r="B672" t="s">
        <v>1291</v>
      </c>
      <c r="C672" t="s">
        <v>1292</v>
      </c>
      <c r="D672" t="s">
        <v>13</v>
      </c>
      <c r="E672">
        <v>504000</v>
      </c>
      <c r="F672">
        <v>0</v>
      </c>
      <c r="G672">
        <v>24</v>
      </c>
      <c r="H672">
        <v>480000</v>
      </c>
      <c r="I672">
        <v>-24000</v>
      </c>
      <c r="J672" s="1">
        <v>45247</v>
      </c>
      <c r="K672" t="s">
        <v>1161</v>
      </c>
      <c r="L672">
        <v>11</v>
      </c>
      <c r="M672">
        <v>2023</v>
      </c>
      <c r="N672">
        <f t="shared" si="10"/>
        <v>-528000</v>
      </c>
      <c r="O672" s="19">
        <f>IF(Table1_2[Tiền Nhập]&lt;&gt;0, Table1_2[Lợi Nhuận Gộp]/Table1_2[Tiền Nhập], 0)</f>
        <v>-1.0476190476190477</v>
      </c>
      <c r="P672">
        <f>IF(Table1_2[SL Xuất]&gt;0, Table1_2[Tiền Xuất]/Table1_2[SL Xuất], 0)</f>
        <v>20000</v>
      </c>
      <c r="Q672">
        <f>Table1_2[SL Xuất] - Table1_2[SL Xuất KM]</f>
        <v>24</v>
      </c>
    </row>
    <row r="673" spans="1:17" x14ac:dyDescent="0.25">
      <c r="A673">
        <v>672</v>
      </c>
      <c r="B673" t="s">
        <v>793</v>
      </c>
      <c r="C673" t="s">
        <v>794</v>
      </c>
      <c r="D673" t="s">
        <v>13</v>
      </c>
      <c r="E673">
        <v>240000</v>
      </c>
      <c r="F673">
        <v>1</v>
      </c>
      <c r="G673">
        <v>5</v>
      </c>
      <c r="H673">
        <v>217000</v>
      </c>
      <c r="I673">
        <v>-23000</v>
      </c>
      <c r="J673" s="1">
        <v>45248</v>
      </c>
      <c r="K673" t="s">
        <v>687</v>
      </c>
      <c r="L673">
        <v>11</v>
      </c>
      <c r="M673">
        <v>2023</v>
      </c>
      <c r="N673">
        <f t="shared" si="10"/>
        <v>-263000</v>
      </c>
      <c r="O673" s="19">
        <f>IF(Table1_2[Tiền Nhập]&lt;&gt;0, Table1_2[Lợi Nhuận Gộp]/Table1_2[Tiền Nhập], 0)</f>
        <v>-1.0958333333333334</v>
      </c>
      <c r="P673">
        <f>IF(Table1_2[SL Xuất]&gt;0, Table1_2[Tiền Xuất]/Table1_2[SL Xuất], 0)</f>
        <v>43400</v>
      </c>
      <c r="Q673">
        <f>Table1_2[SL Xuất] - Table1_2[SL Xuất KM]</f>
        <v>4</v>
      </c>
    </row>
    <row r="674" spans="1:17" x14ac:dyDescent="0.25">
      <c r="A674">
        <v>673</v>
      </c>
      <c r="B674" t="s">
        <v>938</v>
      </c>
      <c r="C674" t="s">
        <v>939</v>
      </c>
      <c r="D674" t="s">
        <v>13</v>
      </c>
      <c r="E674">
        <v>122000</v>
      </c>
      <c r="F674">
        <v>0</v>
      </c>
      <c r="G674">
        <v>10</v>
      </c>
      <c r="H674">
        <v>130000</v>
      </c>
      <c r="I674">
        <v>8000</v>
      </c>
      <c r="J674" s="1">
        <v>45248</v>
      </c>
      <c r="K674" t="s">
        <v>687</v>
      </c>
      <c r="L674">
        <v>11</v>
      </c>
      <c r="M674">
        <v>2023</v>
      </c>
      <c r="N674">
        <f t="shared" si="10"/>
        <v>-114000</v>
      </c>
      <c r="O674" s="19">
        <f>IF(Table1_2[Tiền Nhập]&lt;&gt;0, Table1_2[Lợi Nhuận Gộp]/Table1_2[Tiền Nhập], 0)</f>
        <v>-0.93442622950819676</v>
      </c>
      <c r="P674">
        <f>IF(Table1_2[SL Xuất]&gt;0, Table1_2[Tiền Xuất]/Table1_2[SL Xuất], 0)</f>
        <v>13000</v>
      </c>
      <c r="Q674">
        <f>Table1_2[SL Xuất] - Table1_2[SL Xuất KM]</f>
        <v>10</v>
      </c>
    </row>
    <row r="675" spans="1:17" x14ac:dyDescent="0.25">
      <c r="A675">
        <v>674</v>
      </c>
      <c r="B675" t="s">
        <v>413</v>
      </c>
      <c r="C675" t="s">
        <v>414</v>
      </c>
      <c r="D675" t="s">
        <v>194</v>
      </c>
      <c r="E675">
        <v>126000</v>
      </c>
      <c r="F675">
        <v>0</v>
      </c>
      <c r="G675">
        <v>24</v>
      </c>
      <c r="H675">
        <v>144000</v>
      </c>
      <c r="I675">
        <v>18000</v>
      </c>
      <c r="J675" s="1">
        <v>45248</v>
      </c>
      <c r="K675" t="s">
        <v>687</v>
      </c>
      <c r="L675">
        <v>11</v>
      </c>
      <c r="M675">
        <v>2023</v>
      </c>
      <c r="N675">
        <f t="shared" si="10"/>
        <v>-108000</v>
      </c>
      <c r="O675" s="19">
        <f>IF(Table1_2[Tiền Nhập]&lt;&gt;0, Table1_2[Lợi Nhuận Gộp]/Table1_2[Tiền Nhập], 0)</f>
        <v>-0.8571428571428571</v>
      </c>
      <c r="P675">
        <f>IF(Table1_2[SL Xuất]&gt;0, Table1_2[Tiền Xuất]/Table1_2[SL Xuất], 0)</f>
        <v>6000</v>
      </c>
      <c r="Q675">
        <f>Table1_2[SL Xuất] - Table1_2[SL Xuất KM]</f>
        <v>24</v>
      </c>
    </row>
    <row r="676" spans="1:17" x14ac:dyDescent="0.25">
      <c r="A676">
        <v>675</v>
      </c>
      <c r="B676" t="s">
        <v>248</v>
      </c>
      <c r="C676" t="s">
        <v>249</v>
      </c>
      <c r="D676" t="s">
        <v>250</v>
      </c>
      <c r="E676">
        <v>57000</v>
      </c>
      <c r="F676">
        <v>0</v>
      </c>
      <c r="G676">
        <v>1</v>
      </c>
      <c r="H676">
        <v>70000</v>
      </c>
      <c r="I676">
        <v>13000</v>
      </c>
      <c r="J676" s="1">
        <v>45248</v>
      </c>
      <c r="K676" t="s">
        <v>410</v>
      </c>
      <c r="L676">
        <v>11</v>
      </c>
      <c r="M676">
        <v>2023</v>
      </c>
      <c r="N676">
        <f t="shared" si="10"/>
        <v>-44000</v>
      </c>
      <c r="O676" s="19">
        <f>IF(Table1_2[Tiền Nhập]&lt;&gt;0, Table1_2[Lợi Nhuận Gộp]/Table1_2[Tiền Nhập], 0)</f>
        <v>-0.77192982456140347</v>
      </c>
      <c r="P676">
        <f>IF(Table1_2[SL Xuất]&gt;0, Table1_2[Tiền Xuất]/Table1_2[SL Xuất], 0)</f>
        <v>70000</v>
      </c>
      <c r="Q676">
        <f>Table1_2[SL Xuất] - Table1_2[SL Xuất KM]</f>
        <v>1</v>
      </c>
    </row>
    <row r="677" spans="1:17" x14ac:dyDescent="0.25">
      <c r="A677">
        <v>676</v>
      </c>
      <c r="B677" t="s">
        <v>1296</v>
      </c>
      <c r="C677" t="s">
        <v>1297</v>
      </c>
      <c r="D677" t="s">
        <v>13</v>
      </c>
      <c r="E677">
        <v>31328</v>
      </c>
      <c r="F677">
        <v>0</v>
      </c>
      <c r="G677">
        <v>1</v>
      </c>
      <c r="H677">
        <v>37000</v>
      </c>
      <c r="I677">
        <v>5672</v>
      </c>
      <c r="J677" s="1">
        <v>45248</v>
      </c>
      <c r="K677" t="s">
        <v>410</v>
      </c>
      <c r="L677">
        <v>11</v>
      </c>
      <c r="M677">
        <v>2023</v>
      </c>
      <c r="N677">
        <f t="shared" si="10"/>
        <v>-25656</v>
      </c>
      <c r="O677" s="19">
        <f>IF(Table1_2[Tiền Nhập]&lt;&gt;0, Table1_2[Lợi Nhuận Gộp]/Table1_2[Tiền Nhập], 0)</f>
        <v>-0.81894790602655776</v>
      </c>
      <c r="P677">
        <f>IF(Table1_2[SL Xuất]&gt;0, Table1_2[Tiền Xuất]/Table1_2[SL Xuất], 0)</f>
        <v>37000</v>
      </c>
      <c r="Q677">
        <f>Table1_2[SL Xuất] - Table1_2[SL Xuất KM]</f>
        <v>1</v>
      </c>
    </row>
    <row r="678" spans="1:17" x14ac:dyDescent="0.25">
      <c r="A678">
        <v>677</v>
      </c>
      <c r="B678" t="s">
        <v>1301</v>
      </c>
      <c r="C678" t="s">
        <v>1302</v>
      </c>
      <c r="D678" t="s">
        <v>13</v>
      </c>
      <c r="E678">
        <v>27720</v>
      </c>
      <c r="F678">
        <v>0</v>
      </c>
      <c r="G678">
        <v>1</v>
      </c>
      <c r="H678">
        <v>32000</v>
      </c>
      <c r="I678">
        <v>4280</v>
      </c>
      <c r="J678" s="1">
        <v>45248</v>
      </c>
      <c r="K678" t="s">
        <v>410</v>
      </c>
      <c r="L678">
        <v>11</v>
      </c>
      <c r="M678">
        <v>2023</v>
      </c>
      <c r="N678">
        <f t="shared" si="10"/>
        <v>-23440</v>
      </c>
      <c r="O678" s="19">
        <f>IF(Table1_2[Tiền Nhập]&lt;&gt;0, Table1_2[Lợi Nhuận Gộp]/Table1_2[Tiền Nhập], 0)</f>
        <v>-0.84559884559884557</v>
      </c>
      <c r="P678">
        <f>IF(Table1_2[SL Xuất]&gt;0, Table1_2[Tiền Xuất]/Table1_2[SL Xuất], 0)</f>
        <v>32000</v>
      </c>
      <c r="Q678">
        <f>Table1_2[SL Xuất] - Table1_2[SL Xuất KM]</f>
        <v>1</v>
      </c>
    </row>
    <row r="679" spans="1:17" x14ac:dyDescent="0.25">
      <c r="A679">
        <v>678</v>
      </c>
      <c r="B679" t="s">
        <v>1303</v>
      </c>
      <c r="C679" t="s">
        <v>1304</v>
      </c>
      <c r="D679" t="s">
        <v>13</v>
      </c>
      <c r="E679">
        <v>75328</v>
      </c>
      <c r="F679">
        <v>0</v>
      </c>
      <c r="G679">
        <v>4</v>
      </c>
      <c r="H679">
        <v>90000</v>
      </c>
      <c r="I679">
        <v>14672</v>
      </c>
      <c r="J679" s="1">
        <v>45248</v>
      </c>
      <c r="K679" t="s">
        <v>410</v>
      </c>
      <c r="L679">
        <v>11</v>
      </c>
      <c r="M679">
        <v>2023</v>
      </c>
      <c r="N679">
        <f t="shared" si="10"/>
        <v>-60656</v>
      </c>
      <c r="O679" s="19">
        <f>IF(Table1_2[Tiền Nhập]&lt;&gt;0, Table1_2[Lợi Nhuận Gộp]/Table1_2[Tiền Nhập], 0)</f>
        <v>-0.80522514868309258</v>
      </c>
      <c r="P679">
        <f>IF(Table1_2[SL Xuất]&gt;0, Table1_2[Tiền Xuất]/Table1_2[SL Xuất], 0)</f>
        <v>22500</v>
      </c>
      <c r="Q679">
        <f>Table1_2[SL Xuất] - Table1_2[SL Xuất KM]</f>
        <v>4</v>
      </c>
    </row>
    <row r="680" spans="1:17" x14ac:dyDescent="0.25">
      <c r="A680">
        <v>679</v>
      </c>
      <c r="B680" t="s">
        <v>269</v>
      </c>
      <c r="C680" t="s">
        <v>270</v>
      </c>
      <c r="D680" t="s">
        <v>13</v>
      </c>
      <c r="E680">
        <v>40000</v>
      </c>
      <c r="F680">
        <v>0</v>
      </c>
      <c r="G680">
        <v>10</v>
      </c>
      <c r="H680">
        <v>60000</v>
      </c>
      <c r="I680">
        <v>20000</v>
      </c>
      <c r="J680" s="1">
        <v>45248</v>
      </c>
      <c r="K680" t="s">
        <v>410</v>
      </c>
      <c r="L680">
        <v>11</v>
      </c>
      <c r="M680">
        <v>2023</v>
      </c>
      <c r="N680">
        <f t="shared" si="10"/>
        <v>-20000</v>
      </c>
      <c r="O680" s="19">
        <f>IF(Table1_2[Tiền Nhập]&lt;&gt;0, Table1_2[Lợi Nhuận Gộp]/Table1_2[Tiền Nhập], 0)</f>
        <v>-0.5</v>
      </c>
      <c r="P680">
        <f>IF(Table1_2[SL Xuất]&gt;0, Table1_2[Tiền Xuất]/Table1_2[SL Xuất], 0)</f>
        <v>6000</v>
      </c>
      <c r="Q680">
        <f>Table1_2[SL Xuất] - Table1_2[SL Xuất KM]</f>
        <v>10</v>
      </c>
    </row>
    <row r="681" spans="1:17" x14ac:dyDescent="0.25">
      <c r="A681">
        <v>680</v>
      </c>
      <c r="B681" t="s">
        <v>86</v>
      </c>
      <c r="C681" t="s">
        <v>87</v>
      </c>
      <c r="D681" t="s">
        <v>88</v>
      </c>
      <c r="E681">
        <v>301890</v>
      </c>
      <c r="F681">
        <v>1</v>
      </c>
      <c r="G681">
        <v>5</v>
      </c>
      <c r="H681">
        <v>275000</v>
      </c>
      <c r="I681">
        <v>-26890</v>
      </c>
      <c r="J681" s="1">
        <v>45248</v>
      </c>
      <c r="K681" t="s">
        <v>200</v>
      </c>
      <c r="L681">
        <v>11</v>
      </c>
      <c r="M681">
        <v>2023</v>
      </c>
      <c r="N681">
        <f t="shared" si="10"/>
        <v>-328780</v>
      </c>
      <c r="O681" s="19">
        <f>IF(Table1_2[Tiền Nhập]&lt;&gt;0, Table1_2[Lợi Nhuận Gộp]/Table1_2[Tiền Nhập], 0)</f>
        <v>-1.0890721786081023</v>
      </c>
      <c r="P681">
        <f>IF(Table1_2[SL Xuất]&gt;0, Table1_2[Tiền Xuất]/Table1_2[SL Xuất], 0)</f>
        <v>55000</v>
      </c>
      <c r="Q681">
        <f>Table1_2[SL Xuất] - Table1_2[SL Xuất KM]</f>
        <v>4</v>
      </c>
    </row>
    <row r="682" spans="1:17" x14ac:dyDescent="0.25">
      <c r="A682">
        <v>681</v>
      </c>
      <c r="B682" t="s">
        <v>128</v>
      </c>
      <c r="C682" t="s">
        <v>129</v>
      </c>
      <c r="D682" t="s">
        <v>13</v>
      </c>
      <c r="E682">
        <v>285000</v>
      </c>
      <c r="F682">
        <v>0</v>
      </c>
      <c r="G682">
        <v>30</v>
      </c>
      <c r="H682">
        <v>420000</v>
      </c>
      <c r="I682">
        <v>135000</v>
      </c>
      <c r="J682" s="1">
        <v>45248</v>
      </c>
      <c r="K682" t="s">
        <v>200</v>
      </c>
      <c r="L682">
        <v>11</v>
      </c>
      <c r="M682">
        <v>2023</v>
      </c>
      <c r="N682">
        <f t="shared" si="10"/>
        <v>-150000</v>
      </c>
      <c r="O682" s="19">
        <f>IF(Table1_2[Tiền Nhập]&lt;&gt;0, Table1_2[Lợi Nhuận Gộp]/Table1_2[Tiền Nhập], 0)</f>
        <v>-0.52631578947368418</v>
      </c>
      <c r="P682">
        <f>IF(Table1_2[SL Xuất]&gt;0, Table1_2[Tiền Xuất]/Table1_2[SL Xuất], 0)</f>
        <v>14000</v>
      </c>
      <c r="Q682">
        <f>Table1_2[SL Xuất] - Table1_2[SL Xuất KM]</f>
        <v>30</v>
      </c>
    </row>
    <row r="683" spans="1:17" x14ac:dyDescent="0.25">
      <c r="A683">
        <v>682</v>
      </c>
      <c r="B683" t="s">
        <v>764</v>
      </c>
      <c r="C683" t="s">
        <v>765</v>
      </c>
      <c r="D683" t="s">
        <v>13</v>
      </c>
      <c r="E683">
        <v>25000</v>
      </c>
      <c r="F683">
        <v>0</v>
      </c>
      <c r="G683">
        <v>10</v>
      </c>
      <c r="H683">
        <v>40000</v>
      </c>
      <c r="I683">
        <v>15000</v>
      </c>
      <c r="J683" s="1">
        <v>45248</v>
      </c>
      <c r="K683" t="s">
        <v>200</v>
      </c>
      <c r="L683">
        <v>11</v>
      </c>
      <c r="M683">
        <v>2023</v>
      </c>
      <c r="N683">
        <f t="shared" si="10"/>
        <v>-10000</v>
      </c>
      <c r="O683" s="19">
        <f>IF(Table1_2[Tiền Nhập]&lt;&gt;0, Table1_2[Lợi Nhuận Gộp]/Table1_2[Tiền Nhập], 0)</f>
        <v>-0.4</v>
      </c>
      <c r="P683">
        <f>IF(Table1_2[SL Xuất]&gt;0, Table1_2[Tiền Xuất]/Table1_2[SL Xuất], 0)</f>
        <v>4000</v>
      </c>
      <c r="Q683">
        <f>Table1_2[SL Xuất] - Table1_2[SL Xuất KM]</f>
        <v>10</v>
      </c>
    </row>
    <row r="684" spans="1:17" x14ac:dyDescent="0.25">
      <c r="A684">
        <v>683</v>
      </c>
      <c r="B684" t="s">
        <v>675</v>
      </c>
      <c r="C684" t="s">
        <v>676</v>
      </c>
      <c r="D684" t="s">
        <v>88</v>
      </c>
      <c r="E684">
        <v>299250</v>
      </c>
      <c r="F684">
        <v>3</v>
      </c>
      <c r="G684">
        <v>18</v>
      </c>
      <c r="H684">
        <v>370300</v>
      </c>
      <c r="I684">
        <v>71050</v>
      </c>
      <c r="J684" s="1">
        <v>45248</v>
      </c>
      <c r="K684" t="s">
        <v>200</v>
      </c>
      <c r="L684">
        <v>11</v>
      </c>
      <c r="M684">
        <v>2023</v>
      </c>
      <c r="N684">
        <f t="shared" si="10"/>
        <v>-228200</v>
      </c>
      <c r="O684" s="19">
        <f>IF(Table1_2[Tiền Nhập]&lt;&gt;0, Table1_2[Lợi Nhuận Gộp]/Table1_2[Tiền Nhập], 0)</f>
        <v>-0.76257309941520468</v>
      </c>
      <c r="P684">
        <f>IF(Table1_2[SL Xuất]&gt;0, Table1_2[Tiền Xuất]/Table1_2[SL Xuất], 0)</f>
        <v>20572.222222222223</v>
      </c>
      <c r="Q684">
        <f>Table1_2[SL Xuất] - Table1_2[SL Xuất KM]</f>
        <v>15</v>
      </c>
    </row>
    <row r="685" spans="1:17" x14ac:dyDescent="0.25">
      <c r="A685">
        <v>684</v>
      </c>
      <c r="B685" t="s">
        <v>413</v>
      </c>
      <c r="C685" t="s">
        <v>414</v>
      </c>
      <c r="D685" t="s">
        <v>194</v>
      </c>
      <c r="E685">
        <v>378000</v>
      </c>
      <c r="F685">
        <v>12</v>
      </c>
      <c r="G685">
        <v>72</v>
      </c>
      <c r="H685">
        <v>432000</v>
      </c>
      <c r="I685">
        <v>54000</v>
      </c>
      <c r="J685" s="1">
        <v>45248</v>
      </c>
      <c r="K685" t="s">
        <v>200</v>
      </c>
      <c r="L685">
        <v>11</v>
      </c>
      <c r="M685">
        <v>2023</v>
      </c>
      <c r="N685">
        <f t="shared" si="10"/>
        <v>-324000</v>
      </c>
      <c r="O685" s="19">
        <f>IF(Table1_2[Tiền Nhập]&lt;&gt;0, Table1_2[Lợi Nhuận Gộp]/Table1_2[Tiền Nhập], 0)</f>
        <v>-0.8571428571428571</v>
      </c>
      <c r="P685">
        <f>IF(Table1_2[SL Xuất]&gt;0, Table1_2[Tiền Xuất]/Table1_2[SL Xuất], 0)</f>
        <v>6000</v>
      </c>
      <c r="Q685">
        <f>Table1_2[SL Xuất] - Table1_2[SL Xuất KM]</f>
        <v>60</v>
      </c>
    </row>
    <row r="686" spans="1:17" x14ac:dyDescent="0.25">
      <c r="A686">
        <v>685</v>
      </c>
      <c r="B686" t="s">
        <v>240</v>
      </c>
      <c r="C686" t="s">
        <v>241</v>
      </c>
      <c r="D686" t="s">
        <v>88</v>
      </c>
      <c r="E686">
        <v>178500</v>
      </c>
      <c r="F686">
        <v>2</v>
      </c>
      <c r="G686">
        <v>12</v>
      </c>
      <c r="H686">
        <v>185200</v>
      </c>
      <c r="I686">
        <v>6700</v>
      </c>
      <c r="J686" s="1">
        <v>45248</v>
      </c>
      <c r="K686" t="s">
        <v>200</v>
      </c>
      <c r="L686">
        <v>11</v>
      </c>
      <c r="M686">
        <v>2023</v>
      </c>
      <c r="N686">
        <f t="shared" si="10"/>
        <v>-171800</v>
      </c>
      <c r="O686" s="19">
        <f>IF(Table1_2[Tiền Nhập]&lt;&gt;0, Table1_2[Lợi Nhuận Gộp]/Table1_2[Tiền Nhập], 0)</f>
        <v>-0.96246498599439778</v>
      </c>
      <c r="P686">
        <f>IF(Table1_2[SL Xuất]&gt;0, Table1_2[Tiền Xuất]/Table1_2[SL Xuất], 0)</f>
        <v>15433.333333333334</v>
      </c>
      <c r="Q686">
        <f>Table1_2[SL Xuất] - Table1_2[SL Xuất KM]</f>
        <v>10</v>
      </c>
    </row>
    <row r="687" spans="1:17" x14ac:dyDescent="0.25">
      <c r="A687">
        <v>686</v>
      </c>
      <c r="B687" t="s">
        <v>99</v>
      </c>
      <c r="C687" t="s">
        <v>100</v>
      </c>
      <c r="D687" t="s">
        <v>88</v>
      </c>
      <c r="E687">
        <v>346500</v>
      </c>
      <c r="F687">
        <v>3</v>
      </c>
      <c r="G687">
        <v>18</v>
      </c>
      <c r="H687">
        <v>370300</v>
      </c>
      <c r="I687">
        <v>23800</v>
      </c>
      <c r="J687" s="1">
        <v>45248</v>
      </c>
      <c r="K687" t="s">
        <v>200</v>
      </c>
      <c r="L687">
        <v>11</v>
      </c>
      <c r="M687">
        <v>2023</v>
      </c>
      <c r="N687">
        <f t="shared" si="10"/>
        <v>-322700</v>
      </c>
      <c r="O687" s="19">
        <f>IF(Table1_2[Tiền Nhập]&lt;&gt;0, Table1_2[Lợi Nhuận Gộp]/Table1_2[Tiền Nhập], 0)</f>
        <v>-0.93131313131313131</v>
      </c>
      <c r="P687">
        <f>IF(Table1_2[SL Xuất]&gt;0, Table1_2[Tiền Xuất]/Table1_2[SL Xuất], 0)</f>
        <v>20572.222222222223</v>
      </c>
      <c r="Q687">
        <f>Table1_2[SL Xuất] - Table1_2[SL Xuất KM]</f>
        <v>15</v>
      </c>
    </row>
    <row r="688" spans="1:17" x14ac:dyDescent="0.25">
      <c r="A688">
        <v>687</v>
      </c>
      <c r="B688" t="s">
        <v>416</v>
      </c>
      <c r="C688" t="s">
        <v>417</v>
      </c>
      <c r="D688" t="s">
        <v>45</v>
      </c>
      <c r="E688">
        <v>180000</v>
      </c>
      <c r="F688">
        <v>0</v>
      </c>
      <c r="G688">
        <v>10</v>
      </c>
      <c r="H688">
        <v>220000</v>
      </c>
      <c r="I688">
        <v>40000</v>
      </c>
      <c r="J688" s="1">
        <v>45248</v>
      </c>
      <c r="K688" t="s">
        <v>420</v>
      </c>
      <c r="L688">
        <v>11</v>
      </c>
      <c r="M688">
        <v>2023</v>
      </c>
      <c r="N688">
        <f t="shared" si="10"/>
        <v>-140000</v>
      </c>
      <c r="O688" s="19">
        <f>IF(Table1_2[Tiền Nhập]&lt;&gt;0, Table1_2[Lợi Nhuận Gộp]/Table1_2[Tiền Nhập], 0)</f>
        <v>-0.77777777777777779</v>
      </c>
      <c r="P688">
        <f>IF(Table1_2[SL Xuất]&gt;0, Table1_2[Tiền Xuất]/Table1_2[SL Xuất], 0)</f>
        <v>22000</v>
      </c>
      <c r="Q688">
        <f>Table1_2[SL Xuất] - Table1_2[SL Xuất KM]</f>
        <v>10</v>
      </c>
    </row>
    <row r="689" spans="1:17" x14ac:dyDescent="0.25">
      <c r="A689">
        <v>688</v>
      </c>
      <c r="B689" t="s">
        <v>1315</v>
      </c>
      <c r="C689" t="s">
        <v>1316</v>
      </c>
      <c r="D689" t="s">
        <v>88</v>
      </c>
      <c r="E689">
        <v>384000</v>
      </c>
      <c r="F689">
        <v>8</v>
      </c>
      <c r="G689">
        <v>24</v>
      </c>
      <c r="H689">
        <v>630000</v>
      </c>
      <c r="I689">
        <v>246000</v>
      </c>
      <c r="J689" s="1">
        <v>45248</v>
      </c>
      <c r="K689" t="s">
        <v>563</v>
      </c>
      <c r="L689">
        <v>11</v>
      </c>
      <c r="M689">
        <v>2023</v>
      </c>
      <c r="N689">
        <f t="shared" si="10"/>
        <v>-138000</v>
      </c>
      <c r="O689" s="19">
        <f>IF(Table1_2[Tiền Nhập]&lt;&gt;0, Table1_2[Lợi Nhuận Gộp]/Table1_2[Tiền Nhập], 0)</f>
        <v>-0.359375</v>
      </c>
      <c r="P689">
        <f>IF(Table1_2[SL Xuất]&gt;0, Table1_2[Tiền Xuất]/Table1_2[SL Xuất], 0)</f>
        <v>26250</v>
      </c>
      <c r="Q689">
        <f>Table1_2[SL Xuất] - Table1_2[SL Xuất KM]</f>
        <v>16</v>
      </c>
    </row>
    <row r="690" spans="1:17" x14ac:dyDescent="0.25">
      <c r="A690">
        <v>689</v>
      </c>
      <c r="B690" t="s">
        <v>717</v>
      </c>
      <c r="C690" t="s">
        <v>718</v>
      </c>
      <c r="D690" t="s">
        <v>88</v>
      </c>
      <c r="E690">
        <v>181200</v>
      </c>
      <c r="F690">
        <v>1</v>
      </c>
      <c r="G690">
        <v>4</v>
      </c>
      <c r="H690">
        <v>156000</v>
      </c>
      <c r="I690">
        <v>-25200</v>
      </c>
      <c r="J690" s="1">
        <v>45248</v>
      </c>
      <c r="K690" t="s">
        <v>575</v>
      </c>
      <c r="L690">
        <v>11</v>
      </c>
      <c r="M690">
        <v>2023</v>
      </c>
      <c r="N690">
        <f t="shared" si="10"/>
        <v>-206400</v>
      </c>
      <c r="O690" s="19">
        <f>IF(Table1_2[Tiền Nhập]&lt;&gt;0, Table1_2[Lợi Nhuận Gộp]/Table1_2[Tiền Nhập], 0)</f>
        <v>-1.1390728476821192</v>
      </c>
      <c r="P690">
        <f>IF(Table1_2[SL Xuất]&gt;0, Table1_2[Tiền Xuất]/Table1_2[SL Xuất], 0)</f>
        <v>39000</v>
      </c>
      <c r="Q690">
        <f>Table1_2[SL Xuất] - Table1_2[SL Xuất KM]</f>
        <v>3</v>
      </c>
    </row>
    <row r="691" spans="1:17" x14ac:dyDescent="0.25">
      <c r="A691">
        <v>690</v>
      </c>
      <c r="B691" t="s">
        <v>753</v>
      </c>
      <c r="C691" t="s">
        <v>754</v>
      </c>
      <c r="D691" t="s">
        <v>88</v>
      </c>
      <c r="E691">
        <v>181200</v>
      </c>
      <c r="F691">
        <v>0</v>
      </c>
      <c r="G691">
        <v>4</v>
      </c>
      <c r="H691">
        <v>200000</v>
      </c>
      <c r="I691">
        <v>18800</v>
      </c>
      <c r="J691" s="1">
        <v>45248</v>
      </c>
      <c r="K691" t="s">
        <v>575</v>
      </c>
      <c r="L691">
        <v>11</v>
      </c>
      <c r="M691">
        <v>2023</v>
      </c>
      <c r="N691">
        <f t="shared" si="10"/>
        <v>-162400</v>
      </c>
      <c r="O691" s="19">
        <f>IF(Table1_2[Tiền Nhập]&lt;&gt;0, Table1_2[Lợi Nhuận Gộp]/Table1_2[Tiền Nhập], 0)</f>
        <v>-0.89624724061810157</v>
      </c>
      <c r="P691">
        <f>IF(Table1_2[SL Xuất]&gt;0, Table1_2[Tiền Xuất]/Table1_2[SL Xuất], 0)</f>
        <v>50000</v>
      </c>
      <c r="Q691">
        <f>Table1_2[SL Xuất] - Table1_2[SL Xuất KM]</f>
        <v>4</v>
      </c>
    </row>
    <row r="692" spans="1:17" x14ac:dyDescent="0.25">
      <c r="A692">
        <v>691</v>
      </c>
      <c r="B692" t="s">
        <v>757</v>
      </c>
      <c r="C692" t="s">
        <v>758</v>
      </c>
      <c r="D692" t="s">
        <v>88</v>
      </c>
      <c r="E692">
        <v>181200</v>
      </c>
      <c r="F692">
        <v>0</v>
      </c>
      <c r="G692">
        <v>4</v>
      </c>
      <c r="H692">
        <v>200000</v>
      </c>
      <c r="I692">
        <v>18800</v>
      </c>
      <c r="J692" s="1">
        <v>45248</v>
      </c>
      <c r="K692" t="s">
        <v>575</v>
      </c>
      <c r="L692">
        <v>11</v>
      </c>
      <c r="M692">
        <v>2023</v>
      </c>
      <c r="N692">
        <f t="shared" si="10"/>
        <v>-162400</v>
      </c>
      <c r="O692" s="19">
        <f>IF(Table1_2[Tiền Nhập]&lt;&gt;0, Table1_2[Lợi Nhuận Gộp]/Table1_2[Tiền Nhập], 0)</f>
        <v>-0.89624724061810157</v>
      </c>
      <c r="P692">
        <f>IF(Table1_2[SL Xuất]&gt;0, Table1_2[Tiền Xuất]/Table1_2[SL Xuất], 0)</f>
        <v>50000</v>
      </c>
      <c r="Q692">
        <f>Table1_2[SL Xuất] - Table1_2[SL Xuất KM]</f>
        <v>4</v>
      </c>
    </row>
    <row r="693" spans="1:17" x14ac:dyDescent="0.25">
      <c r="A693">
        <v>692</v>
      </c>
      <c r="B693" t="s">
        <v>11</v>
      </c>
      <c r="C693" t="s">
        <v>12</v>
      </c>
      <c r="D693" t="s">
        <v>13</v>
      </c>
      <c r="E693">
        <v>345600</v>
      </c>
      <c r="F693">
        <v>4</v>
      </c>
      <c r="G693">
        <v>48</v>
      </c>
      <c r="H693">
        <v>536000</v>
      </c>
      <c r="I693">
        <v>190400</v>
      </c>
      <c r="J693" s="1">
        <v>45248</v>
      </c>
      <c r="K693" t="s">
        <v>449</v>
      </c>
      <c r="L693">
        <v>11</v>
      </c>
      <c r="M693">
        <v>2023</v>
      </c>
      <c r="N693">
        <f t="shared" si="10"/>
        <v>-155200</v>
      </c>
      <c r="O693" s="19">
        <f>IF(Table1_2[Tiền Nhập]&lt;&gt;0, Table1_2[Lợi Nhuận Gộp]/Table1_2[Tiền Nhập], 0)</f>
        <v>-0.44907407407407407</v>
      </c>
      <c r="P693">
        <f>IF(Table1_2[SL Xuất]&gt;0, Table1_2[Tiền Xuất]/Table1_2[SL Xuất], 0)</f>
        <v>11166.666666666666</v>
      </c>
      <c r="Q693">
        <f>Table1_2[SL Xuất] - Table1_2[SL Xuất KM]</f>
        <v>44</v>
      </c>
    </row>
    <row r="694" spans="1:17" x14ac:dyDescent="0.25">
      <c r="A694">
        <v>693</v>
      </c>
      <c r="B694" t="s">
        <v>169</v>
      </c>
      <c r="C694" t="s">
        <v>170</v>
      </c>
      <c r="D694" t="s">
        <v>88</v>
      </c>
      <c r="E694">
        <v>1152000</v>
      </c>
      <c r="F694">
        <v>0</v>
      </c>
      <c r="G694">
        <v>6</v>
      </c>
      <c r="H694">
        <v>1440000</v>
      </c>
      <c r="I694">
        <v>288000</v>
      </c>
      <c r="J694" s="1">
        <v>45248</v>
      </c>
      <c r="K694" t="s">
        <v>1143</v>
      </c>
      <c r="L694">
        <v>11</v>
      </c>
      <c r="M694">
        <v>2023</v>
      </c>
      <c r="N694">
        <f t="shared" si="10"/>
        <v>-864000</v>
      </c>
      <c r="O694" s="19">
        <f>IF(Table1_2[Tiền Nhập]&lt;&gt;0, Table1_2[Lợi Nhuận Gộp]/Table1_2[Tiền Nhập], 0)</f>
        <v>-0.75</v>
      </c>
      <c r="P694">
        <f>IF(Table1_2[SL Xuất]&gt;0, Table1_2[Tiền Xuất]/Table1_2[SL Xuất], 0)</f>
        <v>240000</v>
      </c>
      <c r="Q694">
        <f>Table1_2[SL Xuất] - Table1_2[SL Xuất KM]</f>
        <v>6</v>
      </c>
    </row>
    <row r="695" spans="1:17" x14ac:dyDescent="0.25">
      <c r="A695">
        <v>694</v>
      </c>
      <c r="B695" t="s">
        <v>701</v>
      </c>
      <c r="C695" t="s">
        <v>702</v>
      </c>
      <c r="D695" t="s">
        <v>45</v>
      </c>
      <c r="E695">
        <v>0</v>
      </c>
      <c r="F695">
        <v>1</v>
      </c>
      <c r="G695">
        <v>0</v>
      </c>
      <c r="H695">
        <v>-281000</v>
      </c>
      <c r="I695">
        <v>-281000</v>
      </c>
      <c r="J695" s="1">
        <v>45248</v>
      </c>
      <c r="K695" t="s">
        <v>1143</v>
      </c>
      <c r="L695">
        <v>11</v>
      </c>
      <c r="M695">
        <v>2023</v>
      </c>
      <c r="N695">
        <f t="shared" si="10"/>
        <v>-281000</v>
      </c>
      <c r="O695" s="19">
        <f>IF(Table1_2[Tiền Nhập]&lt;&gt;0, Table1_2[Lợi Nhuận Gộp]/Table1_2[Tiền Nhập], 0)</f>
        <v>0</v>
      </c>
      <c r="P695">
        <f>IF(Table1_2[SL Xuất]&gt;0, Table1_2[Tiền Xuất]/Table1_2[SL Xuất], 0)</f>
        <v>0</v>
      </c>
      <c r="Q695">
        <f>Table1_2[SL Xuất] - Table1_2[SL Xuất KM]</f>
        <v>-1</v>
      </c>
    </row>
    <row r="696" spans="1:17" x14ac:dyDescent="0.25">
      <c r="A696">
        <v>695</v>
      </c>
      <c r="B696" t="s">
        <v>938</v>
      </c>
      <c r="C696" t="s">
        <v>939</v>
      </c>
      <c r="D696" t="s">
        <v>13</v>
      </c>
      <c r="E696">
        <v>122000</v>
      </c>
      <c r="F696">
        <v>0</v>
      </c>
      <c r="G696">
        <v>10</v>
      </c>
      <c r="H696">
        <v>125000</v>
      </c>
      <c r="I696">
        <v>3000</v>
      </c>
      <c r="J696" s="1">
        <v>45248</v>
      </c>
      <c r="K696" t="s">
        <v>1143</v>
      </c>
      <c r="L696">
        <v>11</v>
      </c>
      <c r="M696">
        <v>2023</v>
      </c>
      <c r="N696">
        <f t="shared" si="10"/>
        <v>-119000</v>
      </c>
      <c r="O696" s="19">
        <f>IF(Table1_2[Tiền Nhập]&lt;&gt;0, Table1_2[Lợi Nhuận Gộp]/Table1_2[Tiền Nhập], 0)</f>
        <v>-0.97540983606557374</v>
      </c>
      <c r="P696">
        <f>IF(Table1_2[SL Xuất]&gt;0, Table1_2[Tiền Xuất]/Table1_2[SL Xuất], 0)</f>
        <v>12500</v>
      </c>
      <c r="Q696">
        <f>Table1_2[SL Xuất] - Table1_2[SL Xuất KM]</f>
        <v>10</v>
      </c>
    </row>
    <row r="697" spans="1:17" x14ac:dyDescent="0.25">
      <c r="A697">
        <v>696</v>
      </c>
      <c r="B697" t="s">
        <v>941</v>
      </c>
      <c r="C697" t="s">
        <v>942</v>
      </c>
      <c r="D697" t="s">
        <v>13</v>
      </c>
      <c r="E697">
        <v>122000</v>
      </c>
      <c r="F697">
        <v>0</v>
      </c>
      <c r="G697">
        <v>10</v>
      </c>
      <c r="H697">
        <v>125000</v>
      </c>
      <c r="I697">
        <v>3000</v>
      </c>
      <c r="J697" s="1">
        <v>45248</v>
      </c>
      <c r="K697" t="s">
        <v>1143</v>
      </c>
      <c r="L697">
        <v>11</v>
      </c>
      <c r="M697">
        <v>2023</v>
      </c>
      <c r="N697">
        <f t="shared" si="10"/>
        <v>-119000</v>
      </c>
      <c r="O697" s="19">
        <f>IF(Table1_2[Tiền Nhập]&lt;&gt;0, Table1_2[Lợi Nhuận Gộp]/Table1_2[Tiền Nhập], 0)</f>
        <v>-0.97540983606557374</v>
      </c>
      <c r="P697">
        <f>IF(Table1_2[SL Xuất]&gt;0, Table1_2[Tiền Xuất]/Table1_2[SL Xuất], 0)</f>
        <v>12500</v>
      </c>
      <c r="Q697">
        <f>Table1_2[SL Xuất] - Table1_2[SL Xuất KM]</f>
        <v>10</v>
      </c>
    </row>
    <row r="698" spans="1:17" x14ac:dyDescent="0.25">
      <c r="A698">
        <v>697</v>
      </c>
      <c r="B698" t="s">
        <v>945</v>
      </c>
      <c r="C698" t="s">
        <v>946</v>
      </c>
      <c r="D698" t="s">
        <v>13</v>
      </c>
      <c r="E698">
        <v>122000</v>
      </c>
      <c r="F698">
        <v>0</v>
      </c>
      <c r="G698">
        <v>10</v>
      </c>
      <c r="H698">
        <v>125000</v>
      </c>
      <c r="I698">
        <v>3000</v>
      </c>
      <c r="J698" s="1">
        <v>45248</v>
      </c>
      <c r="K698" t="s">
        <v>1143</v>
      </c>
      <c r="L698">
        <v>11</v>
      </c>
      <c r="M698">
        <v>2023</v>
      </c>
      <c r="N698">
        <f t="shared" si="10"/>
        <v>-119000</v>
      </c>
      <c r="O698" s="19">
        <f>IF(Table1_2[Tiền Nhập]&lt;&gt;0, Table1_2[Lợi Nhuận Gộp]/Table1_2[Tiền Nhập], 0)</f>
        <v>-0.97540983606557374</v>
      </c>
      <c r="P698">
        <f>IF(Table1_2[SL Xuất]&gt;0, Table1_2[Tiền Xuất]/Table1_2[SL Xuất], 0)</f>
        <v>12500</v>
      </c>
      <c r="Q698">
        <f>Table1_2[SL Xuất] - Table1_2[SL Xuất KM]</f>
        <v>10</v>
      </c>
    </row>
    <row r="699" spans="1:17" x14ac:dyDescent="0.25">
      <c r="A699">
        <v>698</v>
      </c>
      <c r="B699" t="s">
        <v>947</v>
      </c>
      <c r="C699" t="s">
        <v>948</v>
      </c>
      <c r="D699" t="s">
        <v>13</v>
      </c>
      <c r="E699">
        <v>122000</v>
      </c>
      <c r="F699">
        <v>0</v>
      </c>
      <c r="G699">
        <v>10</v>
      </c>
      <c r="H699">
        <v>125000</v>
      </c>
      <c r="I699">
        <v>3000</v>
      </c>
      <c r="J699" s="1">
        <v>45248</v>
      </c>
      <c r="K699" t="s">
        <v>1143</v>
      </c>
      <c r="L699">
        <v>11</v>
      </c>
      <c r="M699">
        <v>2023</v>
      </c>
      <c r="N699">
        <f t="shared" si="10"/>
        <v>-119000</v>
      </c>
      <c r="O699" s="19">
        <f>IF(Table1_2[Tiền Nhập]&lt;&gt;0, Table1_2[Lợi Nhuận Gộp]/Table1_2[Tiền Nhập], 0)</f>
        <v>-0.97540983606557374</v>
      </c>
      <c r="P699">
        <f>IF(Table1_2[SL Xuất]&gt;0, Table1_2[Tiền Xuất]/Table1_2[SL Xuất], 0)</f>
        <v>12500</v>
      </c>
      <c r="Q699">
        <f>Table1_2[SL Xuất] - Table1_2[SL Xuất KM]</f>
        <v>10</v>
      </c>
    </row>
    <row r="700" spans="1:17" x14ac:dyDescent="0.25">
      <c r="A700">
        <v>699</v>
      </c>
      <c r="B700" t="s">
        <v>793</v>
      </c>
      <c r="C700" t="s">
        <v>794</v>
      </c>
      <c r="D700" t="s">
        <v>13</v>
      </c>
      <c r="E700">
        <v>480000</v>
      </c>
      <c r="F700">
        <v>2</v>
      </c>
      <c r="G700">
        <v>10</v>
      </c>
      <c r="H700">
        <v>434000</v>
      </c>
      <c r="I700">
        <v>-46000</v>
      </c>
      <c r="J700" s="1">
        <v>45248</v>
      </c>
      <c r="K700" t="s">
        <v>797</v>
      </c>
      <c r="L700">
        <v>11</v>
      </c>
      <c r="M700">
        <v>2023</v>
      </c>
      <c r="N700">
        <f t="shared" si="10"/>
        <v>-526000</v>
      </c>
      <c r="O700" s="19">
        <f>IF(Table1_2[Tiền Nhập]&lt;&gt;0, Table1_2[Lợi Nhuận Gộp]/Table1_2[Tiền Nhập], 0)</f>
        <v>-1.0958333333333334</v>
      </c>
      <c r="P700">
        <f>IF(Table1_2[SL Xuất]&gt;0, Table1_2[Tiền Xuất]/Table1_2[SL Xuất], 0)</f>
        <v>43400</v>
      </c>
      <c r="Q700">
        <f>Table1_2[SL Xuất] - Table1_2[SL Xuất KM]</f>
        <v>8</v>
      </c>
    </row>
    <row r="701" spans="1:17" x14ac:dyDescent="0.25">
      <c r="A701">
        <v>700</v>
      </c>
      <c r="B701" t="s">
        <v>213</v>
      </c>
      <c r="C701" t="s">
        <v>214</v>
      </c>
      <c r="D701" t="s">
        <v>45</v>
      </c>
      <c r="E701">
        <v>290000</v>
      </c>
      <c r="F701">
        <v>1</v>
      </c>
      <c r="G701">
        <v>10</v>
      </c>
      <c r="H701">
        <v>355000</v>
      </c>
      <c r="I701">
        <v>65000</v>
      </c>
      <c r="J701" s="1">
        <v>45248</v>
      </c>
      <c r="K701" t="s">
        <v>50</v>
      </c>
      <c r="L701">
        <v>11</v>
      </c>
      <c r="M701">
        <v>2023</v>
      </c>
      <c r="N701">
        <f t="shared" si="10"/>
        <v>-225000</v>
      </c>
      <c r="O701" s="19">
        <f>IF(Table1_2[Tiền Nhập]&lt;&gt;0, Table1_2[Lợi Nhuận Gộp]/Table1_2[Tiền Nhập], 0)</f>
        <v>-0.77586206896551724</v>
      </c>
      <c r="P701">
        <f>IF(Table1_2[SL Xuất]&gt;0, Table1_2[Tiền Xuất]/Table1_2[SL Xuất], 0)</f>
        <v>35500</v>
      </c>
      <c r="Q701">
        <f>Table1_2[SL Xuất] - Table1_2[SL Xuất KM]</f>
        <v>9</v>
      </c>
    </row>
    <row r="702" spans="1:17" x14ac:dyDescent="0.25">
      <c r="A702">
        <v>701</v>
      </c>
      <c r="B702" t="s">
        <v>400</v>
      </c>
      <c r="C702" t="s">
        <v>401</v>
      </c>
      <c r="D702" t="s">
        <v>13</v>
      </c>
      <c r="E702">
        <v>1125000</v>
      </c>
      <c r="F702">
        <v>30</v>
      </c>
      <c r="G702">
        <v>150</v>
      </c>
      <c r="H702">
        <v>1350000</v>
      </c>
      <c r="I702">
        <v>225000</v>
      </c>
      <c r="J702" s="1">
        <v>45248</v>
      </c>
      <c r="K702" t="s">
        <v>50</v>
      </c>
      <c r="L702">
        <v>11</v>
      </c>
      <c r="M702">
        <v>2023</v>
      </c>
      <c r="N702">
        <f t="shared" si="10"/>
        <v>-900000</v>
      </c>
      <c r="O702" s="19">
        <f>IF(Table1_2[Tiền Nhập]&lt;&gt;0, Table1_2[Lợi Nhuận Gộp]/Table1_2[Tiền Nhập], 0)</f>
        <v>-0.8</v>
      </c>
      <c r="P702">
        <f>IF(Table1_2[SL Xuất]&gt;0, Table1_2[Tiền Xuất]/Table1_2[SL Xuất], 0)</f>
        <v>9000</v>
      </c>
      <c r="Q702">
        <f>Table1_2[SL Xuất] - Table1_2[SL Xuất KM]</f>
        <v>120</v>
      </c>
    </row>
    <row r="703" spans="1:17" x14ac:dyDescent="0.25">
      <c r="A703">
        <v>702</v>
      </c>
      <c r="B703" t="s">
        <v>213</v>
      </c>
      <c r="C703" t="s">
        <v>214</v>
      </c>
      <c r="D703" t="s">
        <v>45</v>
      </c>
      <c r="E703">
        <v>290000</v>
      </c>
      <c r="F703">
        <v>1</v>
      </c>
      <c r="G703">
        <v>10</v>
      </c>
      <c r="H703">
        <v>355000</v>
      </c>
      <c r="I703">
        <v>65000</v>
      </c>
      <c r="J703" s="1">
        <v>45248</v>
      </c>
      <c r="K703" t="s">
        <v>212</v>
      </c>
      <c r="L703">
        <v>11</v>
      </c>
      <c r="M703">
        <v>2023</v>
      </c>
      <c r="N703">
        <f t="shared" si="10"/>
        <v>-225000</v>
      </c>
      <c r="O703" s="19">
        <f>IF(Table1_2[Tiền Nhập]&lt;&gt;0, Table1_2[Lợi Nhuận Gộp]/Table1_2[Tiền Nhập], 0)</f>
        <v>-0.77586206896551724</v>
      </c>
      <c r="P703">
        <f>IF(Table1_2[SL Xuất]&gt;0, Table1_2[Tiền Xuất]/Table1_2[SL Xuất], 0)</f>
        <v>35500</v>
      </c>
      <c r="Q703">
        <f>Table1_2[SL Xuất] - Table1_2[SL Xuất KM]</f>
        <v>9</v>
      </c>
    </row>
    <row r="704" spans="1:17" x14ac:dyDescent="0.25">
      <c r="A704">
        <v>703</v>
      </c>
      <c r="B704" t="s">
        <v>1322</v>
      </c>
      <c r="C704" t="s">
        <v>1323</v>
      </c>
      <c r="D704" t="s">
        <v>88</v>
      </c>
      <c r="E704">
        <v>160000</v>
      </c>
      <c r="F704">
        <v>0</v>
      </c>
      <c r="G704">
        <v>10</v>
      </c>
      <c r="H704">
        <v>180000</v>
      </c>
      <c r="I704">
        <v>20000</v>
      </c>
      <c r="J704" s="1">
        <v>45248</v>
      </c>
      <c r="K704" t="s">
        <v>212</v>
      </c>
      <c r="L704">
        <v>11</v>
      </c>
      <c r="M704">
        <v>2023</v>
      </c>
      <c r="N704">
        <f t="shared" si="10"/>
        <v>-140000</v>
      </c>
      <c r="O704" s="19">
        <f>IF(Table1_2[Tiền Nhập]&lt;&gt;0, Table1_2[Lợi Nhuận Gộp]/Table1_2[Tiền Nhập], 0)</f>
        <v>-0.875</v>
      </c>
      <c r="P704">
        <f>IF(Table1_2[SL Xuất]&gt;0, Table1_2[Tiền Xuất]/Table1_2[SL Xuất], 0)</f>
        <v>18000</v>
      </c>
      <c r="Q704">
        <f>Table1_2[SL Xuất] - Table1_2[SL Xuất KM]</f>
        <v>10</v>
      </c>
    </row>
    <row r="705" spans="1:17" x14ac:dyDescent="0.25">
      <c r="A705">
        <v>704</v>
      </c>
      <c r="B705" t="s">
        <v>888</v>
      </c>
      <c r="C705" t="s">
        <v>889</v>
      </c>
      <c r="D705" t="s">
        <v>13</v>
      </c>
      <c r="E705">
        <v>100000</v>
      </c>
      <c r="F705">
        <v>2</v>
      </c>
      <c r="G705">
        <v>10</v>
      </c>
      <c r="H705">
        <v>150000</v>
      </c>
      <c r="I705">
        <v>50000</v>
      </c>
      <c r="J705" s="1">
        <v>45248</v>
      </c>
      <c r="K705" t="s">
        <v>483</v>
      </c>
      <c r="L705">
        <v>11</v>
      </c>
      <c r="M705">
        <v>2023</v>
      </c>
      <c r="N705">
        <f t="shared" si="10"/>
        <v>-50000</v>
      </c>
      <c r="O705" s="19">
        <f>IF(Table1_2[Tiền Nhập]&lt;&gt;0, Table1_2[Lợi Nhuận Gộp]/Table1_2[Tiền Nhập], 0)</f>
        <v>-0.5</v>
      </c>
      <c r="P705">
        <f>IF(Table1_2[SL Xuất]&gt;0, Table1_2[Tiền Xuất]/Table1_2[SL Xuất], 0)</f>
        <v>15000</v>
      </c>
      <c r="Q705">
        <f>Table1_2[SL Xuất] - Table1_2[SL Xuất KM]</f>
        <v>8</v>
      </c>
    </row>
    <row r="706" spans="1:17" x14ac:dyDescent="0.25">
      <c r="A706">
        <v>705</v>
      </c>
      <c r="B706" t="s">
        <v>11</v>
      </c>
      <c r="C706" t="s">
        <v>12</v>
      </c>
      <c r="D706" t="s">
        <v>13</v>
      </c>
      <c r="E706">
        <v>0</v>
      </c>
      <c r="F706">
        <v>0</v>
      </c>
      <c r="G706">
        <v>0</v>
      </c>
      <c r="H706">
        <v>0</v>
      </c>
      <c r="I706">
        <v>0</v>
      </c>
      <c r="J706" s="1">
        <v>45248</v>
      </c>
      <c r="K706" t="s">
        <v>119</v>
      </c>
      <c r="L706">
        <v>11</v>
      </c>
      <c r="M706">
        <v>2023</v>
      </c>
      <c r="N706">
        <f t="shared" ref="N706:N769" si="11">I706-E706</f>
        <v>0</v>
      </c>
      <c r="O706" s="19">
        <f>IF(Table1_2[Tiền Nhập]&lt;&gt;0, Table1_2[Lợi Nhuận Gộp]/Table1_2[Tiền Nhập], 0)</f>
        <v>0</v>
      </c>
      <c r="P706">
        <f>IF(Table1_2[SL Xuất]&gt;0, Table1_2[Tiền Xuất]/Table1_2[SL Xuất], 0)</f>
        <v>0</v>
      </c>
      <c r="Q706">
        <f>Table1_2[SL Xuất] - Table1_2[SL Xuất KM]</f>
        <v>0</v>
      </c>
    </row>
    <row r="707" spans="1:17" x14ac:dyDescent="0.25">
      <c r="A707">
        <v>706</v>
      </c>
      <c r="B707" t="s">
        <v>99</v>
      </c>
      <c r="C707" t="s">
        <v>100</v>
      </c>
      <c r="D707" t="s">
        <v>88</v>
      </c>
      <c r="E707">
        <v>231000</v>
      </c>
      <c r="F707">
        <v>2</v>
      </c>
      <c r="G707">
        <v>12</v>
      </c>
      <c r="H707">
        <v>288000</v>
      </c>
      <c r="I707">
        <v>57000</v>
      </c>
      <c r="J707" s="1">
        <v>45248</v>
      </c>
      <c r="K707" t="s">
        <v>119</v>
      </c>
      <c r="L707">
        <v>11</v>
      </c>
      <c r="M707">
        <v>2023</v>
      </c>
      <c r="N707">
        <f t="shared" si="11"/>
        <v>-174000</v>
      </c>
      <c r="O707" s="19">
        <f>IF(Table1_2[Tiền Nhập]&lt;&gt;0, Table1_2[Lợi Nhuận Gộp]/Table1_2[Tiền Nhập], 0)</f>
        <v>-0.75324675324675328</v>
      </c>
      <c r="P707">
        <f>IF(Table1_2[SL Xuất]&gt;0, Table1_2[Tiền Xuất]/Table1_2[SL Xuất], 0)</f>
        <v>24000</v>
      </c>
      <c r="Q707">
        <f>Table1_2[SL Xuất] - Table1_2[SL Xuất KM]</f>
        <v>10</v>
      </c>
    </row>
    <row r="708" spans="1:17" x14ac:dyDescent="0.25">
      <c r="A708">
        <v>707</v>
      </c>
      <c r="B708" t="s">
        <v>55</v>
      </c>
      <c r="C708" t="s">
        <v>56</v>
      </c>
      <c r="D708" t="s">
        <v>13</v>
      </c>
      <c r="E708">
        <v>102000</v>
      </c>
      <c r="F708">
        <v>0</v>
      </c>
      <c r="G708">
        <v>6</v>
      </c>
      <c r="H708">
        <v>144000</v>
      </c>
      <c r="I708">
        <v>42000</v>
      </c>
      <c r="J708" s="1">
        <v>45248</v>
      </c>
      <c r="K708" t="s">
        <v>247</v>
      </c>
      <c r="L708">
        <v>11</v>
      </c>
      <c r="M708">
        <v>2023</v>
      </c>
      <c r="N708">
        <f t="shared" si="11"/>
        <v>-60000</v>
      </c>
      <c r="O708" s="19">
        <f>IF(Table1_2[Tiền Nhập]&lt;&gt;0, Table1_2[Lợi Nhuận Gộp]/Table1_2[Tiền Nhập], 0)</f>
        <v>-0.58823529411764708</v>
      </c>
      <c r="P708">
        <f>IF(Table1_2[SL Xuất]&gt;0, Table1_2[Tiền Xuất]/Table1_2[SL Xuất], 0)</f>
        <v>24000</v>
      </c>
      <c r="Q708">
        <f>Table1_2[SL Xuất] - Table1_2[SL Xuất KM]</f>
        <v>6</v>
      </c>
    </row>
    <row r="709" spans="1:17" x14ac:dyDescent="0.25">
      <c r="A709">
        <v>708</v>
      </c>
      <c r="B709" t="s">
        <v>1324</v>
      </c>
      <c r="C709" t="s">
        <v>1325</v>
      </c>
      <c r="D709" t="s">
        <v>45</v>
      </c>
      <c r="E709">
        <v>135000</v>
      </c>
      <c r="F709">
        <v>0</v>
      </c>
      <c r="G709">
        <v>30</v>
      </c>
      <c r="H709">
        <v>300000</v>
      </c>
      <c r="I709">
        <v>165000</v>
      </c>
      <c r="J709" s="1">
        <v>45248</v>
      </c>
      <c r="K709" t="s">
        <v>500</v>
      </c>
      <c r="L709">
        <v>11</v>
      </c>
      <c r="M709">
        <v>2023</v>
      </c>
      <c r="N709">
        <f t="shared" si="11"/>
        <v>30000</v>
      </c>
      <c r="O709" s="19">
        <f>IF(Table1_2[Tiền Nhập]&lt;&gt;0, Table1_2[Lợi Nhuận Gộp]/Table1_2[Tiền Nhập], 0)</f>
        <v>0.22222222222222221</v>
      </c>
      <c r="P709">
        <f>IF(Table1_2[SL Xuất]&gt;0, Table1_2[Tiền Xuất]/Table1_2[SL Xuất], 0)</f>
        <v>10000</v>
      </c>
      <c r="Q709">
        <f>Table1_2[SL Xuất] - Table1_2[SL Xuất KM]</f>
        <v>30</v>
      </c>
    </row>
    <row r="710" spans="1:17" x14ac:dyDescent="0.25">
      <c r="A710">
        <v>709</v>
      </c>
      <c r="B710" t="s">
        <v>248</v>
      </c>
      <c r="C710" t="s">
        <v>249</v>
      </c>
      <c r="D710" t="s">
        <v>250</v>
      </c>
      <c r="E710">
        <v>57000</v>
      </c>
      <c r="F710">
        <v>0</v>
      </c>
      <c r="G710">
        <v>1</v>
      </c>
      <c r="H710">
        <v>75000</v>
      </c>
      <c r="I710">
        <v>18000</v>
      </c>
      <c r="J710" s="1">
        <v>45248</v>
      </c>
      <c r="K710" t="s">
        <v>500</v>
      </c>
      <c r="L710">
        <v>11</v>
      </c>
      <c r="M710">
        <v>2023</v>
      </c>
      <c r="N710">
        <f t="shared" si="11"/>
        <v>-39000</v>
      </c>
      <c r="O710" s="19">
        <f>IF(Table1_2[Tiền Nhập]&lt;&gt;0, Table1_2[Lợi Nhuận Gộp]/Table1_2[Tiền Nhập], 0)</f>
        <v>-0.68421052631578949</v>
      </c>
      <c r="P710">
        <f>IF(Table1_2[SL Xuất]&gt;0, Table1_2[Tiền Xuất]/Table1_2[SL Xuất], 0)</f>
        <v>75000</v>
      </c>
      <c r="Q710">
        <f>Table1_2[SL Xuất] - Table1_2[SL Xuất KM]</f>
        <v>1</v>
      </c>
    </row>
    <row r="711" spans="1:17" x14ac:dyDescent="0.25">
      <c r="A711">
        <v>710</v>
      </c>
      <c r="B711" t="s">
        <v>163</v>
      </c>
      <c r="C711" t="s">
        <v>164</v>
      </c>
      <c r="D711" t="s">
        <v>45</v>
      </c>
      <c r="E711">
        <v>155004</v>
      </c>
      <c r="F711">
        <v>0</v>
      </c>
      <c r="G711">
        <v>6</v>
      </c>
      <c r="H711">
        <v>222000</v>
      </c>
      <c r="I711">
        <v>66996</v>
      </c>
      <c r="J711" s="1">
        <v>45248</v>
      </c>
      <c r="K711" t="s">
        <v>500</v>
      </c>
      <c r="L711">
        <v>11</v>
      </c>
      <c r="M711">
        <v>2023</v>
      </c>
      <c r="N711">
        <f t="shared" si="11"/>
        <v>-88008</v>
      </c>
      <c r="O711" s="19">
        <f>IF(Table1_2[Tiền Nhập]&lt;&gt;0, Table1_2[Lợi Nhuận Gộp]/Table1_2[Tiền Nhập], 0)</f>
        <v>-0.56777889602848963</v>
      </c>
      <c r="P711">
        <f>IF(Table1_2[SL Xuất]&gt;0, Table1_2[Tiền Xuất]/Table1_2[SL Xuất], 0)</f>
        <v>37000</v>
      </c>
      <c r="Q711">
        <f>Table1_2[SL Xuất] - Table1_2[SL Xuất KM]</f>
        <v>6</v>
      </c>
    </row>
    <row r="712" spans="1:17" x14ac:dyDescent="0.25">
      <c r="A712">
        <v>711</v>
      </c>
      <c r="B712" t="s">
        <v>421</v>
      </c>
      <c r="C712" t="s">
        <v>422</v>
      </c>
      <c r="D712" t="s">
        <v>45</v>
      </c>
      <c r="E712">
        <v>0</v>
      </c>
      <c r="F712">
        <v>1</v>
      </c>
      <c r="G712">
        <v>0</v>
      </c>
      <c r="H712">
        <v>-31000</v>
      </c>
      <c r="I712">
        <v>-31000</v>
      </c>
      <c r="J712" s="1">
        <v>45248</v>
      </c>
      <c r="K712" t="s">
        <v>500</v>
      </c>
      <c r="L712">
        <v>11</v>
      </c>
      <c r="M712">
        <v>2023</v>
      </c>
      <c r="N712">
        <f t="shared" si="11"/>
        <v>-31000</v>
      </c>
      <c r="O712" s="19">
        <f>IF(Table1_2[Tiền Nhập]&lt;&gt;0, Table1_2[Lợi Nhuận Gộp]/Table1_2[Tiền Nhập], 0)</f>
        <v>0</v>
      </c>
      <c r="P712">
        <f>IF(Table1_2[SL Xuất]&gt;0, Table1_2[Tiền Xuất]/Table1_2[SL Xuất], 0)</f>
        <v>0</v>
      </c>
      <c r="Q712">
        <f>Table1_2[SL Xuất] - Table1_2[SL Xuất KM]</f>
        <v>-1</v>
      </c>
    </row>
    <row r="713" spans="1:17" x14ac:dyDescent="0.25">
      <c r="A713">
        <v>712</v>
      </c>
      <c r="B713" t="s">
        <v>116</v>
      </c>
      <c r="C713" t="s">
        <v>117</v>
      </c>
      <c r="D713" t="s">
        <v>13</v>
      </c>
      <c r="E713">
        <v>1069200</v>
      </c>
      <c r="F713">
        <v>3</v>
      </c>
      <c r="G713">
        <v>27</v>
      </c>
      <c r="H713">
        <v>1069200</v>
      </c>
      <c r="I713">
        <v>0</v>
      </c>
      <c r="J713" s="1">
        <v>45248</v>
      </c>
      <c r="K713" t="s">
        <v>1326</v>
      </c>
      <c r="L713">
        <v>11</v>
      </c>
      <c r="M713">
        <v>2023</v>
      </c>
      <c r="N713">
        <f t="shared" si="11"/>
        <v>-1069200</v>
      </c>
      <c r="O713" s="19">
        <f>IF(Table1_2[Tiền Nhập]&lt;&gt;0, Table1_2[Lợi Nhuận Gộp]/Table1_2[Tiền Nhập], 0)</f>
        <v>-1</v>
      </c>
      <c r="P713">
        <f>IF(Table1_2[SL Xuất]&gt;0, Table1_2[Tiền Xuất]/Table1_2[SL Xuất], 0)</f>
        <v>39600</v>
      </c>
      <c r="Q713">
        <f>Table1_2[SL Xuất] - Table1_2[SL Xuất KM]</f>
        <v>24</v>
      </c>
    </row>
    <row r="714" spans="1:17" x14ac:dyDescent="0.25">
      <c r="A714">
        <v>713</v>
      </c>
      <c r="B714" t="s">
        <v>248</v>
      </c>
      <c r="C714" t="s">
        <v>249</v>
      </c>
      <c r="D714" t="s">
        <v>250</v>
      </c>
      <c r="E714">
        <v>114000</v>
      </c>
      <c r="F714">
        <v>0</v>
      </c>
      <c r="G714">
        <v>2</v>
      </c>
      <c r="H714">
        <v>140000</v>
      </c>
      <c r="I714">
        <v>26000</v>
      </c>
      <c r="J714" s="1">
        <v>45248</v>
      </c>
      <c r="K714" t="s">
        <v>525</v>
      </c>
      <c r="L714">
        <v>11</v>
      </c>
      <c r="M714">
        <v>2023</v>
      </c>
      <c r="N714">
        <f t="shared" si="11"/>
        <v>-88000</v>
      </c>
      <c r="O714" s="19">
        <f>IF(Table1_2[Tiền Nhập]&lt;&gt;0, Table1_2[Lợi Nhuận Gộp]/Table1_2[Tiền Nhập], 0)</f>
        <v>-0.77192982456140347</v>
      </c>
      <c r="P714">
        <f>IF(Table1_2[SL Xuất]&gt;0, Table1_2[Tiền Xuất]/Table1_2[SL Xuất], 0)</f>
        <v>70000</v>
      </c>
      <c r="Q714">
        <f>Table1_2[SL Xuất] - Table1_2[SL Xuất KM]</f>
        <v>2</v>
      </c>
    </row>
    <row r="715" spans="1:17" x14ac:dyDescent="0.25">
      <c r="A715">
        <v>714</v>
      </c>
      <c r="B715" t="s">
        <v>1296</v>
      </c>
      <c r="C715" t="s">
        <v>1297</v>
      </c>
      <c r="D715" t="s">
        <v>13</v>
      </c>
      <c r="E715">
        <v>156640</v>
      </c>
      <c r="F715">
        <v>0</v>
      </c>
      <c r="G715">
        <v>5</v>
      </c>
      <c r="H715">
        <v>175000</v>
      </c>
      <c r="I715">
        <v>18360</v>
      </c>
      <c r="J715" s="1">
        <v>45248</v>
      </c>
      <c r="K715" t="s">
        <v>525</v>
      </c>
      <c r="L715">
        <v>11</v>
      </c>
      <c r="M715">
        <v>2023</v>
      </c>
      <c r="N715">
        <f t="shared" si="11"/>
        <v>-138280</v>
      </c>
      <c r="O715" s="19">
        <f>IF(Table1_2[Tiền Nhập]&lt;&gt;0, Table1_2[Lợi Nhuận Gộp]/Table1_2[Tiền Nhập], 0)</f>
        <v>-0.88278855975485193</v>
      </c>
      <c r="P715">
        <f>IF(Table1_2[SL Xuất]&gt;0, Table1_2[Tiền Xuất]/Table1_2[SL Xuất], 0)</f>
        <v>35000</v>
      </c>
      <c r="Q715">
        <f>Table1_2[SL Xuất] - Table1_2[SL Xuất KM]</f>
        <v>5</v>
      </c>
    </row>
    <row r="716" spans="1:17" x14ac:dyDescent="0.25">
      <c r="A716">
        <v>715</v>
      </c>
      <c r="B716" t="s">
        <v>1301</v>
      </c>
      <c r="C716" t="s">
        <v>1302</v>
      </c>
      <c r="D716" t="s">
        <v>13</v>
      </c>
      <c r="E716">
        <v>138600</v>
      </c>
      <c r="F716">
        <v>0</v>
      </c>
      <c r="G716">
        <v>5</v>
      </c>
      <c r="H716">
        <v>160000</v>
      </c>
      <c r="I716">
        <v>21400</v>
      </c>
      <c r="J716" s="1">
        <v>45248</v>
      </c>
      <c r="K716" t="s">
        <v>525</v>
      </c>
      <c r="L716">
        <v>11</v>
      </c>
      <c r="M716">
        <v>2023</v>
      </c>
      <c r="N716">
        <f t="shared" si="11"/>
        <v>-117200</v>
      </c>
      <c r="O716" s="19">
        <f>IF(Table1_2[Tiền Nhập]&lt;&gt;0, Table1_2[Lợi Nhuận Gộp]/Table1_2[Tiền Nhập], 0)</f>
        <v>-0.84559884559884557</v>
      </c>
      <c r="P716">
        <f>IF(Table1_2[SL Xuất]&gt;0, Table1_2[Tiền Xuất]/Table1_2[SL Xuất], 0)</f>
        <v>32000</v>
      </c>
      <c r="Q716">
        <f>Table1_2[SL Xuất] - Table1_2[SL Xuất KM]</f>
        <v>5</v>
      </c>
    </row>
    <row r="717" spans="1:17" x14ac:dyDescent="0.25">
      <c r="A717">
        <v>716</v>
      </c>
      <c r="B717" t="s">
        <v>403</v>
      </c>
      <c r="C717" t="s">
        <v>404</v>
      </c>
      <c r="D717" t="s">
        <v>369</v>
      </c>
      <c r="E717">
        <v>156000</v>
      </c>
      <c r="F717">
        <v>0</v>
      </c>
      <c r="G717">
        <v>2</v>
      </c>
      <c r="H717">
        <v>156000</v>
      </c>
      <c r="I717">
        <v>0</v>
      </c>
      <c r="J717" s="1">
        <v>45248</v>
      </c>
      <c r="K717" t="s">
        <v>525</v>
      </c>
      <c r="L717">
        <v>11</v>
      </c>
      <c r="M717">
        <v>2023</v>
      </c>
      <c r="N717">
        <f t="shared" si="11"/>
        <v>-156000</v>
      </c>
      <c r="O717" s="19">
        <f>IF(Table1_2[Tiền Nhập]&lt;&gt;0, Table1_2[Lợi Nhuận Gộp]/Table1_2[Tiền Nhập], 0)</f>
        <v>-1</v>
      </c>
      <c r="P717">
        <f>IF(Table1_2[SL Xuất]&gt;0, Table1_2[Tiền Xuất]/Table1_2[SL Xuất], 0)</f>
        <v>78000</v>
      </c>
      <c r="Q717">
        <f>Table1_2[SL Xuất] - Table1_2[SL Xuất KM]</f>
        <v>2</v>
      </c>
    </row>
    <row r="718" spans="1:17" x14ac:dyDescent="0.25">
      <c r="A718">
        <v>717</v>
      </c>
      <c r="B718" t="s">
        <v>793</v>
      </c>
      <c r="C718" t="s">
        <v>794</v>
      </c>
      <c r="D718" t="s">
        <v>13</v>
      </c>
      <c r="E718">
        <v>960000</v>
      </c>
      <c r="F718">
        <v>2</v>
      </c>
      <c r="G718">
        <v>20</v>
      </c>
      <c r="H718">
        <v>954000</v>
      </c>
      <c r="I718">
        <v>-6000</v>
      </c>
      <c r="J718" s="1">
        <v>45248</v>
      </c>
      <c r="K718" t="s">
        <v>1334</v>
      </c>
      <c r="L718">
        <v>11</v>
      </c>
      <c r="M718">
        <v>2023</v>
      </c>
      <c r="N718">
        <f t="shared" si="11"/>
        <v>-966000</v>
      </c>
      <c r="O718" s="19">
        <f>IF(Table1_2[Tiền Nhập]&lt;&gt;0, Table1_2[Lợi Nhuận Gộp]/Table1_2[Tiền Nhập], 0)</f>
        <v>-1.0062500000000001</v>
      </c>
      <c r="P718">
        <f>IF(Table1_2[SL Xuất]&gt;0, Table1_2[Tiền Xuất]/Table1_2[SL Xuất], 0)</f>
        <v>47700</v>
      </c>
      <c r="Q718">
        <f>Table1_2[SL Xuất] - Table1_2[SL Xuất KM]</f>
        <v>18</v>
      </c>
    </row>
    <row r="719" spans="1:17" x14ac:dyDescent="0.25">
      <c r="A719">
        <v>718</v>
      </c>
      <c r="B719" t="s">
        <v>516</v>
      </c>
      <c r="C719" t="s">
        <v>517</v>
      </c>
      <c r="D719" t="s">
        <v>518</v>
      </c>
      <c r="E719">
        <v>0</v>
      </c>
      <c r="F719">
        <v>0</v>
      </c>
      <c r="G719">
        <v>0</v>
      </c>
      <c r="H719">
        <v>-940000</v>
      </c>
      <c r="I719">
        <v>-940000</v>
      </c>
      <c r="J719" s="1">
        <v>45248</v>
      </c>
      <c r="K719" t="s">
        <v>1334</v>
      </c>
      <c r="L719">
        <v>11</v>
      </c>
      <c r="M719">
        <v>2023</v>
      </c>
      <c r="N719">
        <f t="shared" si="11"/>
        <v>-940000</v>
      </c>
      <c r="O719" s="19">
        <f>IF(Table1_2[Tiền Nhập]&lt;&gt;0, Table1_2[Lợi Nhuận Gộp]/Table1_2[Tiền Nhập], 0)</f>
        <v>0</v>
      </c>
      <c r="P719">
        <f>IF(Table1_2[SL Xuất]&gt;0, Table1_2[Tiền Xuất]/Table1_2[SL Xuất], 0)</f>
        <v>0</v>
      </c>
      <c r="Q719">
        <f>Table1_2[SL Xuất] - Table1_2[SL Xuất KM]</f>
        <v>0</v>
      </c>
    </row>
    <row r="720" spans="1:17" x14ac:dyDescent="0.25">
      <c r="A720">
        <v>719</v>
      </c>
      <c r="B720" t="s">
        <v>259</v>
      </c>
      <c r="C720" t="s">
        <v>260</v>
      </c>
      <c r="D720" t="s">
        <v>88</v>
      </c>
      <c r="E720">
        <v>600000</v>
      </c>
      <c r="F720">
        <v>6</v>
      </c>
      <c r="G720">
        <v>6</v>
      </c>
      <c r="H720">
        <v>654000</v>
      </c>
      <c r="I720">
        <v>54000</v>
      </c>
      <c r="J720" s="1">
        <v>45250</v>
      </c>
      <c r="K720" t="s">
        <v>663</v>
      </c>
      <c r="L720">
        <v>11</v>
      </c>
      <c r="M720">
        <v>2023</v>
      </c>
      <c r="N720">
        <f t="shared" si="11"/>
        <v>-546000</v>
      </c>
      <c r="O720" s="19">
        <f>IF(Table1_2[Tiền Nhập]&lt;&gt;0, Table1_2[Lợi Nhuận Gộp]/Table1_2[Tiền Nhập], 0)</f>
        <v>-0.91</v>
      </c>
      <c r="P720">
        <f>IF(Table1_2[SL Xuất]&gt;0, Table1_2[Tiền Xuất]/Table1_2[SL Xuất], 0)</f>
        <v>109000</v>
      </c>
      <c r="Q720">
        <f>Table1_2[SL Xuất] - Table1_2[SL Xuất KM]</f>
        <v>0</v>
      </c>
    </row>
    <row r="721" spans="1:17" x14ac:dyDescent="0.25">
      <c r="A721">
        <v>720</v>
      </c>
      <c r="B721" t="s">
        <v>429</v>
      </c>
      <c r="C721" t="s">
        <v>430</v>
      </c>
      <c r="D721" t="s">
        <v>88</v>
      </c>
      <c r="E721">
        <v>0</v>
      </c>
      <c r="F721">
        <v>12</v>
      </c>
      <c r="G721">
        <v>0</v>
      </c>
      <c r="H721">
        <v>-1308000</v>
      </c>
      <c r="I721">
        <v>-1308000</v>
      </c>
      <c r="J721" s="1">
        <v>45250</v>
      </c>
      <c r="K721" t="s">
        <v>1338</v>
      </c>
      <c r="L721">
        <v>11</v>
      </c>
      <c r="M721">
        <v>2023</v>
      </c>
      <c r="N721">
        <f t="shared" si="11"/>
        <v>-1308000</v>
      </c>
      <c r="O721" s="19">
        <f>IF(Table1_2[Tiền Nhập]&lt;&gt;0, Table1_2[Lợi Nhuận Gộp]/Table1_2[Tiền Nhập], 0)</f>
        <v>0</v>
      </c>
      <c r="P721">
        <f>IF(Table1_2[SL Xuất]&gt;0, Table1_2[Tiền Xuất]/Table1_2[SL Xuất], 0)</f>
        <v>0</v>
      </c>
      <c r="Q721">
        <f>Table1_2[SL Xuất] - Table1_2[SL Xuất KM]</f>
        <v>-12</v>
      </c>
    </row>
    <row r="722" spans="1:17" x14ac:dyDescent="0.25">
      <c r="A722">
        <v>721</v>
      </c>
      <c r="B722" t="s">
        <v>259</v>
      </c>
      <c r="C722" t="s">
        <v>260</v>
      </c>
      <c r="D722" t="s">
        <v>88</v>
      </c>
      <c r="E722">
        <v>1200000</v>
      </c>
      <c r="F722">
        <v>0</v>
      </c>
      <c r="G722">
        <v>12</v>
      </c>
      <c r="H722">
        <v>2616000</v>
      </c>
      <c r="I722">
        <v>1416000</v>
      </c>
      <c r="J722" s="1">
        <v>45250</v>
      </c>
      <c r="K722" t="s">
        <v>1338</v>
      </c>
      <c r="L722">
        <v>11</v>
      </c>
      <c r="M722">
        <v>2023</v>
      </c>
      <c r="N722">
        <f t="shared" si="11"/>
        <v>216000</v>
      </c>
      <c r="O722" s="19">
        <f>IF(Table1_2[Tiền Nhập]&lt;&gt;0, Table1_2[Lợi Nhuận Gộp]/Table1_2[Tiền Nhập], 0)</f>
        <v>0.18</v>
      </c>
      <c r="P722">
        <f>IF(Table1_2[SL Xuất]&gt;0, Table1_2[Tiền Xuất]/Table1_2[SL Xuất], 0)</f>
        <v>218000</v>
      </c>
      <c r="Q722">
        <f>Table1_2[SL Xuất] - Table1_2[SL Xuất KM]</f>
        <v>12</v>
      </c>
    </row>
    <row r="723" spans="1:17" x14ac:dyDescent="0.25">
      <c r="A723">
        <v>722</v>
      </c>
      <c r="B723" t="s">
        <v>261</v>
      </c>
      <c r="C723" t="s">
        <v>262</v>
      </c>
      <c r="D723" t="s">
        <v>88</v>
      </c>
      <c r="E723">
        <v>600000</v>
      </c>
      <c r="F723">
        <v>6</v>
      </c>
      <c r="G723">
        <v>6</v>
      </c>
      <c r="H723">
        <v>654000</v>
      </c>
      <c r="I723">
        <v>54000</v>
      </c>
      <c r="J723" s="1">
        <v>45250</v>
      </c>
      <c r="K723" t="s">
        <v>1338</v>
      </c>
      <c r="L723">
        <v>11</v>
      </c>
      <c r="M723">
        <v>2023</v>
      </c>
      <c r="N723">
        <f t="shared" si="11"/>
        <v>-546000</v>
      </c>
      <c r="O723" s="19">
        <f>IF(Table1_2[Tiền Nhập]&lt;&gt;0, Table1_2[Lợi Nhuận Gộp]/Table1_2[Tiền Nhập], 0)</f>
        <v>-0.91</v>
      </c>
      <c r="P723">
        <f>IF(Table1_2[SL Xuất]&gt;0, Table1_2[Tiền Xuất]/Table1_2[SL Xuất], 0)</f>
        <v>109000</v>
      </c>
      <c r="Q723">
        <f>Table1_2[SL Xuất] - Table1_2[SL Xuất KM]</f>
        <v>0</v>
      </c>
    </row>
    <row r="724" spans="1:17" x14ac:dyDescent="0.25">
      <c r="A724">
        <v>723</v>
      </c>
      <c r="B724" t="s">
        <v>1278</v>
      </c>
      <c r="C724" t="s">
        <v>1279</v>
      </c>
      <c r="D724" t="s">
        <v>13</v>
      </c>
      <c r="E724">
        <v>0</v>
      </c>
      <c r="F724">
        <v>0</v>
      </c>
      <c r="G724">
        <v>0</v>
      </c>
      <c r="H724">
        <v>0</v>
      </c>
      <c r="I724">
        <v>0</v>
      </c>
      <c r="J724" s="1">
        <v>45250</v>
      </c>
      <c r="K724" t="s">
        <v>478</v>
      </c>
      <c r="L724">
        <v>11</v>
      </c>
      <c r="M724">
        <v>2023</v>
      </c>
      <c r="N724">
        <f t="shared" si="11"/>
        <v>0</v>
      </c>
      <c r="O724" s="19">
        <f>IF(Table1_2[Tiền Nhập]&lt;&gt;0, Table1_2[Lợi Nhuận Gộp]/Table1_2[Tiền Nhập], 0)</f>
        <v>0</v>
      </c>
      <c r="P724">
        <f>IF(Table1_2[SL Xuất]&gt;0, Table1_2[Tiền Xuất]/Table1_2[SL Xuất], 0)</f>
        <v>0</v>
      </c>
      <c r="Q724">
        <f>Table1_2[SL Xuất] - Table1_2[SL Xuất KM]</f>
        <v>0</v>
      </c>
    </row>
    <row r="725" spans="1:17" x14ac:dyDescent="0.25">
      <c r="A725">
        <v>724</v>
      </c>
      <c r="B725" t="s">
        <v>259</v>
      </c>
      <c r="C725" t="s">
        <v>260</v>
      </c>
      <c r="D725" t="s">
        <v>88</v>
      </c>
      <c r="E725">
        <v>600000</v>
      </c>
      <c r="F725">
        <v>0</v>
      </c>
      <c r="G725">
        <v>6</v>
      </c>
      <c r="H725">
        <v>1308000</v>
      </c>
      <c r="I725">
        <v>708000</v>
      </c>
      <c r="J725" s="1">
        <v>45250</v>
      </c>
      <c r="K725" t="s">
        <v>1341</v>
      </c>
      <c r="L725">
        <v>11</v>
      </c>
      <c r="M725">
        <v>2023</v>
      </c>
      <c r="N725">
        <f t="shared" si="11"/>
        <v>108000</v>
      </c>
      <c r="O725" s="19">
        <f>IF(Table1_2[Tiền Nhập]&lt;&gt;0, Table1_2[Lợi Nhuận Gộp]/Table1_2[Tiền Nhập], 0)</f>
        <v>0.18</v>
      </c>
      <c r="P725">
        <f>IF(Table1_2[SL Xuất]&gt;0, Table1_2[Tiền Xuất]/Table1_2[SL Xuất], 0)</f>
        <v>218000</v>
      </c>
      <c r="Q725">
        <f>Table1_2[SL Xuất] - Table1_2[SL Xuất KM]</f>
        <v>6</v>
      </c>
    </row>
    <row r="726" spans="1:17" x14ac:dyDescent="0.25">
      <c r="A726">
        <v>725</v>
      </c>
      <c r="B726" t="s">
        <v>261</v>
      </c>
      <c r="C726" t="s">
        <v>262</v>
      </c>
      <c r="D726" t="s">
        <v>88</v>
      </c>
      <c r="E726">
        <v>0</v>
      </c>
      <c r="F726">
        <v>6</v>
      </c>
      <c r="G726">
        <v>0</v>
      </c>
      <c r="H726">
        <v>-654000</v>
      </c>
      <c r="I726">
        <v>-654000</v>
      </c>
      <c r="J726" s="1">
        <v>45250</v>
      </c>
      <c r="K726" t="s">
        <v>1341</v>
      </c>
      <c r="L726">
        <v>11</v>
      </c>
      <c r="M726">
        <v>2023</v>
      </c>
      <c r="N726">
        <f t="shared" si="11"/>
        <v>-654000</v>
      </c>
      <c r="O726" s="19">
        <f>IF(Table1_2[Tiền Nhập]&lt;&gt;0, Table1_2[Lợi Nhuận Gộp]/Table1_2[Tiền Nhập], 0)</f>
        <v>0</v>
      </c>
      <c r="P726">
        <f>IF(Table1_2[SL Xuất]&gt;0, Table1_2[Tiền Xuất]/Table1_2[SL Xuất], 0)</f>
        <v>0</v>
      </c>
      <c r="Q726">
        <f>Table1_2[SL Xuất] - Table1_2[SL Xuất KM]</f>
        <v>-6</v>
      </c>
    </row>
    <row r="727" spans="1:17" x14ac:dyDescent="0.25">
      <c r="A727">
        <v>726</v>
      </c>
      <c r="B727" t="s">
        <v>393</v>
      </c>
      <c r="C727" t="s">
        <v>394</v>
      </c>
      <c r="D727" t="s">
        <v>339</v>
      </c>
      <c r="E727">
        <v>332640</v>
      </c>
      <c r="F727">
        <v>0</v>
      </c>
      <c r="G727">
        <v>12</v>
      </c>
      <c r="H727">
        <v>384000</v>
      </c>
      <c r="I727">
        <v>51360</v>
      </c>
      <c r="J727" s="1">
        <v>45250</v>
      </c>
      <c r="K727" t="s">
        <v>1341</v>
      </c>
      <c r="L727">
        <v>11</v>
      </c>
      <c r="M727">
        <v>2023</v>
      </c>
      <c r="N727">
        <f t="shared" si="11"/>
        <v>-281280</v>
      </c>
      <c r="O727" s="19">
        <f>IF(Table1_2[Tiền Nhập]&lt;&gt;0, Table1_2[Lợi Nhuận Gộp]/Table1_2[Tiền Nhập], 0)</f>
        <v>-0.84559884559884557</v>
      </c>
      <c r="P727">
        <f>IF(Table1_2[SL Xuất]&gt;0, Table1_2[Tiền Xuất]/Table1_2[SL Xuất], 0)</f>
        <v>32000</v>
      </c>
      <c r="Q727">
        <f>Table1_2[SL Xuất] - Table1_2[SL Xuất KM]</f>
        <v>12</v>
      </c>
    </row>
    <row r="728" spans="1:17" x14ac:dyDescent="0.25">
      <c r="A728">
        <v>727</v>
      </c>
      <c r="B728" t="s">
        <v>11</v>
      </c>
      <c r="C728" t="s">
        <v>12</v>
      </c>
      <c r="D728" t="s">
        <v>13</v>
      </c>
      <c r="E728">
        <v>345600</v>
      </c>
      <c r="F728">
        <v>4</v>
      </c>
      <c r="G728">
        <v>48</v>
      </c>
      <c r="H728">
        <v>536000</v>
      </c>
      <c r="I728">
        <v>190400</v>
      </c>
      <c r="J728" s="1">
        <v>45250</v>
      </c>
      <c r="K728" t="s">
        <v>119</v>
      </c>
      <c r="L728">
        <v>11</v>
      </c>
      <c r="M728">
        <v>2023</v>
      </c>
      <c r="N728">
        <f t="shared" si="11"/>
        <v>-155200</v>
      </c>
      <c r="O728" s="19">
        <f>IF(Table1_2[Tiền Nhập]&lt;&gt;0, Table1_2[Lợi Nhuận Gộp]/Table1_2[Tiền Nhập], 0)</f>
        <v>-0.44907407407407407</v>
      </c>
      <c r="P728">
        <f>IF(Table1_2[SL Xuất]&gt;0, Table1_2[Tiền Xuất]/Table1_2[SL Xuất], 0)</f>
        <v>11166.666666666666</v>
      </c>
      <c r="Q728">
        <f>Table1_2[SL Xuất] - Table1_2[SL Xuất KM]</f>
        <v>44</v>
      </c>
    </row>
    <row r="729" spans="1:17" x14ac:dyDescent="0.25">
      <c r="A729">
        <v>728</v>
      </c>
      <c r="B729" t="s">
        <v>1069</v>
      </c>
      <c r="C729" t="s">
        <v>1070</v>
      </c>
      <c r="D729" t="s">
        <v>88</v>
      </c>
      <c r="E729">
        <v>0</v>
      </c>
      <c r="F729">
        <v>3</v>
      </c>
      <c r="G729">
        <v>0</v>
      </c>
      <c r="H729">
        <v>-327000</v>
      </c>
      <c r="I729">
        <v>-327000</v>
      </c>
      <c r="J729" s="1">
        <v>45250</v>
      </c>
      <c r="K729" t="s">
        <v>1344</v>
      </c>
      <c r="L729">
        <v>11</v>
      </c>
      <c r="M729">
        <v>2023</v>
      </c>
      <c r="N729">
        <f t="shared" si="11"/>
        <v>-327000</v>
      </c>
      <c r="O729" s="19">
        <f>IF(Table1_2[Tiền Nhập]&lt;&gt;0, Table1_2[Lợi Nhuận Gộp]/Table1_2[Tiền Nhập], 0)</f>
        <v>0</v>
      </c>
      <c r="P729">
        <f>IF(Table1_2[SL Xuất]&gt;0, Table1_2[Tiền Xuất]/Table1_2[SL Xuất], 0)</f>
        <v>0</v>
      </c>
      <c r="Q729">
        <f>Table1_2[SL Xuất] - Table1_2[SL Xuất KM]</f>
        <v>-3</v>
      </c>
    </row>
    <row r="730" spans="1:17" x14ac:dyDescent="0.25">
      <c r="A730">
        <v>729</v>
      </c>
      <c r="B730" t="s">
        <v>429</v>
      </c>
      <c r="C730" t="s">
        <v>430</v>
      </c>
      <c r="D730" t="s">
        <v>88</v>
      </c>
      <c r="E730">
        <v>100000</v>
      </c>
      <c r="F730">
        <v>0</v>
      </c>
      <c r="G730">
        <v>1</v>
      </c>
      <c r="H730">
        <v>218000</v>
      </c>
      <c r="I730">
        <v>118000</v>
      </c>
      <c r="J730" s="1">
        <v>45250</v>
      </c>
      <c r="K730" t="s">
        <v>1344</v>
      </c>
      <c r="L730">
        <v>11</v>
      </c>
      <c r="M730">
        <v>2023</v>
      </c>
      <c r="N730">
        <f t="shared" si="11"/>
        <v>18000</v>
      </c>
      <c r="O730" s="19">
        <f>IF(Table1_2[Tiền Nhập]&lt;&gt;0, Table1_2[Lợi Nhuận Gộp]/Table1_2[Tiền Nhập], 0)</f>
        <v>0.18</v>
      </c>
      <c r="P730">
        <f>IF(Table1_2[SL Xuất]&gt;0, Table1_2[Tiền Xuất]/Table1_2[SL Xuất], 0)</f>
        <v>218000</v>
      </c>
      <c r="Q730">
        <f>Table1_2[SL Xuất] - Table1_2[SL Xuất KM]</f>
        <v>1</v>
      </c>
    </row>
    <row r="731" spans="1:17" x14ac:dyDescent="0.25">
      <c r="A731">
        <v>730</v>
      </c>
      <c r="B731" t="s">
        <v>259</v>
      </c>
      <c r="C731" t="s">
        <v>260</v>
      </c>
      <c r="D731" t="s">
        <v>88</v>
      </c>
      <c r="E731">
        <v>100000</v>
      </c>
      <c r="F731">
        <v>0</v>
      </c>
      <c r="G731">
        <v>1</v>
      </c>
      <c r="H731">
        <v>218000</v>
      </c>
      <c r="I731">
        <v>118000</v>
      </c>
      <c r="J731" s="1">
        <v>45250</v>
      </c>
      <c r="K731" t="s">
        <v>1344</v>
      </c>
      <c r="L731">
        <v>11</v>
      </c>
      <c r="M731">
        <v>2023</v>
      </c>
      <c r="N731">
        <f t="shared" si="11"/>
        <v>18000</v>
      </c>
      <c r="O731" s="19">
        <f>IF(Table1_2[Tiền Nhập]&lt;&gt;0, Table1_2[Lợi Nhuận Gộp]/Table1_2[Tiền Nhập], 0)</f>
        <v>0.18</v>
      </c>
      <c r="P731">
        <f>IF(Table1_2[SL Xuất]&gt;0, Table1_2[Tiền Xuất]/Table1_2[SL Xuất], 0)</f>
        <v>218000</v>
      </c>
      <c r="Q731">
        <f>Table1_2[SL Xuất] - Table1_2[SL Xuất KM]</f>
        <v>1</v>
      </c>
    </row>
    <row r="732" spans="1:17" x14ac:dyDescent="0.25">
      <c r="A732">
        <v>731</v>
      </c>
      <c r="B732" t="s">
        <v>261</v>
      </c>
      <c r="C732" t="s">
        <v>262</v>
      </c>
      <c r="D732" t="s">
        <v>88</v>
      </c>
      <c r="E732">
        <v>100000</v>
      </c>
      <c r="F732">
        <v>0</v>
      </c>
      <c r="G732">
        <v>1</v>
      </c>
      <c r="H732">
        <v>218000</v>
      </c>
      <c r="I732">
        <v>118000</v>
      </c>
      <c r="J732" s="1">
        <v>45250</v>
      </c>
      <c r="K732" t="s">
        <v>1344</v>
      </c>
      <c r="L732">
        <v>11</v>
      </c>
      <c r="M732">
        <v>2023</v>
      </c>
      <c r="N732">
        <f t="shared" si="11"/>
        <v>18000</v>
      </c>
      <c r="O732" s="19">
        <f>IF(Table1_2[Tiền Nhập]&lt;&gt;0, Table1_2[Lợi Nhuận Gộp]/Table1_2[Tiền Nhập], 0)</f>
        <v>0.18</v>
      </c>
      <c r="P732">
        <f>IF(Table1_2[SL Xuất]&gt;0, Table1_2[Tiền Xuất]/Table1_2[SL Xuất], 0)</f>
        <v>218000</v>
      </c>
      <c r="Q732">
        <f>Table1_2[SL Xuất] - Table1_2[SL Xuất KM]</f>
        <v>1</v>
      </c>
    </row>
    <row r="733" spans="1:17" x14ac:dyDescent="0.25">
      <c r="A733">
        <v>732</v>
      </c>
      <c r="B733" t="s">
        <v>259</v>
      </c>
      <c r="C733" t="s">
        <v>260</v>
      </c>
      <c r="D733" t="s">
        <v>88</v>
      </c>
      <c r="E733">
        <v>900000</v>
      </c>
      <c r="F733">
        <v>3</v>
      </c>
      <c r="G733">
        <v>9</v>
      </c>
      <c r="H733">
        <v>1635000</v>
      </c>
      <c r="I733">
        <v>735000</v>
      </c>
      <c r="J733" s="1">
        <v>45250</v>
      </c>
      <c r="K733" t="s">
        <v>1346</v>
      </c>
      <c r="L733">
        <v>11</v>
      </c>
      <c r="M733">
        <v>2023</v>
      </c>
      <c r="N733">
        <f t="shared" si="11"/>
        <v>-165000</v>
      </c>
      <c r="O733" s="19">
        <f>IF(Table1_2[Tiền Nhập]&lt;&gt;0, Table1_2[Lợi Nhuận Gộp]/Table1_2[Tiền Nhập], 0)</f>
        <v>-0.18333333333333332</v>
      </c>
      <c r="P733">
        <f>IF(Table1_2[SL Xuất]&gt;0, Table1_2[Tiền Xuất]/Table1_2[SL Xuất], 0)</f>
        <v>181666.66666666666</v>
      </c>
      <c r="Q733">
        <f>Table1_2[SL Xuất] - Table1_2[SL Xuất KM]</f>
        <v>6</v>
      </c>
    </row>
    <row r="734" spans="1:17" x14ac:dyDescent="0.25">
      <c r="A734">
        <v>733</v>
      </c>
      <c r="B734" t="s">
        <v>261</v>
      </c>
      <c r="C734" t="s">
        <v>262</v>
      </c>
      <c r="D734" t="s">
        <v>88</v>
      </c>
      <c r="E734">
        <v>0</v>
      </c>
      <c r="F734">
        <v>6</v>
      </c>
      <c r="G734">
        <v>0</v>
      </c>
      <c r="H734">
        <v>-654000</v>
      </c>
      <c r="I734">
        <v>-654000</v>
      </c>
      <c r="J734" s="1">
        <v>45250</v>
      </c>
      <c r="K734" t="s">
        <v>1346</v>
      </c>
      <c r="L734">
        <v>11</v>
      </c>
      <c r="M734">
        <v>2023</v>
      </c>
      <c r="N734">
        <f t="shared" si="11"/>
        <v>-654000</v>
      </c>
      <c r="O734" s="19">
        <f>IF(Table1_2[Tiền Nhập]&lt;&gt;0, Table1_2[Lợi Nhuận Gộp]/Table1_2[Tiền Nhập], 0)</f>
        <v>0</v>
      </c>
      <c r="P734">
        <f>IF(Table1_2[SL Xuất]&gt;0, Table1_2[Tiền Xuất]/Table1_2[SL Xuất], 0)</f>
        <v>0</v>
      </c>
      <c r="Q734">
        <f>Table1_2[SL Xuất] - Table1_2[SL Xuất KM]</f>
        <v>-6</v>
      </c>
    </row>
    <row r="735" spans="1:17" x14ac:dyDescent="0.25">
      <c r="A735">
        <v>734</v>
      </c>
      <c r="B735" t="s">
        <v>382</v>
      </c>
      <c r="C735" t="s">
        <v>383</v>
      </c>
      <c r="D735" t="s">
        <v>339</v>
      </c>
      <c r="E735">
        <v>55440</v>
      </c>
      <c r="F735">
        <v>0</v>
      </c>
      <c r="G735">
        <v>2</v>
      </c>
      <c r="H735">
        <v>60000</v>
      </c>
      <c r="I735">
        <v>4560</v>
      </c>
      <c r="J735" s="1">
        <v>45250</v>
      </c>
      <c r="K735" t="s">
        <v>1348</v>
      </c>
      <c r="L735">
        <v>11</v>
      </c>
      <c r="M735">
        <v>2023</v>
      </c>
      <c r="N735">
        <f t="shared" si="11"/>
        <v>-50880</v>
      </c>
      <c r="O735" s="19">
        <f>IF(Table1_2[Tiền Nhập]&lt;&gt;0, Table1_2[Lợi Nhuận Gộp]/Table1_2[Tiền Nhập], 0)</f>
        <v>-0.91774891774891776</v>
      </c>
      <c r="P735">
        <f>IF(Table1_2[SL Xuất]&gt;0, Table1_2[Tiền Xuất]/Table1_2[SL Xuất], 0)</f>
        <v>30000</v>
      </c>
      <c r="Q735">
        <f>Table1_2[SL Xuất] - Table1_2[SL Xuất KM]</f>
        <v>2</v>
      </c>
    </row>
    <row r="736" spans="1:17" x14ac:dyDescent="0.25">
      <c r="A736">
        <v>735</v>
      </c>
      <c r="B736" t="s">
        <v>389</v>
      </c>
      <c r="C736" t="s">
        <v>390</v>
      </c>
      <c r="D736" t="s">
        <v>339</v>
      </c>
      <c r="E736">
        <v>55440</v>
      </c>
      <c r="F736">
        <v>0</v>
      </c>
      <c r="G736">
        <v>2</v>
      </c>
      <c r="H736">
        <v>60000</v>
      </c>
      <c r="I736">
        <v>4560</v>
      </c>
      <c r="J736" s="1">
        <v>45250</v>
      </c>
      <c r="K736" t="s">
        <v>1348</v>
      </c>
      <c r="L736">
        <v>11</v>
      </c>
      <c r="M736">
        <v>2023</v>
      </c>
      <c r="N736">
        <f t="shared" si="11"/>
        <v>-50880</v>
      </c>
      <c r="O736" s="19">
        <f>IF(Table1_2[Tiền Nhập]&lt;&gt;0, Table1_2[Lợi Nhuận Gộp]/Table1_2[Tiền Nhập], 0)</f>
        <v>-0.91774891774891776</v>
      </c>
      <c r="P736">
        <f>IF(Table1_2[SL Xuất]&gt;0, Table1_2[Tiền Xuất]/Table1_2[SL Xuất], 0)</f>
        <v>30000</v>
      </c>
      <c r="Q736">
        <f>Table1_2[SL Xuất] - Table1_2[SL Xuất KM]</f>
        <v>2</v>
      </c>
    </row>
    <row r="737" spans="1:17" x14ac:dyDescent="0.25">
      <c r="A737">
        <v>736</v>
      </c>
      <c r="B737" t="s">
        <v>1349</v>
      </c>
      <c r="C737" t="s">
        <v>1350</v>
      </c>
      <c r="D737" t="s">
        <v>339</v>
      </c>
      <c r="E737">
        <v>55440</v>
      </c>
      <c r="F737">
        <v>0</v>
      </c>
      <c r="G737">
        <v>2</v>
      </c>
      <c r="H737">
        <v>60000</v>
      </c>
      <c r="I737">
        <v>4560</v>
      </c>
      <c r="J737" s="1">
        <v>45250</v>
      </c>
      <c r="K737" t="s">
        <v>1348</v>
      </c>
      <c r="L737">
        <v>11</v>
      </c>
      <c r="M737">
        <v>2023</v>
      </c>
      <c r="N737">
        <f t="shared" si="11"/>
        <v>-50880</v>
      </c>
      <c r="O737" s="19">
        <f>IF(Table1_2[Tiền Nhập]&lt;&gt;0, Table1_2[Lợi Nhuận Gộp]/Table1_2[Tiền Nhập], 0)</f>
        <v>-0.91774891774891776</v>
      </c>
      <c r="P737">
        <f>IF(Table1_2[SL Xuất]&gt;0, Table1_2[Tiền Xuất]/Table1_2[SL Xuất], 0)</f>
        <v>30000</v>
      </c>
      <c r="Q737">
        <f>Table1_2[SL Xuất] - Table1_2[SL Xuất KM]</f>
        <v>2</v>
      </c>
    </row>
    <row r="738" spans="1:17" x14ac:dyDescent="0.25">
      <c r="A738">
        <v>737</v>
      </c>
      <c r="B738" t="s">
        <v>391</v>
      </c>
      <c r="C738" t="s">
        <v>392</v>
      </c>
      <c r="D738" t="s">
        <v>339</v>
      </c>
      <c r="E738">
        <v>55440</v>
      </c>
      <c r="F738">
        <v>0</v>
      </c>
      <c r="G738">
        <v>2</v>
      </c>
      <c r="H738">
        <v>60000</v>
      </c>
      <c r="I738">
        <v>4560</v>
      </c>
      <c r="J738" s="1">
        <v>45250</v>
      </c>
      <c r="K738" t="s">
        <v>1348</v>
      </c>
      <c r="L738">
        <v>11</v>
      </c>
      <c r="M738">
        <v>2023</v>
      </c>
      <c r="N738">
        <f t="shared" si="11"/>
        <v>-50880</v>
      </c>
      <c r="O738" s="19">
        <f>IF(Table1_2[Tiền Nhập]&lt;&gt;0, Table1_2[Lợi Nhuận Gộp]/Table1_2[Tiền Nhập], 0)</f>
        <v>-0.91774891774891776</v>
      </c>
      <c r="P738">
        <f>IF(Table1_2[SL Xuất]&gt;0, Table1_2[Tiền Xuất]/Table1_2[SL Xuất], 0)</f>
        <v>30000</v>
      </c>
      <c r="Q738">
        <f>Table1_2[SL Xuất] - Table1_2[SL Xuất KM]</f>
        <v>2</v>
      </c>
    </row>
    <row r="739" spans="1:17" x14ac:dyDescent="0.25">
      <c r="A739">
        <v>738</v>
      </c>
      <c r="B739" t="s">
        <v>393</v>
      </c>
      <c r="C739" t="s">
        <v>394</v>
      </c>
      <c r="D739" t="s">
        <v>339</v>
      </c>
      <c r="E739">
        <v>55440</v>
      </c>
      <c r="F739">
        <v>0</v>
      </c>
      <c r="G739">
        <v>2</v>
      </c>
      <c r="H739">
        <v>60000</v>
      </c>
      <c r="I739">
        <v>4560</v>
      </c>
      <c r="J739" s="1">
        <v>45250</v>
      </c>
      <c r="K739" t="s">
        <v>1348</v>
      </c>
      <c r="L739">
        <v>11</v>
      </c>
      <c r="M739">
        <v>2023</v>
      </c>
      <c r="N739">
        <f t="shared" si="11"/>
        <v>-50880</v>
      </c>
      <c r="O739" s="19">
        <f>IF(Table1_2[Tiền Nhập]&lt;&gt;0, Table1_2[Lợi Nhuận Gộp]/Table1_2[Tiền Nhập], 0)</f>
        <v>-0.91774891774891776</v>
      </c>
      <c r="P739">
        <f>IF(Table1_2[SL Xuất]&gt;0, Table1_2[Tiền Xuất]/Table1_2[SL Xuất], 0)</f>
        <v>30000</v>
      </c>
      <c r="Q739">
        <f>Table1_2[SL Xuất] - Table1_2[SL Xuất KM]</f>
        <v>2</v>
      </c>
    </row>
    <row r="740" spans="1:17" x14ac:dyDescent="0.25">
      <c r="A740">
        <v>739</v>
      </c>
      <c r="B740" t="s">
        <v>398</v>
      </c>
      <c r="C740" t="s">
        <v>399</v>
      </c>
      <c r="D740" t="s">
        <v>339</v>
      </c>
      <c r="E740">
        <v>55440</v>
      </c>
      <c r="F740">
        <v>0</v>
      </c>
      <c r="G740">
        <v>2</v>
      </c>
      <c r="H740">
        <v>60000</v>
      </c>
      <c r="I740">
        <v>4560</v>
      </c>
      <c r="J740" s="1">
        <v>45250</v>
      </c>
      <c r="K740" t="s">
        <v>1348</v>
      </c>
      <c r="L740">
        <v>11</v>
      </c>
      <c r="M740">
        <v>2023</v>
      </c>
      <c r="N740">
        <f t="shared" si="11"/>
        <v>-50880</v>
      </c>
      <c r="O740" s="19">
        <f>IF(Table1_2[Tiền Nhập]&lt;&gt;0, Table1_2[Lợi Nhuận Gộp]/Table1_2[Tiền Nhập], 0)</f>
        <v>-0.91774891774891776</v>
      </c>
      <c r="P740">
        <f>IF(Table1_2[SL Xuất]&gt;0, Table1_2[Tiền Xuất]/Table1_2[SL Xuất], 0)</f>
        <v>30000</v>
      </c>
      <c r="Q740">
        <f>Table1_2[SL Xuất] - Table1_2[SL Xuất KM]</f>
        <v>2</v>
      </c>
    </row>
    <row r="741" spans="1:17" x14ac:dyDescent="0.25">
      <c r="A741">
        <v>740</v>
      </c>
      <c r="B741" t="s">
        <v>382</v>
      </c>
      <c r="C741" t="s">
        <v>383</v>
      </c>
      <c r="D741" t="s">
        <v>339</v>
      </c>
      <c r="E741">
        <v>55440</v>
      </c>
      <c r="F741">
        <v>0</v>
      </c>
      <c r="G741">
        <v>2</v>
      </c>
      <c r="H741">
        <v>64000</v>
      </c>
      <c r="I741">
        <v>8560</v>
      </c>
      <c r="J741" s="1">
        <v>45250</v>
      </c>
      <c r="K741" t="s">
        <v>1064</v>
      </c>
      <c r="L741">
        <v>11</v>
      </c>
      <c r="M741">
        <v>2023</v>
      </c>
      <c r="N741">
        <f t="shared" si="11"/>
        <v>-46880</v>
      </c>
      <c r="O741" s="19">
        <f>IF(Table1_2[Tiền Nhập]&lt;&gt;0, Table1_2[Lợi Nhuận Gộp]/Table1_2[Tiền Nhập], 0)</f>
        <v>-0.84559884559884557</v>
      </c>
      <c r="P741">
        <f>IF(Table1_2[SL Xuất]&gt;0, Table1_2[Tiền Xuất]/Table1_2[SL Xuất], 0)</f>
        <v>32000</v>
      </c>
      <c r="Q741">
        <f>Table1_2[SL Xuất] - Table1_2[SL Xuất KM]</f>
        <v>2</v>
      </c>
    </row>
    <row r="742" spans="1:17" x14ac:dyDescent="0.25">
      <c r="A742">
        <v>741</v>
      </c>
      <c r="B742" t="s">
        <v>389</v>
      </c>
      <c r="C742" t="s">
        <v>390</v>
      </c>
      <c r="D742" t="s">
        <v>339</v>
      </c>
      <c r="E742">
        <v>55440</v>
      </c>
      <c r="F742">
        <v>0</v>
      </c>
      <c r="G742">
        <v>2</v>
      </c>
      <c r="H742">
        <v>64000</v>
      </c>
      <c r="I742">
        <v>8560</v>
      </c>
      <c r="J742" s="1">
        <v>45250</v>
      </c>
      <c r="K742" t="s">
        <v>1064</v>
      </c>
      <c r="L742">
        <v>11</v>
      </c>
      <c r="M742">
        <v>2023</v>
      </c>
      <c r="N742">
        <f t="shared" si="11"/>
        <v>-46880</v>
      </c>
      <c r="O742" s="19">
        <f>IF(Table1_2[Tiền Nhập]&lt;&gt;0, Table1_2[Lợi Nhuận Gộp]/Table1_2[Tiền Nhập], 0)</f>
        <v>-0.84559884559884557</v>
      </c>
      <c r="P742">
        <f>IF(Table1_2[SL Xuất]&gt;0, Table1_2[Tiền Xuất]/Table1_2[SL Xuất], 0)</f>
        <v>32000</v>
      </c>
      <c r="Q742">
        <f>Table1_2[SL Xuất] - Table1_2[SL Xuất KM]</f>
        <v>2</v>
      </c>
    </row>
    <row r="743" spans="1:17" x14ac:dyDescent="0.25">
      <c r="A743">
        <v>742</v>
      </c>
      <c r="B743" t="s">
        <v>1349</v>
      </c>
      <c r="C743" t="s">
        <v>1350</v>
      </c>
      <c r="D743" t="s">
        <v>339</v>
      </c>
      <c r="E743">
        <v>55440</v>
      </c>
      <c r="F743">
        <v>0</v>
      </c>
      <c r="G743">
        <v>2</v>
      </c>
      <c r="H743">
        <v>64000</v>
      </c>
      <c r="I743">
        <v>8560</v>
      </c>
      <c r="J743" s="1">
        <v>45250</v>
      </c>
      <c r="K743" t="s">
        <v>1064</v>
      </c>
      <c r="L743">
        <v>11</v>
      </c>
      <c r="M743">
        <v>2023</v>
      </c>
      <c r="N743">
        <f t="shared" si="11"/>
        <v>-46880</v>
      </c>
      <c r="O743" s="19">
        <f>IF(Table1_2[Tiền Nhập]&lt;&gt;0, Table1_2[Lợi Nhuận Gộp]/Table1_2[Tiền Nhập], 0)</f>
        <v>-0.84559884559884557</v>
      </c>
      <c r="P743">
        <f>IF(Table1_2[SL Xuất]&gt;0, Table1_2[Tiền Xuất]/Table1_2[SL Xuất], 0)</f>
        <v>32000</v>
      </c>
      <c r="Q743">
        <f>Table1_2[SL Xuất] - Table1_2[SL Xuất KM]</f>
        <v>2</v>
      </c>
    </row>
    <row r="744" spans="1:17" x14ac:dyDescent="0.25">
      <c r="A744">
        <v>743</v>
      </c>
      <c r="B744" t="s">
        <v>391</v>
      </c>
      <c r="C744" t="s">
        <v>392</v>
      </c>
      <c r="D744" t="s">
        <v>339</v>
      </c>
      <c r="E744">
        <v>55440</v>
      </c>
      <c r="F744">
        <v>0</v>
      </c>
      <c r="G744">
        <v>2</v>
      </c>
      <c r="H744">
        <v>64000</v>
      </c>
      <c r="I744">
        <v>8560</v>
      </c>
      <c r="J744" s="1">
        <v>45250</v>
      </c>
      <c r="K744" t="s">
        <v>1064</v>
      </c>
      <c r="L744">
        <v>11</v>
      </c>
      <c r="M744">
        <v>2023</v>
      </c>
      <c r="N744">
        <f t="shared" si="11"/>
        <v>-46880</v>
      </c>
      <c r="O744" s="19">
        <f>IF(Table1_2[Tiền Nhập]&lt;&gt;0, Table1_2[Lợi Nhuận Gộp]/Table1_2[Tiền Nhập], 0)</f>
        <v>-0.84559884559884557</v>
      </c>
      <c r="P744">
        <f>IF(Table1_2[SL Xuất]&gt;0, Table1_2[Tiền Xuất]/Table1_2[SL Xuất], 0)</f>
        <v>32000</v>
      </c>
      <c r="Q744">
        <f>Table1_2[SL Xuất] - Table1_2[SL Xuất KM]</f>
        <v>2</v>
      </c>
    </row>
    <row r="745" spans="1:17" x14ac:dyDescent="0.25">
      <c r="A745">
        <v>744</v>
      </c>
      <c r="B745" t="s">
        <v>393</v>
      </c>
      <c r="C745" t="s">
        <v>394</v>
      </c>
      <c r="D745" t="s">
        <v>339</v>
      </c>
      <c r="E745">
        <v>55440</v>
      </c>
      <c r="F745">
        <v>0</v>
      </c>
      <c r="G745">
        <v>2</v>
      </c>
      <c r="H745">
        <v>64000</v>
      </c>
      <c r="I745">
        <v>8560</v>
      </c>
      <c r="J745" s="1">
        <v>45250</v>
      </c>
      <c r="K745" t="s">
        <v>1064</v>
      </c>
      <c r="L745">
        <v>11</v>
      </c>
      <c r="M745">
        <v>2023</v>
      </c>
      <c r="N745">
        <f t="shared" si="11"/>
        <v>-46880</v>
      </c>
      <c r="O745" s="19">
        <f>IF(Table1_2[Tiền Nhập]&lt;&gt;0, Table1_2[Lợi Nhuận Gộp]/Table1_2[Tiền Nhập], 0)</f>
        <v>-0.84559884559884557</v>
      </c>
      <c r="P745">
        <f>IF(Table1_2[SL Xuất]&gt;0, Table1_2[Tiền Xuất]/Table1_2[SL Xuất], 0)</f>
        <v>32000</v>
      </c>
      <c r="Q745">
        <f>Table1_2[SL Xuất] - Table1_2[SL Xuất KM]</f>
        <v>2</v>
      </c>
    </row>
    <row r="746" spans="1:17" x14ac:dyDescent="0.25">
      <c r="A746">
        <v>745</v>
      </c>
      <c r="B746" t="s">
        <v>1351</v>
      </c>
      <c r="C746" t="s">
        <v>1352</v>
      </c>
      <c r="D746" t="s">
        <v>88</v>
      </c>
      <c r="E746">
        <v>392000</v>
      </c>
      <c r="F746">
        <v>0</v>
      </c>
      <c r="G746">
        <v>4</v>
      </c>
      <c r="H746">
        <v>960000</v>
      </c>
      <c r="I746">
        <v>568000</v>
      </c>
      <c r="J746" s="1">
        <v>45252</v>
      </c>
      <c r="K746" t="s">
        <v>1214</v>
      </c>
      <c r="L746">
        <v>11</v>
      </c>
      <c r="M746">
        <v>2023</v>
      </c>
      <c r="N746">
        <f t="shared" si="11"/>
        <v>176000</v>
      </c>
      <c r="O746" s="19">
        <f>IF(Table1_2[Tiền Nhập]&lt;&gt;0, Table1_2[Lợi Nhuận Gộp]/Table1_2[Tiền Nhập], 0)</f>
        <v>0.44897959183673469</v>
      </c>
      <c r="P746">
        <f>IF(Table1_2[SL Xuất]&gt;0, Table1_2[Tiền Xuất]/Table1_2[SL Xuất], 0)</f>
        <v>240000</v>
      </c>
      <c r="Q746">
        <f>Table1_2[SL Xuất] - Table1_2[SL Xuất KM]</f>
        <v>4</v>
      </c>
    </row>
    <row r="747" spans="1:17" x14ac:dyDescent="0.25">
      <c r="A747">
        <v>746</v>
      </c>
      <c r="B747" t="s">
        <v>1356</v>
      </c>
      <c r="C747" t="s">
        <v>1357</v>
      </c>
      <c r="D747" t="s">
        <v>88</v>
      </c>
      <c r="E747">
        <v>392000</v>
      </c>
      <c r="F747">
        <v>0</v>
      </c>
      <c r="G747">
        <v>4</v>
      </c>
      <c r="H747">
        <v>960000</v>
      </c>
      <c r="I747">
        <v>568000</v>
      </c>
      <c r="J747" s="1">
        <v>45252</v>
      </c>
      <c r="K747" t="s">
        <v>1214</v>
      </c>
      <c r="L747">
        <v>11</v>
      </c>
      <c r="M747">
        <v>2023</v>
      </c>
      <c r="N747">
        <f t="shared" si="11"/>
        <v>176000</v>
      </c>
      <c r="O747" s="19">
        <f>IF(Table1_2[Tiền Nhập]&lt;&gt;0, Table1_2[Lợi Nhuận Gộp]/Table1_2[Tiền Nhập], 0)</f>
        <v>0.44897959183673469</v>
      </c>
      <c r="P747">
        <f>IF(Table1_2[SL Xuất]&gt;0, Table1_2[Tiền Xuất]/Table1_2[SL Xuất], 0)</f>
        <v>240000</v>
      </c>
      <c r="Q747">
        <f>Table1_2[SL Xuất] - Table1_2[SL Xuất KM]</f>
        <v>4</v>
      </c>
    </row>
    <row r="748" spans="1:17" x14ac:dyDescent="0.25">
      <c r="A748">
        <v>747</v>
      </c>
      <c r="B748" t="s">
        <v>1315</v>
      </c>
      <c r="C748" t="s">
        <v>1316</v>
      </c>
      <c r="D748" t="s">
        <v>88</v>
      </c>
      <c r="E748">
        <v>80000</v>
      </c>
      <c r="F748">
        <v>3</v>
      </c>
      <c r="G748">
        <v>5</v>
      </c>
      <c r="H748">
        <v>111000</v>
      </c>
      <c r="I748">
        <v>31000</v>
      </c>
      <c r="J748" s="1">
        <v>45252</v>
      </c>
      <c r="K748" t="s">
        <v>1230</v>
      </c>
      <c r="L748">
        <v>11</v>
      </c>
      <c r="M748">
        <v>2023</v>
      </c>
      <c r="N748">
        <f t="shared" si="11"/>
        <v>-49000</v>
      </c>
      <c r="O748" s="19">
        <f>IF(Table1_2[Tiền Nhập]&lt;&gt;0, Table1_2[Lợi Nhuận Gộp]/Table1_2[Tiền Nhập], 0)</f>
        <v>-0.61250000000000004</v>
      </c>
      <c r="P748">
        <f>IF(Table1_2[SL Xuất]&gt;0, Table1_2[Tiền Xuất]/Table1_2[SL Xuất], 0)</f>
        <v>22200</v>
      </c>
      <c r="Q748">
        <f>Table1_2[SL Xuất] - Table1_2[SL Xuất KM]</f>
        <v>2</v>
      </c>
    </row>
    <row r="749" spans="1:17" x14ac:dyDescent="0.25">
      <c r="A749">
        <v>748</v>
      </c>
      <c r="B749" t="s">
        <v>1359</v>
      </c>
      <c r="C749" t="s">
        <v>1360</v>
      </c>
      <c r="D749" t="s">
        <v>88</v>
      </c>
      <c r="E749">
        <v>80000</v>
      </c>
      <c r="F749">
        <v>2</v>
      </c>
      <c r="G749">
        <v>5</v>
      </c>
      <c r="H749">
        <v>137000</v>
      </c>
      <c r="I749">
        <v>57000</v>
      </c>
      <c r="J749" s="1">
        <v>45252</v>
      </c>
      <c r="K749" t="s">
        <v>1230</v>
      </c>
      <c r="L749">
        <v>11</v>
      </c>
      <c r="M749">
        <v>2023</v>
      </c>
      <c r="N749">
        <f t="shared" si="11"/>
        <v>-23000</v>
      </c>
      <c r="O749" s="19">
        <f>IF(Table1_2[Tiền Nhập]&lt;&gt;0, Table1_2[Lợi Nhuận Gộp]/Table1_2[Tiền Nhập], 0)</f>
        <v>-0.28749999999999998</v>
      </c>
      <c r="P749">
        <f>IF(Table1_2[SL Xuất]&gt;0, Table1_2[Tiền Xuất]/Table1_2[SL Xuất], 0)</f>
        <v>27400</v>
      </c>
      <c r="Q749">
        <f>Table1_2[SL Xuất] - Table1_2[SL Xuất KM]</f>
        <v>3</v>
      </c>
    </row>
    <row r="750" spans="1:17" x14ac:dyDescent="0.25">
      <c r="A750">
        <v>749</v>
      </c>
      <c r="B750" t="s">
        <v>1351</v>
      </c>
      <c r="C750" t="s">
        <v>1352</v>
      </c>
      <c r="D750" t="s">
        <v>88</v>
      </c>
      <c r="E750">
        <v>392000</v>
      </c>
      <c r="F750">
        <v>0</v>
      </c>
      <c r="G750">
        <v>4</v>
      </c>
      <c r="H750">
        <v>960000</v>
      </c>
      <c r="I750">
        <v>568000</v>
      </c>
      <c r="J750" s="1">
        <v>45252</v>
      </c>
      <c r="K750" t="s">
        <v>666</v>
      </c>
      <c r="L750">
        <v>11</v>
      </c>
      <c r="M750">
        <v>2023</v>
      </c>
      <c r="N750">
        <f t="shared" si="11"/>
        <v>176000</v>
      </c>
      <c r="O750" s="19">
        <f>IF(Table1_2[Tiền Nhập]&lt;&gt;0, Table1_2[Lợi Nhuận Gộp]/Table1_2[Tiền Nhập], 0)</f>
        <v>0.44897959183673469</v>
      </c>
      <c r="P750">
        <f>IF(Table1_2[SL Xuất]&gt;0, Table1_2[Tiền Xuất]/Table1_2[SL Xuất], 0)</f>
        <v>240000</v>
      </c>
      <c r="Q750">
        <f>Table1_2[SL Xuất] - Table1_2[SL Xuất KM]</f>
        <v>4</v>
      </c>
    </row>
    <row r="751" spans="1:17" x14ac:dyDescent="0.25">
      <c r="A751">
        <v>750</v>
      </c>
      <c r="B751" t="s">
        <v>1356</v>
      </c>
      <c r="C751" t="s">
        <v>1357</v>
      </c>
      <c r="D751" t="s">
        <v>88</v>
      </c>
      <c r="E751">
        <v>392000</v>
      </c>
      <c r="F751">
        <v>0</v>
      </c>
      <c r="G751">
        <v>4</v>
      </c>
      <c r="H751">
        <v>960000</v>
      </c>
      <c r="I751">
        <v>568000</v>
      </c>
      <c r="J751" s="1">
        <v>45252</v>
      </c>
      <c r="K751" t="s">
        <v>666</v>
      </c>
      <c r="L751">
        <v>11</v>
      </c>
      <c r="M751">
        <v>2023</v>
      </c>
      <c r="N751">
        <f t="shared" si="11"/>
        <v>176000</v>
      </c>
      <c r="O751" s="19">
        <f>IF(Table1_2[Tiền Nhập]&lt;&gt;0, Table1_2[Lợi Nhuận Gộp]/Table1_2[Tiền Nhập], 0)</f>
        <v>0.44897959183673469</v>
      </c>
      <c r="P751">
        <f>IF(Table1_2[SL Xuất]&gt;0, Table1_2[Tiền Xuất]/Table1_2[SL Xuất], 0)</f>
        <v>240000</v>
      </c>
      <c r="Q751">
        <f>Table1_2[SL Xuất] - Table1_2[SL Xuất KM]</f>
        <v>4</v>
      </c>
    </row>
    <row r="752" spans="1:17" x14ac:dyDescent="0.25">
      <c r="A752">
        <v>751</v>
      </c>
      <c r="B752" t="s">
        <v>941</v>
      </c>
      <c r="C752" t="s">
        <v>942</v>
      </c>
      <c r="D752" t="s">
        <v>13</v>
      </c>
      <c r="E752">
        <v>61000</v>
      </c>
      <c r="F752">
        <v>0</v>
      </c>
      <c r="G752">
        <v>5</v>
      </c>
      <c r="H752">
        <v>70000</v>
      </c>
      <c r="I752">
        <v>9000</v>
      </c>
      <c r="J752" s="1">
        <v>45252</v>
      </c>
      <c r="K752" t="s">
        <v>666</v>
      </c>
      <c r="L752">
        <v>11</v>
      </c>
      <c r="M752">
        <v>2023</v>
      </c>
      <c r="N752">
        <f t="shared" si="11"/>
        <v>-52000</v>
      </c>
      <c r="O752" s="19">
        <f>IF(Table1_2[Tiền Nhập]&lt;&gt;0, Table1_2[Lợi Nhuận Gộp]/Table1_2[Tiền Nhập], 0)</f>
        <v>-0.85245901639344257</v>
      </c>
      <c r="P752">
        <f>IF(Table1_2[SL Xuất]&gt;0, Table1_2[Tiền Xuất]/Table1_2[SL Xuất], 0)</f>
        <v>14000</v>
      </c>
      <c r="Q752">
        <f>Table1_2[SL Xuất] - Table1_2[SL Xuất KM]</f>
        <v>5</v>
      </c>
    </row>
    <row r="753" spans="1:17" x14ac:dyDescent="0.25">
      <c r="A753">
        <v>752</v>
      </c>
      <c r="B753" t="s">
        <v>945</v>
      </c>
      <c r="C753" t="s">
        <v>946</v>
      </c>
      <c r="D753" t="s">
        <v>13</v>
      </c>
      <c r="E753">
        <v>61000</v>
      </c>
      <c r="F753">
        <v>0</v>
      </c>
      <c r="G753">
        <v>5</v>
      </c>
      <c r="H753">
        <v>70000</v>
      </c>
      <c r="I753">
        <v>9000</v>
      </c>
      <c r="J753" s="1">
        <v>45252</v>
      </c>
      <c r="K753" t="s">
        <v>666</v>
      </c>
      <c r="L753">
        <v>11</v>
      </c>
      <c r="M753">
        <v>2023</v>
      </c>
      <c r="N753">
        <f t="shared" si="11"/>
        <v>-52000</v>
      </c>
      <c r="O753" s="19">
        <f>IF(Table1_2[Tiền Nhập]&lt;&gt;0, Table1_2[Lợi Nhuận Gộp]/Table1_2[Tiền Nhập], 0)</f>
        <v>-0.85245901639344257</v>
      </c>
      <c r="P753">
        <f>IF(Table1_2[SL Xuất]&gt;0, Table1_2[Tiền Xuất]/Table1_2[SL Xuất], 0)</f>
        <v>14000</v>
      </c>
      <c r="Q753">
        <f>Table1_2[SL Xuất] - Table1_2[SL Xuất KM]</f>
        <v>5</v>
      </c>
    </row>
    <row r="754" spans="1:17" x14ac:dyDescent="0.25">
      <c r="A754">
        <v>753</v>
      </c>
      <c r="B754" t="s">
        <v>479</v>
      </c>
      <c r="C754" t="s">
        <v>480</v>
      </c>
      <c r="D754" t="s">
        <v>45</v>
      </c>
      <c r="E754">
        <v>300000</v>
      </c>
      <c r="F754">
        <v>1</v>
      </c>
      <c r="G754">
        <v>12</v>
      </c>
      <c r="H754">
        <v>410000</v>
      </c>
      <c r="I754">
        <v>110000</v>
      </c>
      <c r="J754" s="1">
        <v>45252</v>
      </c>
      <c r="K754" t="s">
        <v>127</v>
      </c>
      <c r="L754">
        <v>11</v>
      </c>
      <c r="M754">
        <v>2023</v>
      </c>
      <c r="N754">
        <f t="shared" si="11"/>
        <v>-190000</v>
      </c>
      <c r="O754" s="19">
        <f>IF(Table1_2[Tiền Nhập]&lt;&gt;0, Table1_2[Lợi Nhuận Gộp]/Table1_2[Tiền Nhập], 0)</f>
        <v>-0.6333333333333333</v>
      </c>
      <c r="P754">
        <f>IF(Table1_2[SL Xuất]&gt;0, Table1_2[Tiền Xuất]/Table1_2[SL Xuất], 0)</f>
        <v>34166.666666666664</v>
      </c>
      <c r="Q754">
        <f>Table1_2[SL Xuất] - Table1_2[SL Xuất KM]</f>
        <v>11</v>
      </c>
    </row>
    <row r="755" spans="1:17" x14ac:dyDescent="0.25">
      <c r="A755">
        <v>754</v>
      </c>
      <c r="B755" t="s">
        <v>1211</v>
      </c>
      <c r="C755" t="s">
        <v>1212</v>
      </c>
      <c r="D755" t="s">
        <v>13</v>
      </c>
      <c r="E755">
        <v>285000</v>
      </c>
      <c r="F755">
        <v>0</v>
      </c>
      <c r="G755">
        <v>15</v>
      </c>
      <c r="H755">
        <v>375000</v>
      </c>
      <c r="I755">
        <v>90000</v>
      </c>
      <c r="J755" s="1">
        <v>45252</v>
      </c>
      <c r="K755" t="s">
        <v>127</v>
      </c>
      <c r="L755">
        <v>11</v>
      </c>
      <c r="M755">
        <v>2023</v>
      </c>
      <c r="N755">
        <f t="shared" si="11"/>
        <v>-195000</v>
      </c>
      <c r="O755" s="19">
        <f>IF(Table1_2[Tiền Nhập]&lt;&gt;0, Table1_2[Lợi Nhuận Gộp]/Table1_2[Tiền Nhập], 0)</f>
        <v>-0.68421052631578949</v>
      </c>
      <c r="P755">
        <f>IF(Table1_2[SL Xuất]&gt;0, Table1_2[Tiền Xuất]/Table1_2[SL Xuất], 0)</f>
        <v>25000</v>
      </c>
      <c r="Q755">
        <f>Table1_2[SL Xuất] - Table1_2[SL Xuất KM]</f>
        <v>15</v>
      </c>
    </row>
    <row r="756" spans="1:17" x14ac:dyDescent="0.25">
      <c r="A756">
        <v>755</v>
      </c>
      <c r="B756" t="s">
        <v>259</v>
      </c>
      <c r="C756" t="s">
        <v>260</v>
      </c>
      <c r="D756" t="s">
        <v>88</v>
      </c>
      <c r="E756">
        <v>600000</v>
      </c>
      <c r="F756">
        <v>0</v>
      </c>
      <c r="G756">
        <v>6</v>
      </c>
      <c r="H756">
        <v>1308000</v>
      </c>
      <c r="I756">
        <v>708000</v>
      </c>
      <c r="J756" s="1">
        <v>45252</v>
      </c>
      <c r="K756" t="s">
        <v>1361</v>
      </c>
      <c r="L756">
        <v>11</v>
      </c>
      <c r="M756">
        <v>2023</v>
      </c>
      <c r="N756">
        <f t="shared" si="11"/>
        <v>108000</v>
      </c>
      <c r="O756" s="19">
        <f>IF(Table1_2[Tiền Nhập]&lt;&gt;0, Table1_2[Lợi Nhuận Gộp]/Table1_2[Tiền Nhập], 0)</f>
        <v>0.18</v>
      </c>
      <c r="P756">
        <f>IF(Table1_2[SL Xuất]&gt;0, Table1_2[Tiền Xuất]/Table1_2[SL Xuất], 0)</f>
        <v>218000</v>
      </c>
      <c r="Q756">
        <f>Table1_2[SL Xuất] - Table1_2[SL Xuất KM]</f>
        <v>6</v>
      </c>
    </row>
    <row r="757" spans="1:17" x14ac:dyDescent="0.25">
      <c r="A757">
        <v>756</v>
      </c>
      <c r="B757" t="s">
        <v>261</v>
      </c>
      <c r="C757" t="s">
        <v>262</v>
      </c>
      <c r="D757" t="s">
        <v>88</v>
      </c>
      <c r="E757">
        <v>0</v>
      </c>
      <c r="F757">
        <v>6</v>
      </c>
      <c r="G757">
        <v>0</v>
      </c>
      <c r="H757">
        <v>-654000</v>
      </c>
      <c r="I757">
        <v>-654000</v>
      </c>
      <c r="J757" s="1">
        <v>45252</v>
      </c>
      <c r="K757" t="s">
        <v>1361</v>
      </c>
      <c r="L757">
        <v>11</v>
      </c>
      <c r="M757">
        <v>2023</v>
      </c>
      <c r="N757">
        <f t="shared" si="11"/>
        <v>-654000</v>
      </c>
      <c r="O757" s="19">
        <f>IF(Table1_2[Tiền Nhập]&lt;&gt;0, Table1_2[Lợi Nhuận Gộp]/Table1_2[Tiền Nhập], 0)</f>
        <v>0</v>
      </c>
      <c r="P757">
        <f>IF(Table1_2[SL Xuất]&gt;0, Table1_2[Tiền Xuất]/Table1_2[SL Xuất], 0)</f>
        <v>0</v>
      </c>
      <c r="Q757">
        <f>Table1_2[SL Xuất] - Table1_2[SL Xuất KM]</f>
        <v>-6</v>
      </c>
    </row>
    <row r="758" spans="1:17" x14ac:dyDescent="0.25">
      <c r="A758">
        <v>757</v>
      </c>
      <c r="B758" t="s">
        <v>111</v>
      </c>
      <c r="C758" t="s">
        <v>112</v>
      </c>
      <c r="D758" t="s">
        <v>13</v>
      </c>
      <c r="E758">
        <v>1155000</v>
      </c>
      <c r="F758">
        <v>0</v>
      </c>
      <c r="G758">
        <v>150</v>
      </c>
      <c r="H758">
        <v>1350000</v>
      </c>
      <c r="I758">
        <v>195000</v>
      </c>
      <c r="J758" s="1">
        <v>45252</v>
      </c>
      <c r="K758" t="s">
        <v>1361</v>
      </c>
      <c r="L758">
        <v>11</v>
      </c>
      <c r="M758">
        <v>2023</v>
      </c>
      <c r="N758">
        <f t="shared" si="11"/>
        <v>-960000</v>
      </c>
      <c r="O758" s="19">
        <f>IF(Table1_2[Tiền Nhập]&lt;&gt;0, Table1_2[Lợi Nhuận Gộp]/Table1_2[Tiền Nhập], 0)</f>
        <v>-0.83116883116883122</v>
      </c>
      <c r="P758">
        <f>IF(Table1_2[SL Xuất]&gt;0, Table1_2[Tiền Xuất]/Table1_2[SL Xuất], 0)</f>
        <v>9000</v>
      </c>
      <c r="Q758">
        <f>Table1_2[SL Xuất] - Table1_2[SL Xuất KM]</f>
        <v>150</v>
      </c>
    </row>
    <row r="759" spans="1:17" x14ac:dyDescent="0.25">
      <c r="A759">
        <v>758</v>
      </c>
      <c r="B759" t="s">
        <v>479</v>
      </c>
      <c r="C759" t="s">
        <v>480</v>
      </c>
      <c r="D759" t="s">
        <v>45</v>
      </c>
      <c r="E759">
        <v>300000</v>
      </c>
      <c r="F759">
        <v>0</v>
      </c>
      <c r="G759">
        <v>12</v>
      </c>
      <c r="H759">
        <v>408000</v>
      </c>
      <c r="I759">
        <v>108000</v>
      </c>
      <c r="J759" s="1">
        <v>45253</v>
      </c>
      <c r="K759" t="s">
        <v>535</v>
      </c>
      <c r="L759">
        <v>11</v>
      </c>
      <c r="M759">
        <v>2023</v>
      </c>
      <c r="N759">
        <f t="shared" si="11"/>
        <v>-192000</v>
      </c>
      <c r="O759" s="19">
        <f>IF(Table1_2[Tiền Nhập]&lt;&gt;0, Table1_2[Lợi Nhuận Gộp]/Table1_2[Tiền Nhập], 0)</f>
        <v>-0.64</v>
      </c>
      <c r="P759">
        <f>IF(Table1_2[SL Xuất]&gt;0, Table1_2[Tiền Xuất]/Table1_2[SL Xuất], 0)</f>
        <v>34000</v>
      </c>
      <c r="Q759">
        <f>Table1_2[SL Xuất] - Table1_2[SL Xuất KM]</f>
        <v>12</v>
      </c>
    </row>
    <row r="760" spans="1:17" x14ac:dyDescent="0.25">
      <c r="A760">
        <v>759</v>
      </c>
      <c r="B760" t="s">
        <v>400</v>
      </c>
      <c r="C760" t="s">
        <v>401</v>
      </c>
      <c r="D760" t="s">
        <v>13</v>
      </c>
      <c r="E760">
        <v>450000</v>
      </c>
      <c r="F760">
        <v>0</v>
      </c>
      <c r="G760">
        <v>60</v>
      </c>
      <c r="H760">
        <v>540000</v>
      </c>
      <c r="I760">
        <v>90000</v>
      </c>
      <c r="J760" s="1">
        <v>45253</v>
      </c>
      <c r="K760" t="s">
        <v>535</v>
      </c>
      <c r="L760">
        <v>11</v>
      </c>
      <c r="M760">
        <v>2023</v>
      </c>
      <c r="N760">
        <f t="shared" si="11"/>
        <v>-360000</v>
      </c>
      <c r="O760" s="19">
        <f>IF(Table1_2[Tiền Nhập]&lt;&gt;0, Table1_2[Lợi Nhuận Gộp]/Table1_2[Tiền Nhập], 0)</f>
        <v>-0.8</v>
      </c>
      <c r="P760">
        <f>IF(Table1_2[SL Xuất]&gt;0, Table1_2[Tiền Xuất]/Table1_2[SL Xuất], 0)</f>
        <v>9000</v>
      </c>
      <c r="Q760">
        <f>Table1_2[SL Xuất] - Table1_2[SL Xuất KM]</f>
        <v>60</v>
      </c>
    </row>
    <row r="761" spans="1:17" x14ac:dyDescent="0.25">
      <c r="A761">
        <v>760</v>
      </c>
      <c r="B761" t="s">
        <v>1146</v>
      </c>
      <c r="C761" t="s">
        <v>1147</v>
      </c>
      <c r="D761" t="s">
        <v>13</v>
      </c>
      <c r="E761">
        <v>1411920</v>
      </c>
      <c r="F761">
        <v>0</v>
      </c>
      <c r="G761">
        <v>12</v>
      </c>
      <c r="H761">
        <v>1908000</v>
      </c>
      <c r="I761">
        <v>496080</v>
      </c>
      <c r="J761" s="1">
        <v>45254</v>
      </c>
      <c r="K761" t="s">
        <v>733</v>
      </c>
      <c r="L761">
        <v>11</v>
      </c>
      <c r="M761">
        <v>2023</v>
      </c>
      <c r="N761">
        <f t="shared" si="11"/>
        <v>-915840</v>
      </c>
      <c r="O761" s="19">
        <f>IF(Table1_2[Tiền Nhập]&lt;&gt;0, Table1_2[Lợi Nhuận Gộp]/Table1_2[Tiền Nhập], 0)</f>
        <v>-0.64864864864864868</v>
      </c>
      <c r="P761">
        <f>IF(Table1_2[SL Xuất]&gt;0, Table1_2[Tiền Xuất]/Table1_2[SL Xuất], 0)</f>
        <v>159000</v>
      </c>
      <c r="Q761">
        <f>Table1_2[SL Xuất] - Table1_2[SL Xuất KM]</f>
        <v>12</v>
      </c>
    </row>
    <row r="762" spans="1:17" x14ac:dyDescent="0.25">
      <c r="A762">
        <v>761</v>
      </c>
      <c r="B762" t="s">
        <v>183</v>
      </c>
      <c r="C762" t="s">
        <v>184</v>
      </c>
      <c r="D762" t="s">
        <v>23</v>
      </c>
      <c r="E762">
        <v>0</v>
      </c>
      <c r="F762">
        <v>12</v>
      </c>
      <c r="G762">
        <v>0</v>
      </c>
      <c r="H762">
        <v>-318000</v>
      </c>
      <c r="I762">
        <v>-318000</v>
      </c>
      <c r="J762" s="1">
        <v>45254</v>
      </c>
      <c r="K762" t="s">
        <v>733</v>
      </c>
      <c r="L762">
        <v>11</v>
      </c>
      <c r="M762">
        <v>2023</v>
      </c>
      <c r="N762">
        <f t="shared" si="11"/>
        <v>-318000</v>
      </c>
      <c r="O762" s="19">
        <f>IF(Table1_2[Tiền Nhập]&lt;&gt;0, Table1_2[Lợi Nhuận Gộp]/Table1_2[Tiền Nhập], 0)</f>
        <v>0</v>
      </c>
      <c r="P762">
        <f>IF(Table1_2[SL Xuất]&gt;0, Table1_2[Tiền Xuất]/Table1_2[SL Xuất], 0)</f>
        <v>0</v>
      </c>
      <c r="Q762">
        <f>Table1_2[SL Xuất] - Table1_2[SL Xuất KM]</f>
        <v>-12</v>
      </c>
    </row>
    <row r="763" spans="1:17" x14ac:dyDescent="0.25">
      <c r="A763">
        <v>762</v>
      </c>
      <c r="B763" t="s">
        <v>516</v>
      </c>
      <c r="C763" t="s">
        <v>517</v>
      </c>
      <c r="D763" t="s">
        <v>518</v>
      </c>
      <c r="E763">
        <v>0</v>
      </c>
      <c r="F763">
        <v>0</v>
      </c>
      <c r="G763">
        <v>0</v>
      </c>
      <c r="H763">
        <v>-908000</v>
      </c>
      <c r="I763">
        <v>-908000</v>
      </c>
      <c r="J763" s="1">
        <v>45254</v>
      </c>
      <c r="K763" t="s">
        <v>733</v>
      </c>
      <c r="L763">
        <v>11</v>
      </c>
      <c r="M763">
        <v>2023</v>
      </c>
      <c r="N763">
        <f t="shared" si="11"/>
        <v>-908000</v>
      </c>
      <c r="O763" s="19">
        <f>IF(Table1_2[Tiền Nhập]&lt;&gt;0, Table1_2[Lợi Nhuận Gộp]/Table1_2[Tiền Nhập], 0)</f>
        <v>0</v>
      </c>
      <c r="P763">
        <f>IF(Table1_2[SL Xuất]&gt;0, Table1_2[Tiền Xuất]/Table1_2[SL Xuất], 0)</f>
        <v>0</v>
      </c>
      <c r="Q763">
        <f>Table1_2[SL Xuất] - Table1_2[SL Xuất KM]</f>
        <v>0</v>
      </c>
    </row>
    <row r="764" spans="1:17" x14ac:dyDescent="0.25">
      <c r="A764">
        <v>763</v>
      </c>
      <c r="B764" t="s">
        <v>11</v>
      </c>
      <c r="C764" t="s">
        <v>12</v>
      </c>
      <c r="D764" t="s">
        <v>13</v>
      </c>
      <c r="E764">
        <v>172800</v>
      </c>
      <c r="F764">
        <v>2</v>
      </c>
      <c r="G764">
        <v>24</v>
      </c>
      <c r="H764">
        <v>268000</v>
      </c>
      <c r="I764">
        <v>95200</v>
      </c>
      <c r="J764" s="1">
        <v>45254</v>
      </c>
      <c r="K764" t="s">
        <v>1215</v>
      </c>
      <c r="L764">
        <v>11</v>
      </c>
      <c r="M764">
        <v>2023</v>
      </c>
      <c r="N764">
        <f t="shared" si="11"/>
        <v>-77600</v>
      </c>
      <c r="O764" s="19">
        <f>IF(Table1_2[Tiền Nhập]&lt;&gt;0, Table1_2[Lợi Nhuận Gộp]/Table1_2[Tiền Nhập], 0)</f>
        <v>-0.44907407407407407</v>
      </c>
      <c r="P764">
        <f>IF(Table1_2[SL Xuất]&gt;0, Table1_2[Tiền Xuất]/Table1_2[SL Xuất], 0)</f>
        <v>11166.666666666666</v>
      </c>
      <c r="Q764">
        <f>Table1_2[SL Xuất] - Table1_2[SL Xuất KM]</f>
        <v>22</v>
      </c>
    </row>
    <row r="765" spans="1:17" x14ac:dyDescent="0.25">
      <c r="A765">
        <v>764</v>
      </c>
      <c r="B765" t="s">
        <v>421</v>
      </c>
      <c r="C765" t="s">
        <v>422</v>
      </c>
      <c r="D765" t="s">
        <v>45</v>
      </c>
      <c r="E765">
        <v>265716</v>
      </c>
      <c r="F765">
        <v>0</v>
      </c>
      <c r="G765">
        <v>12</v>
      </c>
      <c r="H765">
        <v>360000</v>
      </c>
      <c r="I765">
        <v>94284</v>
      </c>
      <c r="J765" s="1">
        <v>45254</v>
      </c>
      <c r="K765" t="s">
        <v>42</v>
      </c>
      <c r="L765">
        <v>11</v>
      </c>
      <c r="M765">
        <v>2023</v>
      </c>
      <c r="N765">
        <f t="shared" si="11"/>
        <v>-171432</v>
      </c>
      <c r="O765" s="19">
        <f>IF(Table1_2[Tiền Nhập]&lt;&gt;0, Table1_2[Lợi Nhuận Gộp]/Table1_2[Tiền Nhập], 0)</f>
        <v>-0.64517003116108929</v>
      </c>
      <c r="P765">
        <f>IF(Table1_2[SL Xuất]&gt;0, Table1_2[Tiền Xuất]/Table1_2[SL Xuất], 0)</f>
        <v>30000</v>
      </c>
      <c r="Q765">
        <f>Table1_2[SL Xuất] - Table1_2[SL Xuất KM]</f>
        <v>12</v>
      </c>
    </row>
    <row r="766" spans="1:17" x14ac:dyDescent="0.25">
      <c r="A766">
        <v>765</v>
      </c>
      <c r="B766" t="s">
        <v>36</v>
      </c>
      <c r="C766" t="s">
        <v>37</v>
      </c>
      <c r="D766" t="s">
        <v>13</v>
      </c>
      <c r="E766">
        <v>648000</v>
      </c>
      <c r="F766">
        <v>0</v>
      </c>
      <c r="G766">
        <v>90</v>
      </c>
      <c r="H766">
        <v>846000</v>
      </c>
      <c r="I766">
        <v>198000</v>
      </c>
      <c r="J766" s="1">
        <v>45254</v>
      </c>
      <c r="K766" t="s">
        <v>42</v>
      </c>
      <c r="L766">
        <v>11</v>
      </c>
      <c r="M766">
        <v>2023</v>
      </c>
      <c r="N766">
        <f t="shared" si="11"/>
        <v>-450000</v>
      </c>
      <c r="O766" s="19">
        <f>IF(Table1_2[Tiền Nhập]&lt;&gt;0, Table1_2[Lợi Nhuận Gộp]/Table1_2[Tiền Nhập], 0)</f>
        <v>-0.69444444444444442</v>
      </c>
      <c r="P766">
        <f>IF(Table1_2[SL Xuất]&gt;0, Table1_2[Tiền Xuất]/Table1_2[SL Xuất], 0)</f>
        <v>9400</v>
      </c>
      <c r="Q766">
        <f>Table1_2[SL Xuất] - Table1_2[SL Xuất KM]</f>
        <v>90</v>
      </c>
    </row>
    <row r="767" spans="1:17" x14ac:dyDescent="0.25">
      <c r="A767">
        <v>766</v>
      </c>
      <c r="B767" t="s">
        <v>259</v>
      </c>
      <c r="C767" t="s">
        <v>260</v>
      </c>
      <c r="D767" t="s">
        <v>88</v>
      </c>
      <c r="E767">
        <v>0</v>
      </c>
      <c r="F767">
        <v>0</v>
      </c>
      <c r="G767">
        <v>0</v>
      </c>
      <c r="H767">
        <v>0</v>
      </c>
      <c r="I767">
        <v>0</v>
      </c>
      <c r="J767" s="1">
        <v>45255</v>
      </c>
      <c r="K767" t="s">
        <v>176</v>
      </c>
      <c r="L767">
        <v>11</v>
      </c>
      <c r="M767">
        <v>2023</v>
      </c>
      <c r="N767">
        <f t="shared" si="11"/>
        <v>0</v>
      </c>
      <c r="O767" s="19">
        <f>IF(Table1_2[Tiền Nhập]&lt;&gt;0, Table1_2[Lợi Nhuận Gộp]/Table1_2[Tiền Nhập], 0)</f>
        <v>0</v>
      </c>
      <c r="P767">
        <f>IF(Table1_2[SL Xuất]&gt;0, Table1_2[Tiền Xuất]/Table1_2[SL Xuất], 0)</f>
        <v>0</v>
      </c>
      <c r="Q767">
        <f>Table1_2[SL Xuất] - Table1_2[SL Xuất KM]</f>
        <v>0</v>
      </c>
    </row>
    <row r="768" spans="1:17" x14ac:dyDescent="0.25">
      <c r="A768">
        <v>767</v>
      </c>
      <c r="B768" t="s">
        <v>261</v>
      </c>
      <c r="C768" t="s">
        <v>262</v>
      </c>
      <c r="D768" t="s">
        <v>88</v>
      </c>
      <c r="E768">
        <v>0</v>
      </c>
      <c r="F768">
        <v>0</v>
      </c>
      <c r="G768">
        <v>0</v>
      </c>
      <c r="H768">
        <v>0</v>
      </c>
      <c r="I768">
        <v>0</v>
      </c>
      <c r="J768" s="1">
        <v>45255</v>
      </c>
      <c r="K768" t="s">
        <v>176</v>
      </c>
      <c r="L768">
        <v>11</v>
      </c>
      <c r="M768">
        <v>2023</v>
      </c>
      <c r="N768">
        <f t="shared" si="11"/>
        <v>0</v>
      </c>
      <c r="O768" s="19">
        <f>IF(Table1_2[Tiền Nhập]&lt;&gt;0, Table1_2[Lợi Nhuận Gộp]/Table1_2[Tiền Nhập], 0)</f>
        <v>0</v>
      </c>
      <c r="P768">
        <f>IF(Table1_2[SL Xuất]&gt;0, Table1_2[Tiền Xuất]/Table1_2[SL Xuất], 0)</f>
        <v>0</v>
      </c>
      <c r="Q768">
        <f>Table1_2[SL Xuất] - Table1_2[SL Xuất KM]</f>
        <v>0</v>
      </c>
    </row>
    <row r="769" spans="1:17" x14ac:dyDescent="0.25">
      <c r="A769">
        <v>768</v>
      </c>
      <c r="B769" t="s">
        <v>201</v>
      </c>
      <c r="C769" t="s">
        <v>202</v>
      </c>
      <c r="D769" t="s">
        <v>23</v>
      </c>
      <c r="E769">
        <v>0</v>
      </c>
      <c r="F769">
        <v>36</v>
      </c>
      <c r="G769">
        <v>0</v>
      </c>
      <c r="H769">
        <v>-468000</v>
      </c>
      <c r="I769">
        <v>-468000</v>
      </c>
      <c r="J769" s="1">
        <v>45255</v>
      </c>
      <c r="K769" t="s">
        <v>176</v>
      </c>
      <c r="L769">
        <v>11</v>
      </c>
      <c r="M769">
        <v>2023</v>
      </c>
      <c r="N769">
        <f t="shared" si="11"/>
        <v>-468000</v>
      </c>
      <c r="O769" s="19">
        <f>IF(Table1_2[Tiền Nhập]&lt;&gt;0, Table1_2[Lợi Nhuận Gộp]/Table1_2[Tiền Nhập], 0)</f>
        <v>0</v>
      </c>
      <c r="P769">
        <f>IF(Table1_2[SL Xuất]&gt;0, Table1_2[Tiền Xuất]/Table1_2[SL Xuất], 0)</f>
        <v>0</v>
      </c>
      <c r="Q769">
        <f>Table1_2[SL Xuất] - Table1_2[SL Xuất KM]</f>
        <v>-36</v>
      </c>
    </row>
    <row r="770" spans="1:17" x14ac:dyDescent="0.25">
      <c r="A770">
        <v>769</v>
      </c>
      <c r="B770" t="s">
        <v>640</v>
      </c>
      <c r="C770" t="s">
        <v>641</v>
      </c>
      <c r="D770" t="s">
        <v>194</v>
      </c>
      <c r="E770">
        <v>370000</v>
      </c>
      <c r="F770">
        <v>0</v>
      </c>
      <c r="G770">
        <v>5</v>
      </c>
      <c r="H770">
        <v>675000</v>
      </c>
      <c r="I770">
        <v>305000</v>
      </c>
      <c r="J770" s="1">
        <v>45255</v>
      </c>
      <c r="K770" t="s">
        <v>176</v>
      </c>
      <c r="L770">
        <v>11</v>
      </c>
      <c r="M770">
        <v>2023</v>
      </c>
      <c r="N770">
        <f t="shared" ref="N770:N833" si="12">I770-E770</f>
        <v>-65000</v>
      </c>
      <c r="O770" s="19">
        <f>IF(Table1_2[Tiền Nhập]&lt;&gt;0, Table1_2[Lợi Nhuận Gộp]/Table1_2[Tiền Nhập], 0)</f>
        <v>-0.17567567567567569</v>
      </c>
      <c r="P770">
        <f>IF(Table1_2[SL Xuất]&gt;0, Table1_2[Tiền Xuất]/Table1_2[SL Xuất], 0)</f>
        <v>135000</v>
      </c>
      <c r="Q770">
        <f>Table1_2[SL Xuất] - Table1_2[SL Xuất KM]</f>
        <v>5</v>
      </c>
    </row>
    <row r="771" spans="1:17" x14ac:dyDescent="0.25">
      <c r="A771">
        <v>770</v>
      </c>
      <c r="B771" t="s">
        <v>645</v>
      </c>
      <c r="C771" t="s">
        <v>646</v>
      </c>
      <c r="D771" t="s">
        <v>194</v>
      </c>
      <c r="E771">
        <v>740000</v>
      </c>
      <c r="F771">
        <v>0</v>
      </c>
      <c r="G771">
        <v>10</v>
      </c>
      <c r="H771">
        <v>1350000</v>
      </c>
      <c r="I771">
        <v>610000</v>
      </c>
      <c r="J771" s="1">
        <v>45255</v>
      </c>
      <c r="K771" t="s">
        <v>176</v>
      </c>
      <c r="L771">
        <v>11</v>
      </c>
      <c r="M771">
        <v>2023</v>
      </c>
      <c r="N771">
        <f t="shared" si="12"/>
        <v>-130000</v>
      </c>
      <c r="O771" s="19">
        <f>IF(Table1_2[Tiền Nhập]&lt;&gt;0, Table1_2[Lợi Nhuận Gộp]/Table1_2[Tiền Nhập], 0)</f>
        <v>-0.17567567567567569</v>
      </c>
      <c r="P771">
        <f>IF(Table1_2[SL Xuất]&gt;0, Table1_2[Tiền Xuất]/Table1_2[SL Xuất], 0)</f>
        <v>135000</v>
      </c>
      <c r="Q771">
        <f>Table1_2[SL Xuất] - Table1_2[SL Xuất KM]</f>
        <v>10</v>
      </c>
    </row>
    <row r="772" spans="1:17" x14ac:dyDescent="0.25">
      <c r="A772">
        <v>771</v>
      </c>
      <c r="B772" t="s">
        <v>922</v>
      </c>
      <c r="C772" t="s">
        <v>923</v>
      </c>
      <c r="D772" t="s">
        <v>85</v>
      </c>
      <c r="E772">
        <v>260000</v>
      </c>
      <c r="F772">
        <v>0</v>
      </c>
      <c r="G772">
        <v>10</v>
      </c>
      <c r="H772">
        <v>240000</v>
      </c>
      <c r="I772">
        <v>-20000</v>
      </c>
      <c r="J772" s="1">
        <v>45255</v>
      </c>
      <c r="K772" t="s">
        <v>191</v>
      </c>
      <c r="L772">
        <v>11</v>
      </c>
      <c r="M772">
        <v>2023</v>
      </c>
      <c r="N772">
        <f t="shared" si="12"/>
        <v>-280000</v>
      </c>
      <c r="O772" s="19">
        <f>IF(Table1_2[Tiền Nhập]&lt;&gt;0, Table1_2[Lợi Nhuận Gộp]/Table1_2[Tiền Nhập], 0)</f>
        <v>-1.0769230769230769</v>
      </c>
      <c r="P772">
        <f>IF(Table1_2[SL Xuất]&gt;0, Table1_2[Tiền Xuất]/Table1_2[SL Xuất], 0)</f>
        <v>24000</v>
      </c>
      <c r="Q772">
        <f>Table1_2[SL Xuất] - Table1_2[SL Xuất KM]</f>
        <v>10</v>
      </c>
    </row>
    <row r="773" spans="1:17" x14ac:dyDescent="0.25">
      <c r="A773">
        <v>772</v>
      </c>
      <c r="B773" t="s">
        <v>400</v>
      </c>
      <c r="C773" t="s">
        <v>401</v>
      </c>
      <c r="D773" t="s">
        <v>13</v>
      </c>
      <c r="E773">
        <v>450000</v>
      </c>
      <c r="F773">
        <v>0</v>
      </c>
      <c r="G773">
        <v>60</v>
      </c>
      <c r="H773">
        <v>510000</v>
      </c>
      <c r="I773">
        <v>60000</v>
      </c>
      <c r="J773" s="1">
        <v>45255</v>
      </c>
      <c r="K773" t="s">
        <v>191</v>
      </c>
      <c r="L773">
        <v>11</v>
      </c>
      <c r="M773">
        <v>2023</v>
      </c>
      <c r="N773">
        <f t="shared" si="12"/>
        <v>-390000</v>
      </c>
      <c r="O773" s="19">
        <f>IF(Table1_2[Tiền Nhập]&lt;&gt;0, Table1_2[Lợi Nhuận Gộp]/Table1_2[Tiền Nhập], 0)</f>
        <v>-0.8666666666666667</v>
      </c>
      <c r="P773">
        <f>IF(Table1_2[SL Xuất]&gt;0, Table1_2[Tiền Xuất]/Table1_2[SL Xuất], 0)</f>
        <v>8500</v>
      </c>
      <c r="Q773">
        <f>Table1_2[SL Xuất] - Table1_2[SL Xuất KM]</f>
        <v>60</v>
      </c>
    </row>
    <row r="774" spans="1:17" x14ac:dyDescent="0.25">
      <c r="A774">
        <v>773</v>
      </c>
      <c r="B774" t="s">
        <v>67</v>
      </c>
      <c r="C774" t="s">
        <v>68</v>
      </c>
      <c r="D774" t="s">
        <v>13</v>
      </c>
      <c r="E774">
        <v>528000</v>
      </c>
      <c r="F774">
        <v>0</v>
      </c>
      <c r="G774">
        <v>48</v>
      </c>
      <c r="H774">
        <v>432000</v>
      </c>
      <c r="I774">
        <v>-96000</v>
      </c>
      <c r="J774" s="1">
        <v>45255</v>
      </c>
      <c r="K774" t="s">
        <v>828</v>
      </c>
      <c r="L774">
        <v>11</v>
      </c>
      <c r="M774">
        <v>2023</v>
      </c>
      <c r="N774">
        <f t="shared" si="12"/>
        <v>-624000</v>
      </c>
      <c r="O774" s="19">
        <f>IF(Table1_2[Tiền Nhập]&lt;&gt;0, Table1_2[Lợi Nhuận Gộp]/Table1_2[Tiền Nhập], 0)</f>
        <v>-1.1818181818181819</v>
      </c>
      <c r="P774">
        <f>IF(Table1_2[SL Xuất]&gt;0, Table1_2[Tiền Xuất]/Table1_2[SL Xuất], 0)</f>
        <v>9000</v>
      </c>
      <c r="Q774">
        <f>Table1_2[SL Xuất] - Table1_2[SL Xuất KM]</f>
        <v>48</v>
      </c>
    </row>
    <row r="775" spans="1:17" x14ac:dyDescent="0.25">
      <c r="A775">
        <v>774</v>
      </c>
      <c r="B775" t="s">
        <v>11</v>
      </c>
      <c r="C775" t="s">
        <v>12</v>
      </c>
      <c r="D775" t="s">
        <v>13</v>
      </c>
      <c r="E775">
        <v>345600</v>
      </c>
      <c r="F775">
        <v>0</v>
      </c>
      <c r="G775">
        <v>48</v>
      </c>
      <c r="H775">
        <v>518400</v>
      </c>
      <c r="I775">
        <v>172800</v>
      </c>
      <c r="J775" s="1">
        <v>45255</v>
      </c>
      <c r="K775" t="s">
        <v>20</v>
      </c>
      <c r="L775">
        <v>11</v>
      </c>
      <c r="M775">
        <v>2023</v>
      </c>
      <c r="N775">
        <f t="shared" si="12"/>
        <v>-172800</v>
      </c>
      <c r="O775" s="19">
        <f>IF(Table1_2[Tiền Nhập]&lt;&gt;0, Table1_2[Lợi Nhuận Gộp]/Table1_2[Tiền Nhập], 0)</f>
        <v>-0.5</v>
      </c>
      <c r="P775">
        <f>IF(Table1_2[SL Xuất]&gt;0, Table1_2[Tiền Xuất]/Table1_2[SL Xuất], 0)</f>
        <v>10800</v>
      </c>
      <c r="Q775">
        <f>Table1_2[SL Xuất] - Table1_2[SL Xuất KM]</f>
        <v>48</v>
      </c>
    </row>
    <row r="776" spans="1:17" x14ac:dyDescent="0.25">
      <c r="A776">
        <v>775</v>
      </c>
      <c r="B776" t="s">
        <v>1069</v>
      </c>
      <c r="C776" t="s">
        <v>1070</v>
      </c>
      <c r="D776" t="s">
        <v>88</v>
      </c>
      <c r="E776">
        <v>0</v>
      </c>
      <c r="F776">
        <v>1</v>
      </c>
      <c r="G776">
        <v>0</v>
      </c>
      <c r="H776">
        <v>0</v>
      </c>
      <c r="I776">
        <v>0</v>
      </c>
      <c r="J776" s="1">
        <v>45255</v>
      </c>
      <c r="K776" t="s">
        <v>420</v>
      </c>
      <c r="L776">
        <v>11</v>
      </c>
      <c r="M776">
        <v>2023</v>
      </c>
      <c r="N776">
        <f t="shared" si="12"/>
        <v>0</v>
      </c>
      <c r="O776" s="19">
        <f>IF(Table1_2[Tiền Nhập]&lt;&gt;0, Table1_2[Lợi Nhuận Gộp]/Table1_2[Tiền Nhập], 0)</f>
        <v>0</v>
      </c>
      <c r="P776">
        <f>IF(Table1_2[SL Xuất]&gt;0, Table1_2[Tiền Xuất]/Table1_2[SL Xuất], 0)</f>
        <v>0</v>
      </c>
      <c r="Q776">
        <f>Table1_2[SL Xuất] - Table1_2[SL Xuất KM]</f>
        <v>-1</v>
      </c>
    </row>
    <row r="777" spans="1:17" x14ac:dyDescent="0.25">
      <c r="A777">
        <v>776</v>
      </c>
      <c r="B777" t="s">
        <v>668</v>
      </c>
      <c r="C777" t="s">
        <v>669</v>
      </c>
      <c r="D777" t="s">
        <v>88</v>
      </c>
      <c r="E777">
        <v>130000</v>
      </c>
      <c r="F777">
        <v>0</v>
      </c>
      <c r="G777">
        <v>1</v>
      </c>
      <c r="H777">
        <v>280000</v>
      </c>
      <c r="I777">
        <v>150000</v>
      </c>
      <c r="J777" s="1">
        <v>45255</v>
      </c>
      <c r="K777" t="s">
        <v>420</v>
      </c>
      <c r="L777">
        <v>11</v>
      </c>
      <c r="M777">
        <v>2023</v>
      </c>
      <c r="N777">
        <f t="shared" si="12"/>
        <v>20000</v>
      </c>
      <c r="O777" s="19">
        <f>IF(Table1_2[Tiền Nhập]&lt;&gt;0, Table1_2[Lợi Nhuận Gộp]/Table1_2[Tiền Nhập], 0)</f>
        <v>0.15384615384615385</v>
      </c>
      <c r="P777">
        <f>IF(Table1_2[SL Xuất]&gt;0, Table1_2[Tiền Xuất]/Table1_2[SL Xuất], 0)</f>
        <v>280000</v>
      </c>
      <c r="Q777">
        <f>Table1_2[SL Xuất] - Table1_2[SL Xuất KM]</f>
        <v>1</v>
      </c>
    </row>
    <row r="778" spans="1:17" x14ac:dyDescent="0.25">
      <c r="A778">
        <v>777</v>
      </c>
      <c r="B778" t="s">
        <v>314</v>
      </c>
      <c r="C778" t="s">
        <v>315</v>
      </c>
      <c r="D778" t="s">
        <v>13</v>
      </c>
      <c r="E778">
        <v>288000</v>
      </c>
      <c r="F778">
        <v>0</v>
      </c>
      <c r="G778">
        <v>48</v>
      </c>
      <c r="H778">
        <v>360000</v>
      </c>
      <c r="I778">
        <v>72000</v>
      </c>
      <c r="J778" s="1">
        <v>45255</v>
      </c>
      <c r="K778" t="s">
        <v>428</v>
      </c>
      <c r="L778">
        <v>11</v>
      </c>
      <c r="M778">
        <v>2023</v>
      </c>
      <c r="N778">
        <f t="shared" si="12"/>
        <v>-216000</v>
      </c>
      <c r="O778" s="19">
        <f>IF(Table1_2[Tiền Nhập]&lt;&gt;0, Table1_2[Lợi Nhuận Gộp]/Table1_2[Tiền Nhập], 0)</f>
        <v>-0.75</v>
      </c>
      <c r="P778">
        <f>IF(Table1_2[SL Xuất]&gt;0, Table1_2[Tiền Xuất]/Table1_2[SL Xuất], 0)</f>
        <v>7500</v>
      </c>
      <c r="Q778">
        <f>Table1_2[SL Xuất] - Table1_2[SL Xuất KM]</f>
        <v>48</v>
      </c>
    </row>
    <row r="779" spans="1:17" x14ac:dyDescent="0.25">
      <c r="A779">
        <v>778</v>
      </c>
      <c r="B779" t="s">
        <v>86</v>
      </c>
      <c r="C779" t="s">
        <v>87</v>
      </c>
      <c r="D779" t="s">
        <v>88</v>
      </c>
      <c r="E779">
        <v>362268</v>
      </c>
      <c r="F779">
        <v>1</v>
      </c>
      <c r="G779">
        <v>6</v>
      </c>
      <c r="H779">
        <v>340000</v>
      </c>
      <c r="I779">
        <v>-22268</v>
      </c>
      <c r="J779" s="1">
        <v>45255</v>
      </c>
      <c r="K779" t="s">
        <v>575</v>
      </c>
      <c r="L779">
        <v>11</v>
      </c>
      <c r="M779">
        <v>2023</v>
      </c>
      <c r="N779">
        <f t="shared" si="12"/>
        <v>-384536</v>
      </c>
      <c r="O779" s="19">
        <f>IF(Table1_2[Tiền Nhập]&lt;&gt;0, Table1_2[Lợi Nhuận Gộp]/Table1_2[Tiền Nhập], 0)</f>
        <v>-1.0614683052325902</v>
      </c>
      <c r="P779">
        <f>IF(Table1_2[SL Xuất]&gt;0, Table1_2[Tiền Xuất]/Table1_2[SL Xuất], 0)</f>
        <v>56666.666666666664</v>
      </c>
      <c r="Q779">
        <f>Table1_2[SL Xuất] - Table1_2[SL Xuất KM]</f>
        <v>5</v>
      </c>
    </row>
    <row r="780" spans="1:17" x14ac:dyDescent="0.25">
      <c r="A780">
        <v>779</v>
      </c>
      <c r="B780" t="s">
        <v>269</v>
      </c>
      <c r="C780" t="s">
        <v>270</v>
      </c>
      <c r="D780" t="s">
        <v>13</v>
      </c>
      <c r="E780">
        <v>200000</v>
      </c>
      <c r="F780">
        <v>0</v>
      </c>
      <c r="G780">
        <v>50</v>
      </c>
      <c r="H780">
        <v>300000</v>
      </c>
      <c r="I780">
        <v>100000</v>
      </c>
      <c r="J780" s="1">
        <v>45255</v>
      </c>
      <c r="K780" t="s">
        <v>575</v>
      </c>
      <c r="L780">
        <v>11</v>
      </c>
      <c r="M780">
        <v>2023</v>
      </c>
      <c r="N780">
        <f t="shared" si="12"/>
        <v>-100000</v>
      </c>
      <c r="O780" s="19">
        <f>IF(Table1_2[Tiền Nhập]&lt;&gt;0, Table1_2[Lợi Nhuận Gộp]/Table1_2[Tiền Nhập], 0)</f>
        <v>-0.5</v>
      </c>
      <c r="P780">
        <f>IF(Table1_2[SL Xuất]&gt;0, Table1_2[Tiền Xuất]/Table1_2[SL Xuất], 0)</f>
        <v>6000</v>
      </c>
      <c r="Q780">
        <f>Table1_2[SL Xuất] - Table1_2[SL Xuất KM]</f>
        <v>50</v>
      </c>
    </row>
    <row r="781" spans="1:17" x14ac:dyDescent="0.25">
      <c r="A781">
        <v>780</v>
      </c>
      <c r="B781" t="s">
        <v>1378</v>
      </c>
      <c r="C781" t="s">
        <v>1379</v>
      </c>
      <c r="D781" t="s">
        <v>88</v>
      </c>
      <c r="E781">
        <v>102000</v>
      </c>
      <c r="F781">
        <v>0</v>
      </c>
      <c r="G781">
        <v>6</v>
      </c>
      <c r="H781">
        <v>126000</v>
      </c>
      <c r="I781">
        <v>24000</v>
      </c>
      <c r="J781" s="1">
        <v>45255</v>
      </c>
      <c r="K781" t="s">
        <v>280</v>
      </c>
      <c r="L781">
        <v>11</v>
      </c>
      <c r="M781">
        <v>2023</v>
      </c>
      <c r="N781">
        <f t="shared" si="12"/>
        <v>-78000</v>
      </c>
      <c r="O781" s="19">
        <f>IF(Table1_2[Tiền Nhập]&lt;&gt;0, Table1_2[Lợi Nhuận Gộp]/Table1_2[Tiền Nhập], 0)</f>
        <v>-0.76470588235294112</v>
      </c>
      <c r="P781">
        <f>IF(Table1_2[SL Xuất]&gt;0, Table1_2[Tiền Xuất]/Table1_2[SL Xuất], 0)</f>
        <v>21000</v>
      </c>
      <c r="Q781">
        <f>Table1_2[SL Xuất] - Table1_2[SL Xuất KM]</f>
        <v>6</v>
      </c>
    </row>
    <row r="782" spans="1:17" x14ac:dyDescent="0.25">
      <c r="A782">
        <v>781</v>
      </c>
      <c r="B782" t="s">
        <v>1380</v>
      </c>
      <c r="C782" t="s">
        <v>1381</v>
      </c>
      <c r="D782" t="s">
        <v>88</v>
      </c>
      <c r="E782">
        <v>102000</v>
      </c>
      <c r="F782">
        <v>0</v>
      </c>
      <c r="G782">
        <v>6</v>
      </c>
      <c r="H782">
        <v>126000</v>
      </c>
      <c r="I782">
        <v>24000</v>
      </c>
      <c r="J782" s="1">
        <v>45255</v>
      </c>
      <c r="K782" t="s">
        <v>280</v>
      </c>
      <c r="L782">
        <v>11</v>
      </c>
      <c r="M782">
        <v>2023</v>
      </c>
      <c r="N782">
        <f t="shared" si="12"/>
        <v>-78000</v>
      </c>
      <c r="O782" s="19">
        <f>IF(Table1_2[Tiền Nhập]&lt;&gt;0, Table1_2[Lợi Nhuận Gộp]/Table1_2[Tiền Nhập], 0)</f>
        <v>-0.76470588235294112</v>
      </c>
      <c r="P782">
        <f>IF(Table1_2[SL Xuất]&gt;0, Table1_2[Tiền Xuất]/Table1_2[SL Xuất], 0)</f>
        <v>21000</v>
      </c>
      <c r="Q782">
        <f>Table1_2[SL Xuất] - Table1_2[SL Xuất KM]</f>
        <v>6</v>
      </c>
    </row>
    <row r="783" spans="1:17" x14ac:dyDescent="0.25">
      <c r="A783">
        <v>782</v>
      </c>
      <c r="B783" t="s">
        <v>1382</v>
      </c>
      <c r="C783" t="s">
        <v>1383</v>
      </c>
      <c r="D783" t="s">
        <v>88</v>
      </c>
      <c r="E783">
        <v>102000</v>
      </c>
      <c r="F783">
        <v>0</v>
      </c>
      <c r="G783">
        <v>6</v>
      </c>
      <c r="H783">
        <v>126000</v>
      </c>
      <c r="I783">
        <v>24000</v>
      </c>
      <c r="J783" s="1">
        <v>45255</v>
      </c>
      <c r="K783" t="s">
        <v>280</v>
      </c>
      <c r="L783">
        <v>11</v>
      </c>
      <c r="M783">
        <v>2023</v>
      </c>
      <c r="N783">
        <f t="shared" si="12"/>
        <v>-78000</v>
      </c>
      <c r="O783" s="19">
        <f>IF(Table1_2[Tiền Nhập]&lt;&gt;0, Table1_2[Lợi Nhuận Gộp]/Table1_2[Tiền Nhập], 0)</f>
        <v>-0.76470588235294112</v>
      </c>
      <c r="P783">
        <f>IF(Table1_2[SL Xuất]&gt;0, Table1_2[Tiền Xuất]/Table1_2[SL Xuất], 0)</f>
        <v>21000</v>
      </c>
      <c r="Q783">
        <f>Table1_2[SL Xuất] - Table1_2[SL Xuất KM]</f>
        <v>6</v>
      </c>
    </row>
    <row r="784" spans="1:17" x14ac:dyDescent="0.25">
      <c r="A784">
        <v>783</v>
      </c>
      <c r="B784" t="s">
        <v>1324</v>
      </c>
      <c r="C784" t="s">
        <v>1325</v>
      </c>
      <c r="D784" t="s">
        <v>45</v>
      </c>
      <c r="E784">
        <v>180000</v>
      </c>
      <c r="F784">
        <v>0</v>
      </c>
      <c r="G784">
        <v>40</v>
      </c>
      <c r="H784">
        <v>320000</v>
      </c>
      <c r="I784">
        <v>140000</v>
      </c>
      <c r="J784" s="1">
        <v>45255</v>
      </c>
      <c r="K784" t="s">
        <v>578</v>
      </c>
      <c r="L784">
        <v>11</v>
      </c>
      <c r="M784">
        <v>2023</v>
      </c>
      <c r="N784">
        <f t="shared" si="12"/>
        <v>-40000</v>
      </c>
      <c r="O784" s="19">
        <f>IF(Table1_2[Tiền Nhập]&lt;&gt;0, Table1_2[Lợi Nhuận Gộp]/Table1_2[Tiền Nhập], 0)</f>
        <v>-0.22222222222222221</v>
      </c>
      <c r="P784">
        <f>IF(Table1_2[SL Xuất]&gt;0, Table1_2[Tiền Xuất]/Table1_2[SL Xuất], 0)</f>
        <v>8000</v>
      </c>
      <c r="Q784">
        <f>Table1_2[SL Xuất] - Table1_2[SL Xuất KM]</f>
        <v>40</v>
      </c>
    </row>
    <row r="785" spans="1:17" x14ac:dyDescent="0.25">
      <c r="A785">
        <v>784</v>
      </c>
      <c r="B785" t="s">
        <v>248</v>
      </c>
      <c r="C785" t="s">
        <v>249</v>
      </c>
      <c r="D785" t="s">
        <v>250</v>
      </c>
      <c r="E785">
        <v>114000</v>
      </c>
      <c r="F785">
        <v>0</v>
      </c>
      <c r="G785">
        <v>2</v>
      </c>
      <c r="H785">
        <v>140000</v>
      </c>
      <c r="I785">
        <v>26000</v>
      </c>
      <c r="J785" s="1">
        <v>45255</v>
      </c>
      <c r="K785" t="s">
        <v>578</v>
      </c>
      <c r="L785">
        <v>11</v>
      </c>
      <c r="M785">
        <v>2023</v>
      </c>
      <c r="N785">
        <f t="shared" si="12"/>
        <v>-88000</v>
      </c>
      <c r="O785" s="19">
        <f>IF(Table1_2[Tiền Nhập]&lt;&gt;0, Table1_2[Lợi Nhuận Gộp]/Table1_2[Tiền Nhập], 0)</f>
        <v>-0.77192982456140347</v>
      </c>
      <c r="P785">
        <f>IF(Table1_2[SL Xuất]&gt;0, Table1_2[Tiền Xuất]/Table1_2[SL Xuất], 0)</f>
        <v>70000</v>
      </c>
      <c r="Q785">
        <f>Table1_2[SL Xuất] - Table1_2[SL Xuất KM]</f>
        <v>2</v>
      </c>
    </row>
    <row r="786" spans="1:17" x14ac:dyDescent="0.25">
      <c r="A786">
        <v>785</v>
      </c>
      <c r="B786" t="s">
        <v>133</v>
      </c>
      <c r="C786" t="s">
        <v>134</v>
      </c>
      <c r="D786" t="s">
        <v>13</v>
      </c>
      <c r="E786">
        <v>200010</v>
      </c>
      <c r="F786">
        <v>0</v>
      </c>
      <c r="G786">
        <v>30</v>
      </c>
      <c r="H786">
        <v>210000</v>
      </c>
      <c r="I786">
        <v>9990</v>
      </c>
      <c r="J786" s="1">
        <v>45255</v>
      </c>
      <c r="K786" t="s">
        <v>578</v>
      </c>
      <c r="L786">
        <v>11</v>
      </c>
      <c r="M786">
        <v>2023</v>
      </c>
      <c r="N786">
        <f t="shared" si="12"/>
        <v>-190020</v>
      </c>
      <c r="O786" s="19">
        <f>IF(Table1_2[Tiền Nhập]&lt;&gt;0, Table1_2[Lợi Nhuận Gộp]/Table1_2[Tiền Nhập], 0)</f>
        <v>-0.9500524973751312</v>
      </c>
      <c r="P786">
        <f>IF(Table1_2[SL Xuất]&gt;0, Table1_2[Tiền Xuất]/Table1_2[SL Xuất], 0)</f>
        <v>7000</v>
      </c>
      <c r="Q786">
        <f>Table1_2[SL Xuất] - Table1_2[SL Xuất KM]</f>
        <v>30</v>
      </c>
    </row>
    <row r="787" spans="1:17" x14ac:dyDescent="0.25">
      <c r="A787">
        <v>786</v>
      </c>
      <c r="B787" t="s">
        <v>413</v>
      </c>
      <c r="C787" t="s">
        <v>414</v>
      </c>
      <c r="D787" t="s">
        <v>194</v>
      </c>
      <c r="E787">
        <v>126000</v>
      </c>
      <c r="F787">
        <v>2</v>
      </c>
      <c r="G787">
        <v>24</v>
      </c>
      <c r="H787">
        <v>144000</v>
      </c>
      <c r="I787">
        <v>18000</v>
      </c>
      <c r="J787" s="1">
        <v>45255</v>
      </c>
      <c r="K787" t="s">
        <v>578</v>
      </c>
      <c r="L787">
        <v>11</v>
      </c>
      <c r="M787">
        <v>2023</v>
      </c>
      <c r="N787">
        <f t="shared" si="12"/>
        <v>-108000</v>
      </c>
      <c r="O787" s="19">
        <f>IF(Table1_2[Tiền Nhập]&lt;&gt;0, Table1_2[Lợi Nhuận Gộp]/Table1_2[Tiền Nhập], 0)</f>
        <v>-0.8571428571428571</v>
      </c>
      <c r="P787">
        <f>IF(Table1_2[SL Xuất]&gt;0, Table1_2[Tiền Xuất]/Table1_2[SL Xuất], 0)</f>
        <v>6000</v>
      </c>
      <c r="Q787">
        <f>Table1_2[SL Xuất] - Table1_2[SL Xuất KM]</f>
        <v>22</v>
      </c>
    </row>
    <row r="788" spans="1:17" x14ac:dyDescent="0.25">
      <c r="A788">
        <v>787</v>
      </c>
      <c r="B788" t="s">
        <v>163</v>
      </c>
      <c r="C788" t="s">
        <v>164</v>
      </c>
      <c r="D788" t="s">
        <v>45</v>
      </c>
      <c r="E788">
        <v>620016</v>
      </c>
      <c r="F788">
        <v>4</v>
      </c>
      <c r="G788">
        <v>24</v>
      </c>
      <c r="H788">
        <v>762000</v>
      </c>
      <c r="I788">
        <v>141984</v>
      </c>
      <c r="J788" s="1">
        <v>45255</v>
      </c>
      <c r="K788" t="s">
        <v>451</v>
      </c>
      <c r="L788">
        <v>11</v>
      </c>
      <c r="M788">
        <v>2023</v>
      </c>
      <c r="N788">
        <f t="shared" si="12"/>
        <v>-478032</v>
      </c>
      <c r="O788" s="19">
        <f>IF(Table1_2[Tiền Nhập]&lt;&gt;0, Table1_2[Lợi Nhuận Gộp]/Table1_2[Tiền Nhập], 0)</f>
        <v>-0.77099945807850123</v>
      </c>
      <c r="P788">
        <f>IF(Table1_2[SL Xuất]&gt;0, Table1_2[Tiền Xuất]/Table1_2[SL Xuất], 0)</f>
        <v>31750</v>
      </c>
      <c r="Q788">
        <f>Table1_2[SL Xuất] - Table1_2[SL Xuất KM]</f>
        <v>20</v>
      </c>
    </row>
    <row r="789" spans="1:17" x14ac:dyDescent="0.25">
      <c r="A789">
        <v>788</v>
      </c>
      <c r="B789" t="s">
        <v>11</v>
      </c>
      <c r="C789" t="s">
        <v>12</v>
      </c>
      <c r="D789" t="s">
        <v>13</v>
      </c>
      <c r="E789">
        <v>345600</v>
      </c>
      <c r="F789">
        <v>4</v>
      </c>
      <c r="G789">
        <v>48</v>
      </c>
      <c r="H789">
        <v>536000</v>
      </c>
      <c r="I789">
        <v>190400</v>
      </c>
      <c r="J789" s="1">
        <v>45255</v>
      </c>
      <c r="K789" t="s">
        <v>206</v>
      </c>
      <c r="L789">
        <v>11</v>
      </c>
      <c r="M789">
        <v>2023</v>
      </c>
      <c r="N789">
        <f t="shared" si="12"/>
        <v>-155200</v>
      </c>
      <c r="O789" s="19">
        <f>IF(Table1_2[Tiền Nhập]&lt;&gt;0, Table1_2[Lợi Nhuận Gộp]/Table1_2[Tiền Nhập], 0)</f>
        <v>-0.44907407407407407</v>
      </c>
      <c r="P789">
        <f>IF(Table1_2[SL Xuất]&gt;0, Table1_2[Tiền Xuất]/Table1_2[SL Xuất], 0)</f>
        <v>11166.666666666666</v>
      </c>
      <c r="Q789">
        <f>Table1_2[SL Xuất] - Table1_2[SL Xuất KM]</f>
        <v>44</v>
      </c>
    </row>
    <row r="790" spans="1:17" x14ac:dyDescent="0.25">
      <c r="A790">
        <v>789</v>
      </c>
      <c r="B790" t="s">
        <v>1384</v>
      </c>
      <c r="C790" t="s">
        <v>1385</v>
      </c>
      <c r="D790" t="s">
        <v>85</v>
      </c>
      <c r="E790">
        <v>824040</v>
      </c>
      <c r="F790">
        <v>0</v>
      </c>
      <c r="G790">
        <v>10</v>
      </c>
      <c r="H790">
        <v>570000</v>
      </c>
      <c r="I790">
        <v>-254040</v>
      </c>
      <c r="J790" s="1">
        <v>45255</v>
      </c>
      <c r="K790" t="s">
        <v>50</v>
      </c>
      <c r="L790">
        <v>11</v>
      </c>
      <c r="M790">
        <v>2023</v>
      </c>
      <c r="N790">
        <f t="shared" si="12"/>
        <v>-1078080</v>
      </c>
      <c r="O790" s="19">
        <f>IF(Table1_2[Tiền Nhập]&lt;&gt;0, Table1_2[Lợi Nhuận Gộp]/Table1_2[Tiền Nhập], 0)</f>
        <v>-1.308286005533712</v>
      </c>
      <c r="P790">
        <f>IF(Table1_2[SL Xuất]&gt;0, Table1_2[Tiền Xuất]/Table1_2[SL Xuất], 0)</f>
        <v>57000</v>
      </c>
      <c r="Q790">
        <f>Table1_2[SL Xuất] - Table1_2[SL Xuất KM]</f>
        <v>10</v>
      </c>
    </row>
    <row r="791" spans="1:17" x14ac:dyDescent="0.25">
      <c r="A791">
        <v>790</v>
      </c>
      <c r="B791" t="s">
        <v>354</v>
      </c>
      <c r="C791" t="s">
        <v>355</v>
      </c>
      <c r="D791" t="s">
        <v>13</v>
      </c>
      <c r="E791">
        <v>35000</v>
      </c>
      <c r="F791">
        <v>0</v>
      </c>
      <c r="G791">
        <v>10</v>
      </c>
      <c r="H791">
        <v>65000</v>
      </c>
      <c r="I791">
        <v>30000</v>
      </c>
      <c r="J791" s="1">
        <v>45255</v>
      </c>
      <c r="K791" t="s">
        <v>483</v>
      </c>
      <c r="L791">
        <v>11</v>
      </c>
      <c r="M791">
        <v>2023</v>
      </c>
      <c r="N791">
        <f t="shared" si="12"/>
        <v>-5000</v>
      </c>
      <c r="O791" s="19">
        <f>IF(Table1_2[Tiền Nhập]&lt;&gt;0, Table1_2[Lợi Nhuận Gộp]/Table1_2[Tiền Nhập], 0)</f>
        <v>-0.14285714285714285</v>
      </c>
      <c r="P791">
        <f>IF(Table1_2[SL Xuất]&gt;0, Table1_2[Tiền Xuất]/Table1_2[SL Xuất], 0)</f>
        <v>6500</v>
      </c>
      <c r="Q791">
        <f>Table1_2[SL Xuất] - Table1_2[SL Xuất KM]</f>
        <v>10</v>
      </c>
    </row>
    <row r="792" spans="1:17" x14ac:dyDescent="0.25">
      <c r="A792">
        <v>791</v>
      </c>
      <c r="B792" t="s">
        <v>764</v>
      </c>
      <c r="C792" t="s">
        <v>765</v>
      </c>
      <c r="D792" t="s">
        <v>13</v>
      </c>
      <c r="E792">
        <v>25000</v>
      </c>
      <c r="F792">
        <v>0</v>
      </c>
      <c r="G792">
        <v>10</v>
      </c>
      <c r="H792">
        <v>40000</v>
      </c>
      <c r="I792">
        <v>15000</v>
      </c>
      <c r="J792" s="1">
        <v>45255</v>
      </c>
      <c r="K792" t="s">
        <v>483</v>
      </c>
      <c r="L792">
        <v>11</v>
      </c>
      <c r="M792">
        <v>2023</v>
      </c>
      <c r="N792">
        <f t="shared" si="12"/>
        <v>-10000</v>
      </c>
      <c r="O792" s="19">
        <f>IF(Table1_2[Tiền Nhập]&lt;&gt;0, Table1_2[Lợi Nhuận Gộp]/Table1_2[Tiền Nhập], 0)</f>
        <v>-0.4</v>
      </c>
      <c r="P792">
        <f>IF(Table1_2[SL Xuất]&gt;0, Table1_2[Tiền Xuất]/Table1_2[SL Xuất], 0)</f>
        <v>4000</v>
      </c>
      <c r="Q792">
        <f>Table1_2[SL Xuất] - Table1_2[SL Xuất KM]</f>
        <v>10</v>
      </c>
    </row>
    <row r="793" spans="1:17" x14ac:dyDescent="0.25">
      <c r="A793">
        <v>792</v>
      </c>
      <c r="B793" t="s">
        <v>491</v>
      </c>
      <c r="C793" t="s">
        <v>492</v>
      </c>
      <c r="D793" t="s">
        <v>88</v>
      </c>
      <c r="E793">
        <v>0</v>
      </c>
      <c r="F793">
        <v>0</v>
      </c>
      <c r="G793">
        <v>0</v>
      </c>
      <c r="H793">
        <v>0</v>
      </c>
      <c r="I793">
        <v>0</v>
      </c>
      <c r="J793" s="1">
        <v>45255</v>
      </c>
      <c r="K793" t="s">
        <v>483</v>
      </c>
      <c r="L793">
        <v>11</v>
      </c>
      <c r="M793">
        <v>2023</v>
      </c>
      <c r="N793">
        <f t="shared" si="12"/>
        <v>0</v>
      </c>
      <c r="O793" s="19">
        <f>IF(Table1_2[Tiền Nhập]&lt;&gt;0, Table1_2[Lợi Nhuận Gộp]/Table1_2[Tiền Nhập], 0)</f>
        <v>0</v>
      </c>
      <c r="P793">
        <f>IF(Table1_2[SL Xuất]&gt;0, Table1_2[Tiền Xuất]/Table1_2[SL Xuất], 0)</f>
        <v>0</v>
      </c>
      <c r="Q793">
        <f>Table1_2[SL Xuất] - Table1_2[SL Xuất KM]</f>
        <v>0</v>
      </c>
    </row>
    <row r="794" spans="1:17" x14ac:dyDescent="0.25">
      <c r="A794">
        <v>793</v>
      </c>
      <c r="B794" t="s">
        <v>256</v>
      </c>
      <c r="C794" t="s">
        <v>257</v>
      </c>
      <c r="D794" t="s">
        <v>88</v>
      </c>
      <c r="E794">
        <v>100000</v>
      </c>
      <c r="F794">
        <v>0</v>
      </c>
      <c r="G794">
        <v>1</v>
      </c>
      <c r="H794">
        <v>170000</v>
      </c>
      <c r="I794">
        <v>70000</v>
      </c>
      <c r="J794" s="1">
        <v>45255</v>
      </c>
      <c r="K794" t="s">
        <v>247</v>
      </c>
      <c r="L794">
        <v>11</v>
      </c>
      <c r="M794">
        <v>2023</v>
      </c>
      <c r="N794">
        <f t="shared" si="12"/>
        <v>-30000</v>
      </c>
      <c r="O794" s="19">
        <f>IF(Table1_2[Tiền Nhập]&lt;&gt;0, Table1_2[Lợi Nhuận Gộp]/Table1_2[Tiền Nhập], 0)</f>
        <v>-0.3</v>
      </c>
      <c r="P794">
        <f>IF(Table1_2[SL Xuất]&gt;0, Table1_2[Tiền Xuất]/Table1_2[SL Xuất], 0)</f>
        <v>170000</v>
      </c>
      <c r="Q794">
        <f>Table1_2[SL Xuất] - Table1_2[SL Xuất KM]</f>
        <v>1</v>
      </c>
    </row>
    <row r="795" spans="1:17" x14ac:dyDescent="0.25">
      <c r="A795">
        <v>794</v>
      </c>
      <c r="B795" t="s">
        <v>1388</v>
      </c>
      <c r="C795" t="s">
        <v>1389</v>
      </c>
      <c r="D795" t="s">
        <v>88</v>
      </c>
      <c r="E795">
        <v>253800</v>
      </c>
      <c r="F795">
        <v>0</v>
      </c>
      <c r="G795">
        <v>1</v>
      </c>
      <c r="H795">
        <v>243000</v>
      </c>
      <c r="I795">
        <v>-10800</v>
      </c>
      <c r="J795" s="1">
        <v>45255</v>
      </c>
      <c r="K795" t="s">
        <v>247</v>
      </c>
      <c r="L795">
        <v>11</v>
      </c>
      <c r="M795">
        <v>2023</v>
      </c>
      <c r="N795">
        <f t="shared" si="12"/>
        <v>-264600</v>
      </c>
      <c r="O795" s="19">
        <f>IF(Table1_2[Tiền Nhập]&lt;&gt;0, Table1_2[Lợi Nhuận Gộp]/Table1_2[Tiền Nhập], 0)</f>
        <v>-1.0425531914893618</v>
      </c>
      <c r="P795">
        <f>IF(Table1_2[SL Xuất]&gt;0, Table1_2[Tiền Xuất]/Table1_2[SL Xuất], 0)</f>
        <v>243000</v>
      </c>
      <c r="Q795">
        <f>Table1_2[SL Xuất] - Table1_2[SL Xuất KM]</f>
        <v>1</v>
      </c>
    </row>
    <row r="796" spans="1:17" x14ac:dyDescent="0.25">
      <c r="A796">
        <v>795</v>
      </c>
      <c r="B796" t="s">
        <v>248</v>
      </c>
      <c r="C796" t="s">
        <v>249</v>
      </c>
      <c r="D796" t="s">
        <v>250</v>
      </c>
      <c r="E796">
        <v>285000</v>
      </c>
      <c r="F796">
        <v>0</v>
      </c>
      <c r="G796">
        <v>5</v>
      </c>
      <c r="H796">
        <v>350000</v>
      </c>
      <c r="I796">
        <v>65000</v>
      </c>
      <c r="J796" s="1">
        <v>45255</v>
      </c>
      <c r="K796" t="s">
        <v>1394</v>
      </c>
      <c r="L796">
        <v>11</v>
      </c>
      <c r="M796">
        <v>2023</v>
      </c>
      <c r="N796">
        <f t="shared" si="12"/>
        <v>-220000</v>
      </c>
      <c r="O796" s="19">
        <f>IF(Table1_2[Tiền Nhập]&lt;&gt;0, Table1_2[Lợi Nhuận Gộp]/Table1_2[Tiền Nhập], 0)</f>
        <v>-0.77192982456140347</v>
      </c>
      <c r="P796">
        <f>IF(Table1_2[SL Xuất]&gt;0, Table1_2[Tiền Xuất]/Table1_2[SL Xuất], 0)</f>
        <v>70000</v>
      </c>
      <c r="Q796">
        <f>Table1_2[SL Xuất] - Table1_2[SL Xuất KM]</f>
        <v>5</v>
      </c>
    </row>
    <row r="797" spans="1:17" x14ac:dyDescent="0.25">
      <c r="A797">
        <v>796</v>
      </c>
      <c r="B797" t="s">
        <v>169</v>
      </c>
      <c r="C797" t="s">
        <v>170</v>
      </c>
      <c r="D797" t="s">
        <v>88</v>
      </c>
      <c r="E797">
        <v>1536000</v>
      </c>
      <c r="F797">
        <v>2</v>
      </c>
      <c r="G797">
        <v>8</v>
      </c>
      <c r="H797">
        <v>1536000</v>
      </c>
      <c r="I797">
        <v>0</v>
      </c>
      <c r="J797" s="1">
        <v>45255</v>
      </c>
      <c r="K797" t="s">
        <v>1394</v>
      </c>
      <c r="L797">
        <v>11</v>
      </c>
      <c r="M797">
        <v>2023</v>
      </c>
      <c r="N797">
        <f t="shared" si="12"/>
        <v>-1536000</v>
      </c>
      <c r="O797" s="19">
        <f>IF(Table1_2[Tiền Nhập]&lt;&gt;0, Table1_2[Lợi Nhuận Gộp]/Table1_2[Tiền Nhập], 0)</f>
        <v>-1</v>
      </c>
      <c r="P797">
        <f>IF(Table1_2[SL Xuất]&gt;0, Table1_2[Tiền Xuất]/Table1_2[SL Xuất], 0)</f>
        <v>192000</v>
      </c>
      <c r="Q797">
        <f>Table1_2[SL Xuất] - Table1_2[SL Xuất KM]</f>
        <v>6</v>
      </c>
    </row>
    <row r="798" spans="1:17" x14ac:dyDescent="0.25">
      <c r="A798">
        <v>797</v>
      </c>
      <c r="B798" t="s">
        <v>1396</v>
      </c>
      <c r="C798" t="s">
        <v>1397</v>
      </c>
      <c r="D798" t="s">
        <v>468</v>
      </c>
      <c r="E798">
        <v>0</v>
      </c>
      <c r="F798">
        <v>1</v>
      </c>
      <c r="G798">
        <v>0</v>
      </c>
      <c r="H798">
        <v>0</v>
      </c>
      <c r="I798">
        <v>0</v>
      </c>
      <c r="J798" s="1">
        <v>45255</v>
      </c>
      <c r="K798" t="s">
        <v>525</v>
      </c>
      <c r="L798">
        <v>11</v>
      </c>
      <c r="M798">
        <v>2023</v>
      </c>
      <c r="N798">
        <f t="shared" si="12"/>
        <v>0</v>
      </c>
      <c r="O798" s="19">
        <f>IF(Table1_2[Tiền Nhập]&lt;&gt;0, Table1_2[Lợi Nhuận Gộp]/Table1_2[Tiền Nhập], 0)</f>
        <v>0</v>
      </c>
      <c r="P798">
        <f>IF(Table1_2[SL Xuất]&gt;0, Table1_2[Tiền Xuất]/Table1_2[SL Xuất], 0)</f>
        <v>0</v>
      </c>
      <c r="Q798">
        <f>Table1_2[SL Xuất] - Table1_2[SL Xuất KM]</f>
        <v>-1</v>
      </c>
    </row>
    <row r="799" spans="1:17" x14ac:dyDescent="0.25">
      <c r="A799">
        <v>798</v>
      </c>
      <c r="B799" t="s">
        <v>1398</v>
      </c>
      <c r="C799" t="s">
        <v>1399</v>
      </c>
      <c r="D799" t="s">
        <v>13</v>
      </c>
      <c r="E799">
        <v>400000</v>
      </c>
      <c r="F799">
        <v>0</v>
      </c>
      <c r="G799">
        <v>40</v>
      </c>
      <c r="H799">
        <v>720000</v>
      </c>
      <c r="I799">
        <v>320000</v>
      </c>
      <c r="J799" s="1">
        <v>45255</v>
      </c>
      <c r="K799" t="s">
        <v>525</v>
      </c>
      <c r="L799">
        <v>11</v>
      </c>
      <c r="M799">
        <v>2023</v>
      </c>
      <c r="N799">
        <f t="shared" si="12"/>
        <v>-80000</v>
      </c>
      <c r="O799" s="19">
        <f>IF(Table1_2[Tiền Nhập]&lt;&gt;0, Table1_2[Lợi Nhuận Gộp]/Table1_2[Tiền Nhập], 0)</f>
        <v>-0.2</v>
      </c>
      <c r="P799">
        <f>IF(Table1_2[SL Xuất]&gt;0, Table1_2[Tiền Xuất]/Table1_2[SL Xuất], 0)</f>
        <v>18000</v>
      </c>
      <c r="Q799">
        <f>Table1_2[SL Xuất] - Table1_2[SL Xuất KM]</f>
        <v>40</v>
      </c>
    </row>
    <row r="800" spans="1:17" x14ac:dyDescent="0.25">
      <c r="A800">
        <v>799</v>
      </c>
      <c r="B800" t="s">
        <v>890</v>
      </c>
      <c r="C800" t="s">
        <v>891</v>
      </c>
      <c r="D800" t="s">
        <v>13</v>
      </c>
      <c r="E800">
        <v>230000</v>
      </c>
      <c r="F800">
        <v>0</v>
      </c>
      <c r="G800">
        <v>20</v>
      </c>
      <c r="H800">
        <v>360000</v>
      </c>
      <c r="I800">
        <v>130000</v>
      </c>
      <c r="J800" s="1">
        <v>45255</v>
      </c>
      <c r="K800" t="s">
        <v>525</v>
      </c>
      <c r="L800">
        <v>11</v>
      </c>
      <c r="M800">
        <v>2023</v>
      </c>
      <c r="N800">
        <f t="shared" si="12"/>
        <v>-100000</v>
      </c>
      <c r="O800" s="19">
        <f>IF(Table1_2[Tiền Nhập]&lt;&gt;0, Table1_2[Lợi Nhuận Gộp]/Table1_2[Tiền Nhập], 0)</f>
        <v>-0.43478260869565216</v>
      </c>
      <c r="P800">
        <f>IF(Table1_2[SL Xuất]&gt;0, Table1_2[Tiền Xuất]/Table1_2[SL Xuất], 0)</f>
        <v>18000</v>
      </c>
      <c r="Q800">
        <f>Table1_2[SL Xuất] - Table1_2[SL Xuất KM]</f>
        <v>20</v>
      </c>
    </row>
    <row r="801" spans="1:17" x14ac:dyDescent="0.25">
      <c r="A801">
        <v>800</v>
      </c>
      <c r="B801" t="s">
        <v>111</v>
      </c>
      <c r="C801" t="s">
        <v>112</v>
      </c>
      <c r="D801" t="s">
        <v>13</v>
      </c>
      <c r="E801">
        <v>231000</v>
      </c>
      <c r="F801">
        <v>0</v>
      </c>
      <c r="G801">
        <v>30</v>
      </c>
      <c r="H801">
        <v>300000</v>
      </c>
      <c r="I801">
        <v>69000</v>
      </c>
      <c r="J801" s="1">
        <v>45255</v>
      </c>
      <c r="K801" t="s">
        <v>1400</v>
      </c>
      <c r="L801">
        <v>11</v>
      </c>
      <c r="M801">
        <v>2023</v>
      </c>
      <c r="N801">
        <f t="shared" si="12"/>
        <v>-162000</v>
      </c>
      <c r="O801" s="19">
        <f>IF(Table1_2[Tiền Nhập]&lt;&gt;0, Table1_2[Lợi Nhuận Gộp]/Table1_2[Tiền Nhập], 0)</f>
        <v>-0.70129870129870131</v>
      </c>
      <c r="P801">
        <f>IF(Table1_2[SL Xuất]&gt;0, Table1_2[Tiền Xuất]/Table1_2[SL Xuất], 0)</f>
        <v>10000</v>
      </c>
      <c r="Q801">
        <f>Table1_2[SL Xuất] - Table1_2[SL Xuất KM]</f>
        <v>30</v>
      </c>
    </row>
    <row r="802" spans="1:17" x14ac:dyDescent="0.25">
      <c r="A802">
        <v>801</v>
      </c>
      <c r="B802" t="s">
        <v>1378</v>
      </c>
      <c r="C802" t="s">
        <v>1379</v>
      </c>
      <c r="D802" t="s">
        <v>88</v>
      </c>
      <c r="E802">
        <v>102000</v>
      </c>
      <c r="F802">
        <v>0</v>
      </c>
      <c r="G802">
        <v>6</v>
      </c>
      <c r="H802">
        <v>132000</v>
      </c>
      <c r="I802">
        <v>30000</v>
      </c>
      <c r="J802" s="1">
        <v>45255</v>
      </c>
      <c r="K802" t="s">
        <v>1068</v>
      </c>
      <c r="L802">
        <v>11</v>
      </c>
      <c r="M802">
        <v>2023</v>
      </c>
      <c r="N802">
        <f t="shared" si="12"/>
        <v>-72000</v>
      </c>
      <c r="O802" s="19">
        <f>IF(Table1_2[Tiền Nhập]&lt;&gt;0, Table1_2[Lợi Nhuận Gộp]/Table1_2[Tiền Nhập], 0)</f>
        <v>-0.70588235294117652</v>
      </c>
      <c r="P802">
        <f>IF(Table1_2[SL Xuất]&gt;0, Table1_2[Tiền Xuất]/Table1_2[SL Xuất], 0)</f>
        <v>22000</v>
      </c>
      <c r="Q802">
        <f>Table1_2[SL Xuất] - Table1_2[SL Xuất KM]</f>
        <v>6</v>
      </c>
    </row>
    <row r="803" spans="1:17" x14ac:dyDescent="0.25">
      <c r="A803">
        <v>802</v>
      </c>
      <c r="B803" t="s">
        <v>1380</v>
      </c>
      <c r="C803" t="s">
        <v>1381</v>
      </c>
      <c r="D803" t="s">
        <v>88</v>
      </c>
      <c r="E803">
        <v>102000</v>
      </c>
      <c r="F803">
        <v>0</v>
      </c>
      <c r="G803">
        <v>6</v>
      </c>
      <c r="H803">
        <v>132000</v>
      </c>
      <c r="I803">
        <v>30000</v>
      </c>
      <c r="J803" s="1">
        <v>45255</v>
      </c>
      <c r="K803" t="s">
        <v>1068</v>
      </c>
      <c r="L803">
        <v>11</v>
      </c>
      <c r="M803">
        <v>2023</v>
      </c>
      <c r="N803">
        <f t="shared" si="12"/>
        <v>-72000</v>
      </c>
      <c r="O803" s="19">
        <f>IF(Table1_2[Tiền Nhập]&lt;&gt;0, Table1_2[Lợi Nhuận Gộp]/Table1_2[Tiền Nhập], 0)</f>
        <v>-0.70588235294117652</v>
      </c>
      <c r="P803">
        <f>IF(Table1_2[SL Xuất]&gt;0, Table1_2[Tiền Xuất]/Table1_2[SL Xuất], 0)</f>
        <v>22000</v>
      </c>
      <c r="Q803">
        <f>Table1_2[SL Xuất] - Table1_2[SL Xuất KM]</f>
        <v>6</v>
      </c>
    </row>
    <row r="804" spans="1:17" x14ac:dyDescent="0.25">
      <c r="A804">
        <v>803</v>
      </c>
      <c r="B804" t="s">
        <v>1382</v>
      </c>
      <c r="C804" t="s">
        <v>1383</v>
      </c>
      <c r="D804" t="s">
        <v>88</v>
      </c>
      <c r="E804">
        <v>102000</v>
      </c>
      <c r="F804">
        <v>0</v>
      </c>
      <c r="G804">
        <v>6</v>
      </c>
      <c r="H804">
        <v>132000</v>
      </c>
      <c r="I804">
        <v>30000</v>
      </c>
      <c r="J804" s="1">
        <v>45255</v>
      </c>
      <c r="K804" t="s">
        <v>1068</v>
      </c>
      <c r="L804">
        <v>11</v>
      </c>
      <c r="M804">
        <v>2023</v>
      </c>
      <c r="N804">
        <f t="shared" si="12"/>
        <v>-72000</v>
      </c>
      <c r="O804" s="19">
        <f>IF(Table1_2[Tiền Nhập]&lt;&gt;0, Table1_2[Lợi Nhuận Gộp]/Table1_2[Tiền Nhập], 0)</f>
        <v>-0.70588235294117652</v>
      </c>
      <c r="P804">
        <f>IF(Table1_2[SL Xuất]&gt;0, Table1_2[Tiền Xuất]/Table1_2[SL Xuất], 0)</f>
        <v>22000</v>
      </c>
      <c r="Q804">
        <f>Table1_2[SL Xuất] - Table1_2[SL Xuất KM]</f>
        <v>6</v>
      </c>
    </row>
    <row r="805" spans="1:17" x14ac:dyDescent="0.25">
      <c r="A805">
        <v>804</v>
      </c>
      <c r="B805" t="s">
        <v>618</v>
      </c>
      <c r="C805" t="s">
        <v>619</v>
      </c>
      <c r="D805" t="s">
        <v>88</v>
      </c>
      <c r="E805">
        <v>42084</v>
      </c>
      <c r="F805">
        <v>0</v>
      </c>
      <c r="G805">
        <v>1</v>
      </c>
      <c r="H805">
        <v>48000</v>
      </c>
      <c r="I805">
        <v>5916</v>
      </c>
      <c r="J805" s="1">
        <v>45255</v>
      </c>
      <c r="K805" t="s">
        <v>1068</v>
      </c>
      <c r="L805">
        <v>11</v>
      </c>
      <c r="M805">
        <v>2023</v>
      </c>
      <c r="N805">
        <f t="shared" si="12"/>
        <v>-36168</v>
      </c>
      <c r="O805" s="19">
        <f>IF(Table1_2[Tiền Nhập]&lt;&gt;0, Table1_2[Lợi Nhuận Gộp]/Table1_2[Tiền Nhập], 0)</f>
        <v>-0.85942400912460792</v>
      </c>
      <c r="P805">
        <f>IF(Table1_2[SL Xuất]&gt;0, Table1_2[Tiền Xuất]/Table1_2[SL Xuất], 0)</f>
        <v>48000</v>
      </c>
      <c r="Q805">
        <f>Table1_2[SL Xuất] - Table1_2[SL Xuất KM]</f>
        <v>1</v>
      </c>
    </row>
    <row r="806" spans="1:17" x14ac:dyDescent="0.25">
      <c r="A806">
        <v>805</v>
      </c>
      <c r="B806" t="s">
        <v>287</v>
      </c>
      <c r="C806" t="s">
        <v>288</v>
      </c>
      <c r="D806" t="s">
        <v>88</v>
      </c>
      <c r="E806">
        <v>0</v>
      </c>
      <c r="F806">
        <v>0</v>
      </c>
      <c r="G806">
        <v>0</v>
      </c>
      <c r="H806">
        <v>0</v>
      </c>
      <c r="I806">
        <v>0</v>
      </c>
      <c r="J806" s="1">
        <v>45255</v>
      </c>
      <c r="K806" t="s">
        <v>1068</v>
      </c>
      <c r="L806">
        <v>11</v>
      </c>
      <c r="M806">
        <v>2023</v>
      </c>
      <c r="N806">
        <f t="shared" si="12"/>
        <v>0</v>
      </c>
      <c r="O806" s="19">
        <f>IF(Table1_2[Tiền Nhập]&lt;&gt;0, Table1_2[Lợi Nhuận Gộp]/Table1_2[Tiền Nhập], 0)</f>
        <v>0</v>
      </c>
      <c r="P806">
        <f>IF(Table1_2[SL Xuất]&gt;0, Table1_2[Tiền Xuất]/Table1_2[SL Xuất], 0)</f>
        <v>0</v>
      </c>
      <c r="Q806">
        <f>Table1_2[SL Xuất] - Table1_2[SL Xuất KM]</f>
        <v>0</v>
      </c>
    </row>
    <row r="807" spans="1:17" x14ac:dyDescent="0.25">
      <c r="A807">
        <v>806</v>
      </c>
      <c r="B807" t="s">
        <v>297</v>
      </c>
      <c r="C807" t="s">
        <v>298</v>
      </c>
      <c r="D807" t="s">
        <v>88</v>
      </c>
      <c r="E807">
        <v>0</v>
      </c>
      <c r="F807">
        <v>0</v>
      </c>
      <c r="G807">
        <v>0</v>
      </c>
      <c r="H807">
        <v>0</v>
      </c>
      <c r="I807">
        <v>0</v>
      </c>
      <c r="J807" s="1">
        <v>45255</v>
      </c>
      <c r="K807" t="s">
        <v>1068</v>
      </c>
      <c r="L807">
        <v>11</v>
      </c>
      <c r="M807">
        <v>2023</v>
      </c>
      <c r="N807">
        <f t="shared" si="12"/>
        <v>0</v>
      </c>
      <c r="O807" s="19">
        <f>IF(Table1_2[Tiền Nhập]&lt;&gt;0, Table1_2[Lợi Nhuận Gộp]/Table1_2[Tiền Nhập], 0)</f>
        <v>0</v>
      </c>
      <c r="P807">
        <f>IF(Table1_2[SL Xuất]&gt;0, Table1_2[Tiền Xuất]/Table1_2[SL Xuất], 0)</f>
        <v>0</v>
      </c>
      <c r="Q807">
        <f>Table1_2[SL Xuất] - Table1_2[SL Xuất KM]</f>
        <v>0</v>
      </c>
    </row>
    <row r="808" spans="1:17" x14ac:dyDescent="0.25">
      <c r="A808">
        <v>807</v>
      </c>
      <c r="B808" t="s">
        <v>1069</v>
      </c>
      <c r="C808" t="s">
        <v>1070</v>
      </c>
      <c r="D808" t="s">
        <v>88</v>
      </c>
      <c r="E808">
        <v>0</v>
      </c>
      <c r="F808">
        <v>3</v>
      </c>
      <c r="G808">
        <v>0</v>
      </c>
      <c r="H808">
        <v>-327000</v>
      </c>
      <c r="I808">
        <v>-327000</v>
      </c>
      <c r="J808" s="1">
        <v>45255</v>
      </c>
      <c r="K808" t="s">
        <v>285</v>
      </c>
      <c r="L808">
        <v>11</v>
      </c>
      <c r="M808">
        <v>2023</v>
      </c>
      <c r="N808">
        <f t="shared" si="12"/>
        <v>-327000</v>
      </c>
      <c r="O808" s="19">
        <f>IF(Table1_2[Tiền Nhập]&lt;&gt;0, Table1_2[Lợi Nhuận Gộp]/Table1_2[Tiền Nhập], 0)</f>
        <v>0</v>
      </c>
      <c r="P808">
        <f>IF(Table1_2[SL Xuất]&gt;0, Table1_2[Tiền Xuất]/Table1_2[SL Xuất], 0)</f>
        <v>0</v>
      </c>
      <c r="Q808">
        <f>Table1_2[SL Xuất] - Table1_2[SL Xuất KM]</f>
        <v>-3</v>
      </c>
    </row>
    <row r="809" spans="1:17" x14ac:dyDescent="0.25">
      <c r="A809">
        <v>808</v>
      </c>
      <c r="B809" t="s">
        <v>668</v>
      </c>
      <c r="C809" t="s">
        <v>669</v>
      </c>
      <c r="D809" t="s">
        <v>88</v>
      </c>
      <c r="E809">
        <v>780000</v>
      </c>
      <c r="F809">
        <v>0</v>
      </c>
      <c r="G809">
        <v>6</v>
      </c>
      <c r="H809">
        <v>1680000</v>
      </c>
      <c r="I809">
        <v>900000</v>
      </c>
      <c r="J809" s="1">
        <v>45255</v>
      </c>
      <c r="K809" t="s">
        <v>285</v>
      </c>
      <c r="L809">
        <v>11</v>
      </c>
      <c r="M809">
        <v>2023</v>
      </c>
      <c r="N809">
        <f t="shared" si="12"/>
        <v>120000</v>
      </c>
      <c r="O809" s="19">
        <f>IF(Table1_2[Tiền Nhập]&lt;&gt;0, Table1_2[Lợi Nhuận Gộp]/Table1_2[Tiền Nhập], 0)</f>
        <v>0.15384615384615385</v>
      </c>
      <c r="P809">
        <f>IF(Table1_2[SL Xuất]&gt;0, Table1_2[Tiền Xuất]/Table1_2[SL Xuất], 0)</f>
        <v>280000</v>
      </c>
      <c r="Q809">
        <f>Table1_2[SL Xuất] - Table1_2[SL Xuất KM]</f>
        <v>6</v>
      </c>
    </row>
    <row r="810" spans="1:17" x14ac:dyDescent="0.25">
      <c r="A810">
        <v>809</v>
      </c>
      <c r="B810" t="s">
        <v>1401</v>
      </c>
      <c r="C810" t="s">
        <v>1402</v>
      </c>
      <c r="D810" t="s">
        <v>369</v>
      </c>
      <c r="E810">
        <v>0</v>
      </c>
      <c r="F810">
        <v>0</v>
      </c>
      <c r="G810">
        <v>0</v>
      </c>
      <c r="H810">
        <v>0</v>
      </c>
      <c r="I810">
        <v>0</v>
      </c>
      <c r="J810" s="1">
        <v>45255</v>
      </c>
      <c r="K810" t="s">
        <v>1403</v>
      </c>
      <c r="L810">
        <v>11</v>
      </c>
      <c r="M810">
        <v>2023</v>
      </c>
      <c r="N810">
        <f t="shared" si="12"/>
        <v>0</v>
      </c>
      <c r="O810" s="19">
        <f>IF(Table1_2[Tiền Nhập]&lt;&gt;0, Table1_2[Lợi Nhuận Gộp]/Table1_2[Tiền Nhập], 0)</f>
        <v>0</v>
      </c>
      <c r="P810">
        <f>IF(Table1_2[SL Xuất]&gt;0, Table1_2[Tiền Xuất]/Table1_2[SL Xuất], 0)</f>
        <v>0</v>
      </c>
      <c r="Q810">
        <f>Table1_2[SL Xuất] - Table1_2[SL Xuất KM]</f>
        <v>0</v>
      </c>
    </row>
    <row r="811" spans="1:17" x14ac:dyDescent="0.25">
      <c r="A811">
        <v>810</v>
      </c>
      <c r="B811" t="s">
        <v>367</v>
      </c>
      <c r="C811" t="s">
        <v>368</v>
      </c>
      <c r="D811" t="s">
        <v>369</v>
      </c>
      <c r="E811">
        <v>326970</v>
      </c>
      <c r="F811">
        <v>0</v>
      </c>
      <c r="G811">
        <v>2</v>
      </c>
      <c r="H811">
        <v>378000</v>
      </c>
      <c r="I811">
        <v>51030</v>
      </c>
      <c r="J811" s="1">
        <v>45255</v>
      </c>
      <c r="K811" t="s">
        <v>1403</v>
      </c>
      <c r="L811">
        <v>11</v>
      </c>
      <c r="M811">
        <v>2023</v>
      </c>
      <c r="N811">
        <f t="shared" si="12"/>
        <v>-275940</v>
      </c>
      <c r="O811" s="19">
        <f>IF(Table1_2[Tiền Nhập]&lt;&gt;0, Table1_2[Lợi Nhuận Gộp]/Table1_2[Tiền Nhập], 0)</f>
        <v>-0.84393063583815031</v>
      </c>
      <c r="P811">
        <f>IF(Table1_2[SL Xuất]&gt;0, Table1_2[Tiền Xuất]/Table1_2[SL Xuất], 0)</f>
        <v>189000</v>
      </c>
      <c r="Q811">
        <f>Table1_2[SL Xuất] - Table1_2[SL Xuất KM]</f>
        <v>2</v>
      </c>
    </row>
    <row r="812" spans="1:17" x14ac:dyDescent="0.25">
      <c r="A812">
        <v>811</v>
      </c>
      <c r="B812" t="s">
        <v>1378</v>
      </c>
      <c r="C812" t="s">
        <v>1379</v>
      </c>
      <c r="D812" t="s">
        <v>88</v>
      </c>
      <c r="E812">
        <v>102000</v>
      </c>
      <c r="F812">
        <v>0</v>
      </c>
      <c r="G812">
        <v>6</v>
      </c>
      <c r="H812">
        <v>126000</v>
      </c>
      <c r="I812">
        <v>24000</v>
      </c>
      <c r="J812" s="1">
        <v>45255</v>
      </c>
      <c r="K812" t="s">
        <v>1406</v>
      </c>
      <c r="L812">
        <v>11</v>
      </c>
      <c r="M812">
        <v>2023</v>
      </c>
      <c r="N812">
        <f t="shared" si="12"/>
        <v>-78000</v>
      </c>
      <c r="O812" s="19">
        <f>IF(Table1_2[Tiền Nhập]&lt;&gt;0, Table1_2[Lợi Nhuận Gộp]/Table1_2[Tiền Nhập], 0)</f>
        <v>-0.76470588235294112</v>
      </c>
      <c r="P812">
        <f>IF(Table1_2[SL Xuất]&gt;0, Table1_2[Tiền Xuất]/Table1_2[SL Xuất], 0)</f>
        <v>21000</v>
      </c>
      <c r="Q812">
        <f>Table1_2[SL Xuất] - Table1_2[SL Xuất KM]</f>
        <v>6</v>
      </c>
    </row>
    <row r="813" spans="1:17" x14ac:dyDescent="0.25">
      <c r="A813">
        <v>812</v>
      </c>
      <c r="B813" t="s">
        <v>1380</v>
      </c>
      <c r="C813" t="s">
        <v>1381</v>
      </c>
      <c r="D813" t="s">
        <v>88</v>
      </c>
      <c r="E813">
        <v>102000</v>
      </c>
      <c r="F813">
        <v>0</v>
      </c>
      <c r="G813">
        <v>6</v>
      </c>
      <c r="H813">
        <v>126000</v>
      </c>
      <c r="I813">
        <v>24000</v>
      </c>
      <c r="J813" s="1">
        <v>45255</v>
      </c>
      <c r="K813" t="s">
        <v>1406</v>
      </c>
      <c r="L813">
        <v>11</v>
      </c>
      <c r="M813">
        <v>2023</v>
      </c>
      <c r="N813">
        <f t="shared" si="12"/>
        <v>-78000</v>
      </c>
      <c r="O813" s="19">
        <f>IF(Table1_2[Tiền Nhập]&lt;&gt;0, Table1_2[Lợi Nhuận Gộp]/Table1_2[Tiền Nhập], 0)</f>
        <v>-0.76470588235294112</v>
      </c>
      <c r="P813">
        <f>IF(Table1_2[SL Xuất]&gt;0, Table1_2[Tiền Xuất]/Table1_2[SL Xuất], 0)</f>
        <v>21000</v>
      </c>
      <c r="Q813">
        <f>Table1_2[SL Xuất] - Table1_2[SL Xuất KM]</f>
        <v>6</v>
      </c>
    </row>
    <row r="814" spans="1:17" x14ac:dyDescent="0.25">
      <c r="A814">
        <v>813</v>
      </c>
      <c r="B814" t="s">
        <v>1382</v>
      </c>
      <c r="C814" t="s">
        <v>1383</v>
      </c>
      <c r="D814" t="s">
        <v>88</v>
      </c>
      <c r="E814">
        <v>102000</v>
      </c>
      <c r="F814">
        <v>0</v>
      </c>
      <c r="G814">
        <v>6</v>
      </c>
      <c r="H814">
        <v>126000</v>
      </c>
      <c r="I814">
        <v>24000</v>
      </c>
      <c r="J814" s="1">
        <v>45255</v>
      </c>
      <c r="K814" t="s">
        <v>1406</v>
      </c>
      <c r="L814">
        <v>11</v>
      </c>
      <c r="M814">
        <v>2023</v>
      </c>
      <c r="N814">
        <f t="shared" si="12"/>
        <v>-78000</v>
      </c>
      <c r="O814" s="19">
        <f>IF(Table1_2[Tiền Nhập]&lt;&gt;0, Table1_2[Lợi Nhuận Gộp]/Table1_2[Tiền Nhập], 0)</f>
        <v>-0.76470588235294112</v>
      </c>
      <c r="P814">
        <f>IF(Table1_2[SL Xuất]&gt;0, Table1_2[Tiền Xuất]/Table1_2[SL Xuất], 0)</f>
        <v>21000</v>
      </c>
      <c r="Q814">
        <f>Table1_2[SL Xuất] - Table1_2[SL Xuất KM]</f>
        <v>6</v>
      </c>
    </row>
    <row r="815" spans="1:17" x14ac:dyDescent="0.25">
      <c r="A815">
        <v>814</v>
      </c>
      <c r="B815" t="s">
        <v>273</v>
      </c>
      <c r="C815" t="s">
        <v>274</v>
      </c>
      <c r="D815" t="s">
        <v>13</v>
      </c>
      <c r="E815">
        <v>270000</v>
      </c>
      <c r="F815">
        <v>0</v>
      </c>
      <c r="G815">
        <v>40</v>
      </c>
      <c r="H815">
        <v>320000</v>
      </c>
      <c r="I815">
        <v>50000</v>
      </c>
      <c r="J815" s="1">
        <v>45255</v>
      </c>
      <c r="K815" t="s">
        <v>1406</v>
      </c>
      <c r="L815">
        <v>11</v>
      </c>
      <c r="M815">
        <v>2023</v>
      </c>
      <c r="N815">
        <f t="shared" si="12"/>
        <v>-220000</v>
      </c>
      <c r="O815" s="19">
        <f>IF(Table1_2[Tiền Nhập]&lt;&gt;0, Table1_2[Lợi Nhuận Gộp]/Table1_2[Tiền Nhập], 0)</f>
        <v>-0.81481481481481477</v>
      </c>
      <c r="P815">
        <f>IF(Table1_2[SL Xuất]&gt;0, Table1_2[Tiền Xuất]/Table1_2[SL Xuất], 0)</f>
        <v>8000</v>
      </c>
      <c r="Q815">
        <f>Table1_2[SL Xuất] - Table1_2[SL Xuất KM]</f>
        <v>40</v>
      </c>
    </row>
    <row r="816" spans="1:17" x14ac:dyDescent="0.25">
      <c r="A816">
        <v>815</v>
      </c>
      <c r="B816" t="s">
        <v>67</v>
      </c>
      <c r="C816" t="s">
        <v>68</v>
      </c>
      <c r="D816" t="s">
        <v>13</v>
      </c>
      <c r="E816">
        <v>528000</v>
      </c>
      <c r="F816">
        <v>0</v>
      </c>
      <c r="G816">
        <v>48</v>
      </c>
      <c r="H816">
        <v>432000</v>
      </c>
      <c r="I816">
        <v>-96000</v>
      </c>
      <c r="J816" s="1">
        <v>45255</v>
      </c>
      <c r="K816" t="s">
        <v>1406</v>
      </c>
      <c r="L816">
        <v>11</v>
      </c>
      <c r="M816">
        <v>2023</v>
      </c>
      <c r="N816">
        <f t="shared" si="12"/>
        <v>-624000</v>
      </c>
      <c r="O816" s="19">
        <f>IF(Table1_2[Tiền Nhập]&lt;&gt;0, Table1_2[Lợi Nhuận Gộp]/Table1_2[Tiền Nhập], 0)</f>
        <v>-1.1818181818181819</v>
      </c>
      <c r="P816">
        <f>IF(Table1_2[SL Xuất]&gt;0, Table1_2[Tiền Xuất]/Table1_2[SL Xuất], 0)</f>
        <v>9000</v>
      </c>
      <c r="Q816">
        <f>Table1_2[SL Xuất] - Table1_2[SL Xuất KM]</f>
        <v>48</v>
      </c>
    </row>
    <row r="817" spans="1:17" x14ac:dyDescent="0.25">
      <c r="A817">
        <v>816</v>
      </c>
      <c r="B817" t="s">
        <v>259</v>
      </c>
      <c r="C817" t="s">
        <v>260</v>
      </c>
      <c r="D817" t="s">
        <v>88</v>
      </c>
      <c r="E817">
        <v>0</v>
      </c>
      <c r="F817">
        <v>0</v>
      </c>
      <c r="G817">
        <v>0</v>
      </c>
      <c r="H817">
        <v>0</v>
      </c>
      <c r="I817">
        <v>0</v>
      </c>
      <c r="J817" s="1">
        <v>45258</v>
      </c>
      <c r="K817" t="s">
        <v>1214</v>
      </c>
      <c r="L817">
        <v>11</v>
      </c>
      <c r="M817">
        <v>2023</v>
      </c>
      <c r="N817">
        <f t="shared" si="12"/>
        <v>0</v>
      </c>
      <c r="O817" s="19">
        <f>IF(Table1_2[Tiền Nhập]&lt;&gt;0, Table1_2[Lợi Nhuận Gộp]/Table1_2[Tiền Nhập], 0)</f>
        <v>0</v>
      </c>
      <c r="P817">
        <f>IF(Table1_2[SL Xuất]&gt;0, Table1_2[Tiền Xuất]/Table1_2[SL Xuất], 0)</f>
        <v>0</v>
      </c>
      <c r="Q817">
        <f>Table1_2[SL Xuất] - Table1_2[SL Xuất KM]</f>
        <v>0</v>
      </c>
    </row>
    <row r="818" spans="1:17" x14ac:dyDescent="0.25">
      <c r="A818">
        <v>817</v>
      </c>
      <c r="B818" t="s">
        <v>261</v>
      </c>
      <c r="C818" t="s">
        <v>262</v>
      </c>
      <c r="D818" t="s">
        <v>88</v>
      </c>
      <c r="E818">
        <v>0</v>
      </c>
      <c r="F818">
        <v>0</v>
      </c>
      <c r="G818">
        <v>0</v>
      </c>
      <c r="H818">
        <v>0</v>
      </c>
      <c r="I818">
        <v>0</v>
      </c>
      <c r="J818" s="1">
        <v>45258</v>
      </c>
      <c r="K818" t="s">
        <v>1214</v>
      </c>
      <c r="L818">
        <v>11</v>
      </c>
      <c r="M818">
        <v>2023</v>
      </c>
      <c r="N818">
        <f t="shared" si="12"/>
        <v>0</v>
      </c>
      <c r="O818" s="19">
        <f>IF(Table1_2[Tiền Nhập]&lt;&gt;0, Table1_2[Lợi Nhuận Gộp]/Table1_2[Tiền Nhập], 0)</f>
        <v>0</v>
      </c>
      <c r="P818">
        <f>IF(Table1_2[SL Xuất]&gt;0, Table1_2[Tiền Xuất]/Table1_2[SL Xuất], 0)</f>
        <v>0</v>
      </c>
      <c r="Q818">
        <f>Table1_2[SL Xuất] - Table1_2[SL Xuất KM]</f>
        <v>0</v>
      </c>
    </row>
    <row r="819" spans="1:17" x14ac:dyDescent="0.25">
      <c r="A819">
        <v>818</v>
      </c>
      <c r="B819" t="s">
        <v>1408</v>
      </c>
      <c r="C819" t="s">
        <v>1409</v>
      </c>
      <c r="D819" t="s">
        <v>13</v>
      </c>
      <c r="E819">
        <v>109250</v>
      </c>
      <c r="F819">
        <v>0</v>
      </c>
      <c r="G819">
        <v>5</v>
      </c>
      <c r="H819">
        <v>150000</v>
      </c>
      <c r="I819">
        <v>40750</v>
      </c>
      <c r="J819" s="1">
        <v>45260</v>
      </c>
      <c r="K819" t="s">
        <v>663</v>
      </c>
      <c r="L819">
        <v>11</v>
      </c>
      <c r="M819">
        <v>2023</v>
      </c>
      <c r="N819">
        <f t="shared" si="12"/>
        <v>-68500</v>
      </c>
      <c r="O819" s="19">
        <f>IF(Table1_2[Tiền Nhập]&lt;&gt;0, Table1_2[Lợi Nhuận Gộp]/Table1_2[Tiền Nhập], 0)</f>
        <v>-0.62700228832951943</v>
      </c>
      <c r="P819">
        <f>IF(Table1_2[SL Xuất]&gt;0, Table1_2[Tiền Xuất]/Table1_2[SL Xuất], 0)</f>
        <v>30000</v>
      </c>
      <c r="Q819">
        <f>Table1_2[SL Xuất] - Table1_2[SL Xuất KM]</f>
        <v>5</v>
      </c>
    </row>
    <row r="820" spans="1:17" x14ac:dyDescent="0.25">
      <c r="A820">
        <v>819</v>
      </c>
      <c r="B820" t="s">
        <v>1413</v>
      </c>
      <c r="C820" t="s">
        <v>1414</v>
      </c>
      <c r="D820" t="s">
        <v>13</v>
      </c>
      <c r="E820">
        <v>106750</v>
      </c>
      <c r="F820">
        <v>0</v>
      </c>
      <c r="G820">
        <v>5</v>
      </c>
      <c r="H820">
        <v>150000</v>
      </c>
      <c r="I820">
        <v>43250</v>
      </c>
      <c r="J820" s="1">
        <v>45260</v>
      </c>
      <c r="K820" t="s">
        <v>663</v>
      </c>
      <c r="L820">
        <v>11</v>
      </c>
      <c r="M820">
        <v>2023</v>
      </c>
      <c r="N820">
        <f t="shared" si="12"/>
        <v>-63500</v>
      </c>
      <c r="O820" s="19">
        <f>IF(Table1_2[Tiền Nhập]&lt;&gt;0, Table1_2[Lợi Nhuận Gộp]/Table1_2[Tiền Nhập], 0)</f>
        <v>-0.59484777517564402</v>
      </c>
      <c r="P820">
        <f>IF(Table1_2[SL Xuất]&gt;0, Table1_2[Tiền Xuất]/Table1_2[SL Xuất], 0)</f>
        <v>30000</v>
      </c>
      <c r="Q820">
        <f>Table1_2[SL Xuất] - Table1_2[SL Xuất KM]</f>
        <v>5</v>
      </c>
    </row>
    <row r="821" spans="1:17" x14ac:dyDescent="0.25">
      <c r="A821">
        <v>820</v>
      </c>
      <c r="B821" t="s">
        <v>1417</v>
      </c>
      <c r="C821" t="s">
        <v>1418</v>
      </c>
      <c r="D821" t="s">
        <v>13</v>
      </c>
      <c r="E821">
        <v>135000</v>
      </c>
      <c r="F821">
        <v>0</v>
      </c>
      <c r="G821">
        <v>5</v>
      </c>
      <c r="H821">
        <v>175000</v>
      </c>
      <c r="I821">
        <v>40000</v>
      </c>
      <c r="J821" s="1">
        <v>45260</v>
      </c>
      <c r="K821" t="s">
        <v>663</v>
      </c>
      <c r="L821">
        <v>11</v>
      </c>
      <c r="M821">
        <v>2023</v>
      </c>
      <c r="N821">
        <f t="shared" si="12"/>
        <v>-95000</v>
      </c>
      <c r="O821" s="19">
        <f>IF(Table1_2[Tiền Nhập]&lt;&gt;0, Table1_2[Lợi Nhuận Gộp]/Table1_2[Tiền Nhập], 0)</f>
        <v>-0.70370370370370372</v>
      </c>
      <c r="P821">
        <f>IF(Table1_2[SL Xuất]&gt;0, Table1_2[Tiền Xuất]/Table1_2[SL Xuất], 0)</f>
        <v>35000</v>
      </c>
      <c r="Q821">
        <f>Table1_2[SL Xuất] - Table1_2[SL Xuất KM]</f>
        <v>5</v>
      </c>
    </row>
    <row r="822" spans="1:17" x14ac:dyDescent="0.25">
      <c r="A822">
        <v>821</v>
      </c>
      <c r="B822" t="s">
        <v>281</v>
      </c>
      <c r="C822" t="s">
        <v>282</v>
      </c>
      <c r="D822" t="s">
        <v>85</v>
      </c>
      <c r="E822">
        <v>150000</v>
      </c>
      <c r="F822">
        <v>0</v>
      </c>
      <c r="G822">
        <v>4</v>
      </c>
      <c r="H822">
        <v>164000</v>
      </c>
      <c r="I822">
        <v>14000</v>
      </c>
      <c r="J822" s="1">
        <v>45260</v>
      </c>
      <c r="K822" t="s">
        <v>1420</v>
      </c>
      <c r="L822">
        <v>11</v>
      </c>
      <c r="M822">
        <v>2023</v>
      </c>
      <c r="N822">
        <f t="shared" si="12"/>
        <v>-136000</v>
      </c>
      <c r="O822" s="19">
        <f>IF(Table1_2[Tiền Nhập]&lt;&gt;0, Table1_2[Lợi Nhuận Gộp]/Table1_2[Tiền Nhập], 0)</f>
        <v>-0.90666666666666662</v>
      </c>
      <c r="P822">
        <f>IF(Table1_2[SL Xuất]&gt;0, Table1_2[Tiền Xuất]/Table1_2[SL Xuất], 0)</f>
        <v>41000</v>
      </c>
      <c r="Q822">
        <f>Table1_2[SL Xuất] - Table1_2[SL Xuất KM]</f>
        <v>4</v>
      </c>
    </row>
    <row r="823" spans="1:17" x14ac:dyDescent="0.25">
      <c r="A823">
        <v>822</v>
      </c>
      <c r="B823" t="s">
        <v>1408</v>
      </c>
      <c r="C823" t="s">
        <v>1409</v>
      </c>
      <c r="D823" t="s">
        <v>13</v>
      </c>
      <c r="E823">
        <v>109250</v>
      </c>
      <c r="F823">
        <v>0</v>
      </c>
      <c r="G823">
        <v>5</v>
      </c>
      <c r="H823">
        <v>140000</v>
      </c>
      <c r="I823">
        <v>30750</v>
      </c>
      <c r="J823" s="1">
        <v>45260</v>
      </c>
      <c r="K823" t="s">
        <v>1422</v>
      </c>
      <c r="L823">
        <v>11</v>
      </c>
      <c r="M823">
        <v>2023</v>
      </c>
      <c r="N823">
        <f t="shared" si="12"/>
        <v>-78500</v>
      </c>
      <c r="O823" s="19">
        <f>IF(Table1_2[Tiền Nhập]&lt;&gt;0, Table1_2[Lợi Nhuận Gộp]/Table1_2[Tiền Nhập], 0)</f>
        <v>-0.71853546910755151</v>
      </c>
      <c r="P823">
        <f>IF(Table1_2[SL Xuất]&gt;0, Table1_2[Tiền Xuất]/Table1_2[SL Xuất], 0)</f>
        <v>28000</v>
      </c>
      <c r="Q823">
        <f>Table1_2[SL Xuất] - Table1_2[SL Xuất KM]</f>
        <v>5</v>
      </c>
    </row>
    <row r="824" spans="1:17" x14ac:dyDescent="0.25">
      <c r="A824">
        <v>823</v>
      </c>
      <c r="B824" t="s">
        <v>1413</v>
      </c>
      <c r="C824" t="s">
        <v>1414</v>
      </c>
      <c r="D824" t="s">
        <v>13</v>
      </c>
      <c r="E824">
        <v>106750</v>
      </c>
      <c r="F824">
        <v>0</v>
      </c>
      <c r="G824">
        <v>5</v>
      </c>
      <c r="H824">
        <v>140000</v>
      </c>
      <c r="I824">
        <v>33250</v>
      </c>
      <c r="J824" s="1">
        <v>45260</v>
      </c>
      <c r="K824" t="s">
        <v>1422</v>
      </c>
      <c r="L824">
        <v>11</v>
      </c>
      <c r="M824">
        <v>2023</v>
      </c>
      <c r="N824">
        <f t="shared" si="12"/>
        <v>-73500</v>
      </c>
      <c r="O824" s="19">
        <f>IF(Table1_2[Tiền Nhập]&lt;&gt;0, Table1_2[Lợi Nhuận Gộp]/Table1_2[Tiền Nhập], 0)</f>
        <v>-0.68852459016393441</v>
      </c>
      <c r="P824">
        <f>IF(Table1_2[SL Xuất]&gt;0, Table1_2[Tiền Xuất]/Table1_2[SL Xuất], 0)</f>
        <v>28000</v>
      </c>
      <c r="Q824">
        <f>Table1_2[SL Xuất] - Table1_2[SL Xuất KM]</f>
        <v>5</v>
      </c>
    </row>
    <row r="825" spans="1:17" x14ac:dyDescent="0.25">
      <c r="A825">
        <v>824</v>
      </c>
      <c r="B825" t="s">
        <v>922</v>
      </c>
      <c r="C825" t="s">
        <v>923</v>
      </c>
      <c r="D825" t="s">
        <v>85</v>
      </c>
      <c r="E825">
        <v>260000</v>
      </c>
      <c r="F825">
        <v>0</v>
      </c>
      <c r="G825">
        <v>10</v>
      </c>
      <c r="H825">
        <v>240000</v>
      </c>
      <c r="I825">
        <v>-20000</v>
      </c>
      <c r="J825" s="1">
        <v>45260</v>
      </c>
      <c r="K825" t="s">
        <v>1422</v>
      </c>
      <c r="L825">
        <v>11</v>
      </c>
      <c r="M825">
        <v>2023</v>
      </c>
      <c r="N825">
        <f t="shared" si="12"/>
        <v>-280000</v>
      </c>
      <c r="O825" s="19">
        <f>IF(Table1_2[Tiền Nhập]&lt;&gt;0, Table1_2[Lợi Nhuận Gộp]/Table1_2[Tiền Nhập], 0)</f>
        <v>-1.0769230769230769</v>
      </c>
      <c r="P825">
        <f>IF(Table1_2[SL Xuất]&gt;0, Table1_2[Tiền Xuất]/Table1_2[SL Xuất], 0)</f>
        <v>24000</v>
      </c>
      <c r="Q825">
        <f>Table1_2[SL Xuất] - Table1_2[SL Xuất KM]</f>
        <v>10</v>
      </c>
    </row>
    <row r="826" spans="1:17" x14ac:dyDescent="0.25">
      <c r="A826">
        <v>825</v>
      </c>
      <c r="B826" t="s">
        <v>1417</v>
      </c>
      <c r="C826" t="s">
        <v>1418</v>
      </c>
      <c r="D826" t="s">
        <v>13</v>
      </c>
      <c r="E826">
        <v>0</v>
      </c>
      <c r="F826">
        <v>0</v>
      </c>
      <c r="G826">
        <v>0</v>
      </c>
      <c r="H826">
        <v>0</v>
      </c>
      <c r="I826">
        <v>0</v>
      </c>
      <c r="J826" s="1">
        <v>45260</v>
      </c>
      <c r="K826" t="s">
        <v>1422</v>
      </c>
      <c r="L826">
        <v>11</v>
      </c>
      <c r="M826">
        <v>2023</v>
      </c>
      <c r="N826">
        <f t="shared" si="12"/>
        <v>0</v>
      </c>
      <c r="O826" s="19">
        <f>IF(Table1_2[Tiền Nhập]&lt;&gt;0, Table1_2[Lợi Nhuận Gộp]/Table1_2[Tiền Nhập], 0)</f>
        <v>0</v>
      </c>
      <c r="P826">
        <f>IF(Table1_2[SL Xuất]&gt;0, Table1_2[Tiền Xuất]/Table1_2[SL Xuất], 0)</f>
        <v>0</v>
      </c>
      <c r="Q826">
        <f>Table1_2[SL Xuất] - Table1_2[SL Xuất KM]</f>
        <v>0</v>
      </c>
    </row>
    <row r="827" spans="1:17" x14ac:dyDescent="0.25">
      <c r="A827">
        <v>826</v>
      </c>
      <c r="B827" t="s">
        <v>111</v>
      </c>
      <c r="C827" t="s">
        <v>112</v>
      </c>
      <c r="D827" t="s">
        <v>13</v>
      </c>
      <c r="E827">
        <v>77000</v>
      </c>
      <c r="F827">
        <v>0</v>
      </c>
      <c r="G827">
        <v>10</v>
      </c>
      <c r="H827">
        <v>100000</v>
      </c>
      <c r="I827">
        <v>23000</v>
      </c>
      <c r="J827" s="1">
        <v>45260</v>
      </c>
      <c r="K827" t="s">
        <v>1424</v>
      </c>
      <c r="L827">
        <v>11</v>
      </c>
      <c r="M827">
        <v>2023</v>
      </c>
      <c r="N827">
        <f t="shared" si="12"/>
        <v>-54000</v>
      </c>
      <c r="O827" s="19">
        <f>IF(Table1_2[Tiền Nhập]&lt;&gt;0, Table1_2[Lợi Nhuận Gộp]/Table1_2[Tiền Nhập], 0)</f>
        <v>-0.70129870129870131</v>
      </c>
      <c r="P827">
        <f>IF(Table1_2[SL Xuất]&gt;0, Table1_2[Tiền Xuất]/Table1_2[SL Xuất], 0)</f>
        <v>10000</v>
      </c>
      <c r="Q827">
        <f>Table1_2[SL Xuất] - Table1_2[SL Xuất KM]</f>
        <v>10</v>
      </c>
    </row>
    <row r="828" spans="1:17" x14ac:dyDescent="0.25">
      <c r="A828">
        <v>827</v>
      </c>
      <c r="B828" t="s">
        <v>1408</v>
      </c>
      <c r="C828" t="s">
        <v>1409</v>
      </c>
      <c r="D828" t="s">
        <v>13</v>
      </c>
      <c r="E828">
        <v>43700</v>
      </c>
      <c r="F828">
        <v>0</v>
      </c>
      <c r="G828">
        <v>2</v>
      </c>
      <c r="H828">
        <v>56000</v>
      </c>
      <c r="I828">
        <v>12300</v>
      </c>
      <c r="J828" s="1">
        <v>45260</v>
      </c>
      <c r="K828" t="s">
        <v>1427</v>
      </c>
      <c r="L828">
        <v>11</v>
      </c>
      <c r="M828">
        <v>2023</v>
      </c>
      <c r="N828">
        <f t="shared" si="12"/>
        <v>-31400</v>
      </c>
      <c r="O828" s="19">
        <f>IF(Table1_2[Tiền Nhập]&lt;&gt;0, Table1_2[Lợi Nhuận Gộp]/Table1_2[Tiền Nhập], 0)</f>
        <v>-0.71853546910755151</v>
      </c>
      <c r="P828">
        <f>IF(Table1_2[SL Xuất]&gt;0, Table1_2[Tiền Xuất]/Table1_2[SL Xuất], 0)</f>
        <v>28000</v>
      </c>
      <c r="Q828">
        <f>Table1_2[SL Xuất] - Table1_2[SL Xuất KM]</f>
        <v>2</v>
      </c>
    </row>
    <row r="829" spans="1:17" x14ac:dyDescent="0.25">
      <c r="A829">
        <v>828</v>
      </c>
      <c r="B829" t="s">
        <v>1413</v>
      </c>
      <c r="C829" t="s">
        <v>1414</v>
      </c>
      <c r="D829" t="s">
        <v>13</v>
      </c>
      <c r="E829">
        <v>42700</v>
      </c>
      <c r="F829">
        <v>0</v>
      </c>
      <c r="G829">
        <v>2</v>
      </c>
      <c r="H829">
        <v>52000</v>
      </c>
      <c r="I829">
        <v>9300</v>
      </c>
      <c r="J829" s="1">
        <v>45260</v>
      </c>
      <c r="K829" t="s">
        <v>1427</v>
      </c>
      <c r="L829">
        <v>11</v>
      </c>
      <c r="M829">
        <v>2023</v>
      </c>
      <c r="N829">
        <f t="shared" si="12"/>
        <v>-33400</v>
      </c>
      <c r="O829" s="19">
        <f>IF(Table1_2[Tiền Nhập]&lt;&gt;0, Table1_2[Lợi Nhuận Gộp]/Table1_2[Tiền Nhập], 0)</f>
        <v>-0.7822014051522248</v>
      </c>
      <c r="P829">
        <f>IF(Table1_2[SL Xuất]&gt;0, Table1_2[Tiền Xuất]/Table1_2[SL Xuất], 0)</f>
        <v>26000</v>
      </c>
      <c r="Q829">
        <f>Table1_2[SL Xuất] - Table1_2[SL Xuất KM]</f>
        <v>2</v>
      </c>
    </row>
    <row r="830" spans="1:17" x14ac:dyDescent="0.25">
      <c r="A830">
        <v>829</v>
      </c>
      <c r="B830" t="s">
        <v>668</v>
      </c>
      <c r="C830" t="s">
        <v>669</v>
      </c>
      <c r="D830" t="s">
        <v>88</v>
      </c>
      <c r="E830">
        <v>0</v>
      </c>
      <c r="F830">
        <v>1</v>
      </c>
      <c r="G830">
        <v>0</v>
      </c>
      <c r="H830">
        <v>-130000</v>
      </c>
      <c r="I830">
        <v>-130000</v>
      </c>
      <c r="J830" s="1">
        <v>45260</v>
      </c>
      <c r="K830" t="s">
        <v>1427</v>
      </c>
      <c r="L830">
        <v>11</v>
      </c>
      <c r="M830">
        <v>2023</v>
      </c>
      <c r="N830">
        <f t="shared" si="12"/>
        <v>-130000</v>
      </c>
      <c r="O830" s="19">
        <f>IF(Table1_2[Tiền Nhập]&lt;&gt;0, Table1_2[Lợi Nhuận Gộp]/Table1_2[Tiền Nhập], 0)</f>
        <v>0</v>
      </c>
      <c r="P830">
        <f>IF(Table1_2[SL Xuất]&gt;0, Table1_2[Tiền Xuất]/Table1_2[SL Xuất], 0)</f>
        <v>0</v>
      </c>
      <c r="Q830">
        <f>Table1_2[SL Xuất] - Table1_2[SL Xuất KM]</f>
        <v>-1</v>
      </c>
    </row>
    <row r="831" spans="1:17" x14ac:dyDescent="0.25">
      <c r="A831">
        <v>830</v>
      </c>
      <c r="B831" t="s">
        <v>672</v>
      </c>
      <c r="C831" t="s">
        <v>673</v>
      </c>
      <c r="D831" t="s">
        <v>88</v>
      </c>
      <c r="E831">
        <v>260000</v>
      </c>
      <c r="F831">
        <v>0</v>
      </c>
      <c r="G831">
        <v>2</v>
      </c>
      <c r="H831">
        <v>560000</v>
      </c>
      <c r="I831">
        <v>300000</v>
      </c>
      <c r="J831" s="1">
        <v>45260</v>
      </c>
      <c r="K831" t="s">
        <v>1427</v>
      </c>
      <c r="L831">
        <v>11</v>
      </c>
      <c r="M831">
        <v>2023</v>
      </c>
      <c r="N831">
        <f t="shared" si="12"/>
        <v>40000</v>
      </c>
      <c r="O831" s="19">
        <f>IF(Table1_2[Tiền Nhập]&lt;&gt;0, Table1_2[Lợi Nhuận Gộp]/Table1_2[Tiền Nhập], 0)</f>
        <v>0.15384615384615385</v>
      </c>
      <c r="P831">
        <f>IF(Table1_2[SL Xuất]&gt;0, Table1_2[Tiền Xuất]/Table1_2[SL Xuất], 0)</f>
        <v>280000</v>
      </c>
      <c r="Q831">
        <f>Table1_2[SL Xuất] - Table1_2[SL Xuất KM]</f>
        <v>2</v>
      </c>
    </row>
    <row r="832" spans="1:17" x14ac:dyDescent="0.25">
      <c r="A832">
        <v>831</v>
      </c>
      <c r="B832" t="s">
        <v>1417</v>
      </c>
      <c r="C832" t="s">
        <v>1418</v>
      </c>
      <c r="D832" t="s">
        <v>13</v>
      </c>
      <c r="E832">
        <v>54000</v>
      </c>
      <c r="F832">
        <v>0</v>
      </c>
      <c r="G832">
        <v>2</v>
      </c>
      <c r="H832">
        <v>66000</v>
      </c>
      <c r="I832">
        <v>12000</v>
      </c>
      <c r="J832" s="1">
        <v>45260</v>
      </c>
      <c r="K832" t="s">
        <v>1427</v>
      </c>
      <c r="L832">
        <v>11</v>
      </c>
      <c r="M832">
        <v>2023</v>
      </c>
      <c r="N832">
        <f t="shared" si="12"/>
        <v>-42000</v>
      </c>
      <c r="O832" s="19">
        <f>IF(Table1_2[Tiền Nhập]&lt;&gt;0, Table1_2[Lợi Nhuận Gộp]/Table1_2[Tiền Nhập], 0)</f>
        <v>-0.77777777777777779</v>
      </c>
      <c r="P832">
        <f>IF(Table1_2[SL Xuất]&gt;0, Table1_2[Tiền Xuất]/Table1_2[SL Xuất], 0)</f>
        <v>33000</v>
      </c>
      <c r="Q832">
        <f>Table1_2[SL Xuất] - Table1_2[SL Xuất KM]</f>
        <v>2</v>
      </c>
    </row>
    <row r="833" spans="1:17" x14ac:dyDescent="0.25">
      <c r="A833">
        <v>832</v>
      </c>
      <c r="B833" t="s">
        <v>1408</v>
      </c>
      <c r="C833" t="s">
        <v>1409</v>
      </c>
      <c r="D833" t="s">
        <v>13</v>
      </c>
      <c r="E833">
        <v>109250</v>
      </c>
      <c r="F833">
        <v>0</v>
      </c>
      <c r="G833">
        <v>5</v>
      </c>
      <c r="H833">
        <v>140000</v>
      </c>
      <c r="I833">
        <v>30750</v>
      </c>
      <c r="J833" s="1">
        <v>45260</v>
      </c>
      <c r="K833" t="s">
        <v>1432</v>
      </c>
      <c r="L833">
        <v>11</v>
      </c>
      <c r="M833">
        <v>2023</v>
      </c>
      <c r="N833">
        <f t="shared" si="12"/>
        <v>-78500</v>
      </c>
      <c r="O833" s="19">
        <f>IF(Table1_2[Tiền Nhập]&lt;&gt;0, Table1_2[Lợi Nhuận Gộp]/Table1_2[Tiền Nhập], 0)</f>
        <v>-0.71853546910755151</v>
      </c>
      <c r="P833">
        <f>IF(Table1_2[SL Xuất]&gt;0, Table1_2[Tiền Xuất]/Table1_2[SL Xuất], 0)</f>
        <v>28000</v>
      </c>
      <c r="Q833">
        <f>Table1_2[SL Xuất] - Table1_2[SL Xuất KM]</f>
        <v>5</v>
      </c>
    </row>
    <row r="834" spans="1:17" x14ac:dyDescent="0.25">
      <c r="A834">
        <v>833</v>
      </c>
      <c r="B834" t="s">
        <v>1413</v>
      </c>
      <c r="C834" t="s">
        <v>1414</v>
      </c>
      <c r="D834" t="s">
        <v>13</v>
      </c>
      <c r="E834">
        <v>106750</v>
      </c>
      <c r="F834">
        <v>0</v>
      </c>
      <c r="G834">
        <v>5</v>
      </c>
      <c r="H834">
        <v>140000</v>
      </c>
      <c r="I834">
        <v>33250</v>
      </c>
      <c r="J834" s="1">
        <v>45260</v>
      </c>
      <c r="K834" t="s">
        <v>1432</v>
      </c>
      <c r="L834">
        <v>11</v>
      </c>
      <c r="M834">
        <v>2023</v>
      </c>
      <c r="N834">
        <f t="shared" ref="N834:N842" si="13">I834-E834</f>
        <v>-73500</v>
      </c>
      <c r="O834" s="19">
        <f>IF(Table1_2[Tiền Nhập]&lt;&gt;0, Table1_2[Lợi Nhuận Gộp]/Table1_2[Tiền Nhập], 0)</f>
        <v>-0.68852459016393441</v>
      </c>
      <c r="P834">
        <f>IF(Table1_2[SL Xuất]&gt;0, Table1_2[Tiền Xuất]/Table1_2[SL Xuất], 0)</f>
        <v>28000</v>
      </c>
      <c r="Q834">
        <f>Table1_2[SL Xuất] - Table1_2[SL Xuất KM]</f>
        <v>5</v>
      </c>
    </row>
    <row r="835" spans="1:17" x14ac:dyDescent="0.25">
      <c r="A835">
        <v>834</v>
      </c>
      <c r="B835" t="s">
        <v>1417</v>
      </c>
      <c r="C835" t="s">
        <v>1418</v>
      </c>
      <c r="D835" t="s">
        <v>13</v>
      </c>
      <c r="E835">
        <v>135000</v>
      </c>
      <c r="F835">
        <v>0</v>
      </c>
      <c r="G835">
        <v>5</v>
      </c>
      <c r="H835">
        <v>165000</v>
      </c>
      <c r="I835">
        <v>30000</v>
      </c>
      <c r="J835" s="1">
        <v>45260</v>
      </c>
      <c r="K835" t="s">
        <v>1432</v>
      </c>
      <c r="L835">
        <v>11</v>
      </c>
      <c r="M835">
        <v>2023</v>
      </c>
      <c r="N835">
        <f t="shared" si="13"/>
        <v>-105000</v>
      </c>
      <c r="O835" s="19">
        <f>IF(Table1_2[Tiền Nhập]&lt;&gt;0, Table1_2[Lợi Nhuận Gộp]/Table1_2[Tiền Nhập], 0)</f>
        <v>-0.77777777777777779</v>
      </c>
      <c r="P835">
        <f>IF(Table1_2[SL Xuất]&gt;0, Table1_2[Tiền Xuất]/Table1_2[SL Xuất], 0)</f>
        <v>33000</v>
      </c>
      <c r="Q835">
        <f>Table1_2[SL Xuất] - Table1_2[SL Xuất KM]</f>
        <v>5</v>
      </c>
    </row>
    <row r="836" spans="1:17" x14ac:dyDescent="0.25">
      <c r="A836">
        <v>835</v>
      </c>
      <c r="B836" t="s">
        <v>1315</v>
      </c>
      <c r="C836" t="s">
        <v>1316</v>
      </c>
      <c r="D836" t="s">
        <v>88</v>
      </c>
      <c r="E836">
        <v>0</v>
      </c>
      <c r="F836">
        <v>0</v>
      </c>
      <c r="G836">
        <v>0</v>
      </c>
      <c r="H836">
        <v>0</v>
      </c>
      <c r="I836">
        <v>0</v>
      </c>
      <c r="J836" s="1">
        <v>45260</v>
      </c>
      <c r="K836" t="s">
        <v>1361</v>
      </c>
      <c r="L836">
        <v>11</v>
      </c>
      <c r="M836">
        <v>2023</v>
      </c>
      <c r="N836">
        <f t="shared" si="13"/>
        <v>0</v>
      </c>
      <c r="O836" s="19">
        <f>IF(Table1_2[Tiền Nhập]&lt;&gt;0, Table1_2[Lợi Nhuận Gộp]/Table1_2[Tiền Nhập], 0)</f>
        <v>0</v>
      </c>
      <c r="P836">
        <f>IF(Table1_2[SL Xuất]&gt;0, Table1_2[Tiền Xuất]/Table1_2[SL Xuất], 0)</f>
        <v>0</v>
      </c>
      <c r="Q836">
        <f>Table1_2[SL Xuất] - Table1_2[SL Xuất KM]</f>
        <v>0</v>
      </c>
    </row>
    <row r="837" spans="1:17" x14ac:dyDescent="0.25">
      <c r="A837">
        <v>836</v>
      </c>
      <c r="B837" t="s">
        <v>1359</v>
      </c>
      <c r="C837" t="s">
        <v>1360</v>
      </c>
      <c r="D837" t="s">
        <v>88</v>
      </c>
      <c r="E837">
        <v>0</v>
      </c>
      <c r="F837">
        <v>0</v>
      </c>
      <c r="G837">
        <v>0</v>
      </c>
      <c r="H837">
        <v>0</v>
      </c>
      <c r="I837">
        <v>0</v>
      </c>
      <c r="J837" s="1">
        <v>45260</v>
      </c>
      <c r="K837" t="s">
        <v>1361</v>
      </c>
      <c r="L837">
        <v>11</v>
      </c>
      <c r="M837">
        <v>2023</v>
      </c>
      <c r="N837">
        <f t="shared" si="13"/>
        <v>0</v>
      </c>
      <c r="O837" s="19">
        <f>IF(Table1_2[Tiền Nhập]&lt;&gt;0, Table1_2[Lợi Nhuận Gộp]/Table1_2[Tiền Nhập], 0)</f>
        <v>0</v>
      </c>
      <c r="P837">
        <f>IF(Table1_2[SL Xuất]&gt;0, Table1_2[Tiền Xuất]/Table1_2[SL Xuất], 0)</f>
        <v>0</v>
      </c>
      <c r="Q837">
        <f>Table1_2[SL Xuất] - Table1_2[SL Xuất KM]</f>
        <v>0</v>
      </c>
    </row>
    <row r="838" spans="1:17" x14ac:dyDescent="0.25">
      <c r="A838">
        <v>837</v>
      </c>
      <c r="B838" t="s">
        <v>1408</v>
      </c>
      <c r="C838" t="s">
        <v>1409</v>
      </c>
      <c r="D838" t="s">
        <v>13</v>
      </c>
      <c r="E838">
        <v>43700</v>
      </c>
      <c r="F838">
        <v>0</v>
      </c>
      <c r="G838">
        <v>2</v>
      </c>
      <c r="H838">
        <v>60000</v>
      </c>
      <c r="I838">
        <v>16300</v>
      </c>
      <c r="J838" s="1">
        <v>45260</v>
      </c>
      <c r="K838" t="s">
        <v>1434</v>
      </c>
      <c r="L838">
        <v>11</v>
      </c>
      <c r="M838">
        <v>2023</v>
      </c>
      <c r="N838">
        <f t="shared" si="13"/>
        <v>-27400</v>
      </c>
      <c r="O838" s="19">
        <f>IF(Table1_2[Tiền Nhập]&lt;&gt;0, Table1_2[Lợi Nhuận Gộp]/Table1_2[Tiền Nhập], 0)</f>
        <v>-0.62700228832951943</v>
      </c>
      <c r="P838">
        <f>IF(Table1_2[SL Xuất]&gt;0, Table1_2[Tiền Xuất]/Table1_2[SL Xuất], 0)</f>
        <v>30000</v>
      </c>
      <c r="Q838">
        <f>Table1_2[SL Xuất] - Table1_2[SL Xuất KM]</f>
        <v>2</v>
      </c>
    </row>
    <row r="839" spans="1:17" x14ac:dyDescent="0.25">
      <c r="A839">
        <v>838</v>
      </c>
      <c r="B839" t="s">
        <v>922</v>
      </c>
      <c r="C839" t="s">
        <v>923</v>
      </c>
      <c r="D839" t="s">
        <v>85</v>
      </c>
      <c r="E839">
        <v>260000</v>
      </c>
      <c r="F839">
        <v>0</v>
      </c>
      <c r="G839">
        <v>10</v>
      </c>
      <c r="H839">
        <v>230000</v>
      </c>
      <c r="I839">
        <v>-30000</v>
      </c>
      <c r="J839" s="1">
        <v>45260</v>
      </c>
      <c r="K839" t="s">
        <v>1434</v>
      </c>
      <c r="L839">
        <v>11</v>
      </c>
      <c r="M839">
        <v>2023</v>
      </c>
      <c r="N839">
        <f t="shared" si="13"/>
        <v>-290000</v>
      </c>
      <c r="O839" s="19">
        <f>IF(Table1_2[Tiền Nhập]&lt;&gt;0, Table1_2[Lợi Nhuận Gộp]/Table1_2[Tiền Nhập], 0)</f>
        <v>-1.1153846153846154</v>
      </c>
      <c r="P839">
        <f>IF(Table1_2[SL Xuất]&gt;0, Table1_2[Tiền Xuất]/Table1_2[SL Xuất], 0)</f>
        <v>23000</v>
      </c>
      <c r="Q839">
        <f>Table1_2[SL Xuất] - Table1_2[SL Xuất KM]</f>
        <v>10</v>
      </c>
    </row>
    <row r="840" spans="1:17" x14ac:dyDescent="0.25">
      <c r="A840">
        <v>839</v>
      </c>
      <c r="B840" t="s">
        <v>926</v>
      </c>
      <c r="C840" t="s">
        <v>927</v>
      </c>
      <c r="D840" t="s">
        <v>85</v>
      </c>
      <c r="E840">
        <v>245000</v>
      </c>
      <c r="F840">
        <v>0</v>
      </c>
      <c r="G840">
        <v>10</v>
      </c>
      <c r="H840">
        <v>230000</v>
      </c>
      <c r="I840">
        <v>-15000</v>
      </c>
      <c r="J840" s="1">
        <v>45260</v>
      </c>
      <c r="K840" t="s">
        <v>1434</v>
      </c>
      <c r="L840">
        <v>11</v>
      </c>
      <c r="M840">
        <v>2023</v>
      </c>
      <c r="N840">
        <f t="shared" si="13"/>
        <v>-260000</v>
      </c>
      <c r="O840" s="19">
        <f>IF(Table1_2[Tiền Nhập]&lt;&gt;0, Table1_2[Lợi Nhuận Gộp]/Table1_2[Tiền Nhập], 0)</f>
        <v>-1.0612244897959184</v>
      </c>
      <c r="P840">
        <f>IF(Table1_2[SL Xuất]&gt;0, Table1_2[Tiền Xuất]/Table1_2[SL Xuất], 0)</f>
        <v>23000</v>
      </c>
      <c r="Q840">
        <f>Table1_2[SL Xuất] - Table1_2[SL Xuất KM]</f>
        <v>10</v>
      </c>
    </row>
    <row r="841" spans="1:17" x14ac:dyDescent="0.25">
      <c r="A841">
        <v>840</v>
      </c>
      <c r="B841" t="s">
        <v>479</v>
      </c>
      <c r="C841" t="s">
        <v>480</v>
      </c>
      <c r="D841" t="s">
        <v>45</v>
      </c>
      <c r="E841">
        <v>150000</v>
      </c>
      <c r="F841">
        <v>0</v>
      </c>
      <c r="G841">
        <v>6</v>
      </c>
      <c r="H841">
        <v>192000</v>
      </c>
      <c r="I841">
        <v>42000</v>
      </c>
      <c r="J841" s="1">
        <v>45260</v>
      </c>
      <c r="K841" t="s">
        <v>1434</v>
      </c>
      <c r="L841">
        <v>11</v>
      </c>
      <c r="M841">
        <v>2023</v>
      </c>
      <c r="N841">
        <f t="shared" si="13"/>
        <v>-108000</v>
      </c>
      <c r="O841" s="19">
        <f>IF(Table1_2[Tiền Nhập]&lt;&gt;0, Table1_2[Lợi Nhuận Gộp]/Table1_2[Tiền Nhập], 0)</f>
        <v>-0.72</v>
      </c>
      <c r="P841">
        <f>IF(Table1_2[SL Xuất]&gt;0, Table1_2[Tiền Xuất]/Table1_2[SL Xuất], 0)</f>
        <v>32000</v>
      </c>
      <c r="Q841">
        <f>Table1_2[SL Xuất] - Table1_2[SL Xuất KM]</f>
        <v>6</v>
      </c>
    </row>
    <row r="842" spans="1:17" x14ac:dyDescent="0.25">
      <c r="A842">
        <v>841</v>
      </c>
      <c r="B842" t="s">
        <v>1417</v>
      </c>
      <c r="C842" t="s">
        <v>1418</v>
      </c>
      <c r="D842" t="s">
        <v>13</v>
      </c>
      <c r="E842">
        <v>54000</v>
      </c>
      <c r="F842">
        <v>0</v>
      </c>
      <c r="G842">
        <v>2</v>
      </c>
      <c r="H842">
        <v>70000</v>
      </c>
      <c r="I842">
        <v>16000</v>
      </c>
      <c r="J842" s="1">
        <v>45260</v>
      </c>
      <c r="K842" t="s">
        <v>1434</v>
      </c>
      <c r="L842">
        <v>11</v>
      </c>
      <c r="M842">
        <v>2023</v>
      </c>
      <c r="N842">
        <f t="shared" si="13"/>
        <v>-38000</v>
      </c>
      <c r="O842" s="19">
        <f>IF(Table1_2[Tiền Nhập]&lt;&gt;0, Table1_2[Lợi Nhuận Gộp]/Table1_2[Tiền Nhập], 0)</f>
        <v>-0.70370370370370372</v>
      </c>
      <c r="P842">
        <f>IF(Table1_2[SL Xuất]&gt;0, Table1_2[Tiền Xuất]/Table1_2[SL Xuất], 0)</f>
        <v>35000</v>
      </c>
      <c r="Q842">
        <f>Table1_2[SL Xuất] - Table1_2[SL Xuất KM]</f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1AD0-F960-4D5F-B6D3-BF092DE98FFD}">
  <dimension ref="A4:Y47"/>
  <sheetViews>
    <sheetView showGridLines="0" showRowColHeaders="0" workbookViewId="0">
      <selection activeCell="T13" sqref="T13"/>
    </sheetView>
  </sheetViews>
  <sheetFormatPr defaultRowHeight="13.2" x14ac:dyDescent="0.25"/>
  <cols>
    <col min="1" max="1" width="2" style="3" customWidth="1"/>
    <col min="23" max="23" width="19.5546875" customWidth="1"/>
    <col min="24" max="25" width="8.88671875" style="3"/>
  </cols>
  <sheetData>
    <row r="4" spans="1:25" s="2" customFormat="1" ht="8.25" customHeight="1" x14ac:dyDescent="0.25">
      <c r="A4" s="3"/>
      <c r="X4" s="3"/>
      <c r="Y4" s="3"/>
    </row>
    <row r="5" spans="1:25" s="2" customFormat="1" x14ac:dyDescent="0.25">
      <c r="A5" s="3"/>
      <c r="X5" s="3"/>
      <c r="Y5" s="3"/>
    </row>
    <row r="6" spans="1:25" s="2" customFormat="1" x14ac:dyDescent="0.25">
      <c r="A6" s="3"/>
      <c r="X6" s="3"/>
      <c r="Y6" s="3"/>
    </row>
    <row r="7" spans="1:25" s="2" customFormat="1" x14ac:dyDescent="0.25">
      <c r="A7" s="3"/>
      <c r="X7" s="3"/>
      <c r="Y7" s="3"/>
    </row>
    <row r="8" spans="1:25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5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5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5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5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5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5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5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5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2:23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2:23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2:23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2:23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2:23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2:23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2:23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2:23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2:23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2:23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2:23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2:23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2:23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2:23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2:23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2:23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2:23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2:23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2:23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2:23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2:23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2:23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2:23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D4D8-BB73-48C0-8242-2AA044885469}">
  <dimension ref="A3:E7"/>
  <sheetViews>
    <sheetView workbookViewId="0">
      <selection activeCell="F19" sqref="F19"/>
    </sheetView>
  </sheetViews>
  <sheetFormatPr defaultRowHeight="13.2" x14ac:dyDescent="0.25"/>
  <cols>
    <col min="1" max="1" width="10.33203125" bestFit="1" customWidth="1"/>
    <col min="2" max="2" width="14.5546875" bestFit="1" customWidth="1"/>
    <col min="3" max="3" width="18.109375" bestFit="1" customWidth="1"/>
    <col min="4" max="4" width="21.5546875" bestFit="1" customWidth="1"/>
    <col min="5" max="5" width="16.88671875" bestFit="1" customWidth="1"/>
  </cols>
  <sheetData>
    <row r="3" spans="1:5" x14ac:dyDescent="0.25">
      <c r="A3" s="6"/>
      <c r="B3" s="9" t="s">
        <v>1439</v>
      </c>
      <c r="C3" s="7"/>
      <c r="D3" s="7"/>
      <c r="E3" s="8"/>
    </row>
    <row r="4" spans="1:5" x14ac:dyDescent="0.25">
      <c r="A4" s="9" t="s">
        <v>1437</v>
      </c>
      <c r="B4" s="6" t="s">
        <v>1441</v>
      </c>
      <c r="C4" s="15" t="s">
        <v>1446</v>
      </c>
      <c r="D4" s="20" t="s">
        <v>1447</v>
      </c>
      <c r="E4" s="11" t="s">
        <v>1448</v>
      </c>
    </row>
    <row r="5" spans="1:5" x14ac:dyDescent="0.25">
      <c r="A5" s="6">
        <v>9</v>
      </c>
      <c r="B5" s="6">
        <v>10804737</v>
      </c>
      <c r="C5" s="15">
        <v>-54481766</v>
      </c>
      <c r="D5" s="20">
        <v>-0.55992159274923836</v>
      </c>
      <c r="E5" s="11">
        <v>3978</v>
      </c>
    </row>
    <row r="6" spans="1:5" x14ac:dyDescent="0.25">
      <c r="A6" s="13">
        <v>10</v>
      </c>
      <c r="B6" s="13">
        <v>-1390651</v>
      </c>
      <c r="C6">
        <v>-68093318</v>
      </c>
      <c r="D6" s="19">
        <v>-0.67001655601235222</v>
      </c>
      <c r="E6" s="14">
        <v>2938</v>
      </c>
    </row>
    <row r="7" spans="1:5" x14ac:dyDescent="0.25">
      <c r="A7" s="10" t="s">
        <v>1440</v>
      </c>
      <c r="B7" s="10">
        <v>9414086</v>
      </c>
      <c r="C7" s="16">
        <v>-122575084</v>
      </c>
      <c r="D7" s="21">
        <v>-0.61431113635332701</v>
      </c>
      <c r="E7" s="12">
        <v>6916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51D0C-B4F8-455F-916A-367179652A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Sheet9</vt:lpstr>
      <vt:lpstr>Refined Data</vt:lpstr>
      <vt:lpstr>Dashboard</vt:lpstr>
      <vt:lpstr>Analyst</vt:lpstr>
      <vt:lpstr>PVData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 Cường</dc:creator>
  <cp:lastModifiedBy>dang5thuy@gmail.com</cp:lastModifiedBy>
  <dcterms:created xsi:type="dcterms:W3CDTF">2023-12-12T14:05:08Z</dcterms:created>
  <dcterms:modified xsi:type="dcterms:W3CDTF">2026-04-18T12:06:47Z</dcterms:modified>
</cp:coreProperties>
</file>