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OneDrive\Máy tính\VTI\"/>
    </mc:Choice>
  </mc:AlternateContent>
  <xr:revisionPtr revIDLastSave="0" documentId="13_ncr:1_{FBF6860D-CC8A-47CA-A358-3B1529B08594}" xr6:coauthVersionLast="47" xr6:coauthVersionMax="47" xr10:uidLastSave="{00000000-0000-0000-0000-000000000000}"/>
  <bookViews>
    <workbookView xWindow="-288" yWindow="2496" windowWidth="17280" windowHeight="8964" xr2:uid="{00000000-000D-0000-FFFF-FFFF00000000}"/>
  </bookViews>
  <sheets>
    <sheet name="Customer Dashboard" sheetId="10" r:id="rId1"/>
    <sheet name="Product Dashboard" sheetId="11" r:id="rId2"/>
    <sheet name="Strategic Insights" sheetId="12" r:id="rId3"/>
    <sheet name="Data Model" sheetId="1" r:id="rId4"/>
    <sheet name="Product Pivot" sheetId="8" r:id="rId5"/>
    <sheet name="Customer Pivot" sheetId="9" r:id="rId6"/>
    <sheet name="RFM Table" sheetId="2" r:id="rId7"/>
    <sheet name="Pivot Khách Hàng" sheetId="3" r:id="rId8"/>
    <sheet name="Segment Overview" sheetId="4" r:id="rId9"/>
    <sheet name="Log GD Ghi Giảm KM" sheetId="5" r:id="rId10"/>
    <sheet name="⚠️ Cần Review" sheetId="6" r:id="rId11"/>
  </sheets>
  <definedNames>
    <definedName name="_xlcn.WorksheetConnection_bc_fixed_v2.xlsxDataSales1" hidden="1">DataSales[]</definedName>
    <definedName name="Slicer_Month1">#N/A</definedName>
    <definedName name="Slicer_Ngành_Hàng">#N/A</definedName>
    <definedName name="Slicer_Segment">#N/A</definedName>
  </definedNames>
  <calcPr calcId="181029"/>
  <pivotCaches>
    <pivotCache cacheId="0" r:id="rId12"/>
    <pivotCache cacheId="1" r:id="rId13"/>
    <pivotCache cacheId="2" r:id="rId14"/>
    <pivotCache cacheId="3" r:id="rId15"/>
    <pivotCache cacheId="4" r:id="rId16"/>
    <pivotCache cacheId="5" r:id="rId17"/>
    <pivotCache cacheId="265" r:id="rId18"/>
    <pivotCache cacheId="268" r:id="rId19"/>
    <pivotCache cacheId="271" r:id="rId20"/>
    <pivotCache cacheId="274" r:id="rId21"/>
    <pivotCache cacheId="277" r:id="rId22"/>
    <pivotCache cacheId="280" r:id="rId23"/>
    <pivotCache cacheId="283" r:id="rId24"/>
    <pivotCache cacheId="286" r:id="rId25"/>
    <pivotCache cacheId="289" r:id="rId26"/>
    <pivotCache cacheId="292" r:id="rId27"/>
    <pivotCache cacheId="295" r:id="rId28"/>
    <pivotCache cacheId="298" r:id="rId29"/>
    <pivotCache cacheId="301" r:id="rId30"/>
    <pivotCache cacheId="304" r:id="rId31"/>
    <pivotCache cacheId="307" r:id="rId32"/>
    <pivotCache cacheId="310" r:id="rId33"/>
  </pivotCaches>
  <extLst>
    <ext xmlns:x14="http://schemas.microsoft.com/office/spreadsheetml/2009/9/main" uri="{876F7934-8845-4945-9796-88D515C7AA90}">
      <x14:pivotCaches>
        <pivotCache cacheId="22"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ales" name="DataSales" connection="WorksheetConnection_bc_fixed_v2.xlsx!DataSales"/>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222" i="8" l="1"/>
  <c r="AQ221" i="8"/>
  <c r="AQ220" i="8"/>
  <c r="AQ219" i="8"/>
  <c r="AQ218" i="8"/>
  <c r="AQ217" i="8"/>
  <c r="AQ216" i="8"/>
  <c r="AQ215" i="8"/>
  <c r="AQ214" i="8"/>
  <c r="AQ213" i="8"/>
  <c r="AQ212" i="8"/>
  <c r="AQ211" i="8"/>
  <c r="AQ210" i="8"/>
  <c r="AQ209" i="8"/>
  <c r="AQ208" i="8"/>
  <c r="AQ207" i="8"/>
  <c r="AQ206" i="8"/>
  <c r="AQ205" i="8"/>
  <c r="AQ204" i="8"/>
  <c r="AQ203" i="8"/>
  <c r="AQ202" i="8"/>
  <c r="AQ201" i="8"/>
  <c r="AQ200" i="8"/>
  <c r="AQ199" i="8"/>
  <c r="AQ198" i="8"/>
  <c r="AQ197" i="8"/>
  <c r="AQ196" i="8"/>
  <c r="AQ195" i="8"/>
  <c r="AQ194" i="8"/>
  <c r="AQ193" i="8"/>
  <c r="AQ192" i="8"/>
  <c r="AQ191" i="8"/>
  <c r="AQ190" i="8"/>
  <c r="AQ189" i="8"/>
  <c r="AQ188" i="8"/>
  <c r="AQ187" i="8"/>
  <c r="AQ186" i="8"/>
  <c r="AQ185" i="8"/>
  <c r="AQ184" i="8"/>
  <c r="AQ183" i="8"/>
  <c r="AQ182" i="8"/>
  <c r="AQ181" i="8"/>
  <c r="AQ180" i="8"/>
  <c r="AQ179" i="8"/>
  <c r="AQ178" i="8"/>
  <c r="AQ177" i="8"/>
  <c r="AQ176" i="8"/>
  <c r="AQ175" i="8"/>
  <c r="AQ174" i="8"/>
  <c r="AQ173" i="8"/>
  <c r="AQ172" i="8"/>
  <c r="AQ171" i="8"/>
  <c r="AQ170" i="8"/>
  <c r="AQ169" i="8"/>
  <c r="AQ168" i="8"/>
  <c r="AQ167" i="8"/>
  <c r="AQ166" i="8"/>
  <c r="AQ165" i="8"/>
  <c r="AQ164" i="8"/>
  <c r="AQ163" i="8"/>
  <c r="AQ162" i="8"/>
  <c r="AQ161" i="8"/>
  <c r="AQ160" i="8"/>
  <c r="AQ159" i="8"/>
  <c r="AQ158" i="8"/>
  <c r="AQ157" i="8"/>
  <c r="AQ156" i="8"/>
  <c r="AQ155" i="8"/>
  <c r="AQ154" i="8"/>
  <c r="AQ153" i="8"/>
  <c r="AQ152" i="8"/>
  <c r="AQ151" i="8"/>
  <c r="AQ150" i="8"/>
  <c r="AQ149" i="8"/>
  <c r="AQ148" i="8"/>
  <c r="AQ147" i="8"/>
  <c r="AQ146" i="8"/>
  <c r="AQ145" i="8"/>
  <c r="AQ144" i="8"/>
  <c r="AQ143" i="8"/>
  <c r="AQ142" i="8"/>
  <c r="AQ141" i="8"/>
  <c r="AQ140" i="8"/>
  <c r="AQ139" i="8"/>
  <c r="AQ138" i="8"/>
  <c r="AQ137" i="8"/>
  <c r="AQ136" i="8"/>
  <c r="AQ135" i="8"/>
  <c r="AQ134" i="8"/>
  <c r="AQ133" i="8"/>
  <c r="AQ132" i="8"/>
  <c r="AQ131" i="8"/>
  <c r="AQ130" i="8"/>
  <c r="AQ129" i="8"/>
  <c r="AQ128" i="8"/>
  <c r="AQ127" i="8"/>
  <c r="AQ126" i="8"/>
  <c r="AQ125" i="8"/>
  <c r="AQ124" i="8"/>
  <c r="AQ123" i="8"/>
  <c r="AQ122" i="8"/>
  <c r="AQ121" i="8"/>
  <c r="AQ120" i="8"/>
  <c r="AQ119" i="8"/>
  <c r="AQ118" i="8"/>
  <c r="AQ117" i="8"/>
  <c r="AQ116" i="8"/>
  <c r="AQ115" i="8"/>
  <c r="AQ114" i="8"/>
  <c r="AQ113" i="8"/>
  <c r="AQ112" i="8"/>
  <c r="AQ111" i="8"/>
  <c r="AQ110" i="8"/>
  <c r="AQ109" i="8"/>
  <c r="AQ108" i="8"/>
  <c r="AQ107" i="8"/>
  <c r="AQ106" i="8"/>
  <c r="AQ105" i="8"/>
  <c r="AQ104" i="8"/>
  <c r="AQ103" i="8"/>
  <c r="AQ102" i="8"/>
  <c r="AQ101" i="8"/>
  <c r="AQ100" i="8"/>
  <c r="AQ99" i="8"/>
  <c r="AQ98" i="8"/>
  <c r="AQ97" i="8"/>
  <c r="AQ96" i="8"/>
  <c r="AQ95" i="8"/>
  <c r="AQ94" i="8"/>
  <c r="AQ93" i="8"/>
  <c r="AQ92" i="8"/>
  <c r="AQ91" i="8"/>
  <c r="AQ90" i="8"/>
  <c r="AQ89" i="8"/>
  <c r="AQ88" i="8"/>
  <c r="AQ87" i="8"/>
  <c r="AQ86" i="8"/>
  <c r="AQ85" i="8"/>
  <c r="AQ84" i="8"/>
  <c r="AQ83" i="8"/>
  <c r="AQ82" i="8"/>
  <c r="AQ81" i="8"/>
  <c r="AQ80" i="8"/>
  <c r="AQ79" i="8"/>
  <c r="AQ78" i="8"/>
  <c r="AQ77" i="8"/>
  <c r="AQ76" i="8"/>
  <c r="AQ75" i="8"/>
  <c r="AQ74" i="8"/>
  <c r="AQ73" i="8"/>
  <c r="AQ72" i="8"/>
  <c r="AQ71" i="8"/>
  <c r="AQ70" i="8"/>
  <c r="AQ69" i="8"/>
  <c r="AQ68" i="8"/>
  <c r="AQ67" i="8"/>
  <c r="AQ66" i="8"/>
  <c r="AQ65" i="8"/>
  <c r="AQ64" i="8"/>
  <c r="AQ63" i="8"/>
  <c r="AQ62" i="8"/>
  <c r="AQ61" i="8"/>
  <c r="AQ60" i="8"/>
  <c r="AQ59" i="8"/>
  <c r="AQ58" i="8"/>
  <c r="AQ57" i="8"/>
  <c r="AQ56" i="8"/>
  <c r="AQ55" i="8"/>
  <c r="AQ54" i="8"/>
  <c r="AQ53" i="8"/>
  <c r="AQ52" i="8"/>
  <c r="AQ51" i="8"/>
  <c r="AQ50" i="8"/>
  <c r="AQ49" i="8"/>
  <c r="AQ48" i="8"/>
  <c r="AQ47" i="8"/>
  <c r="AQ46" i="8"/>
  <c r="AQ45" i="8"/>
  <c r="AQ44" i="8"/>
  <c r="AQ43" i="8"/>
  <c r="AQ42" i="8"/>
  <c r="AQ41" i="8"/>
  <c r="AQ40" i="8"/>
  <c r="AQ39" i="8"/>
  <c r="AQ38" i="8"/>
  <c r="AQ37" i="8"/>
  <c r="AQ36" i="8"/>
  <c r="AQ35" i="8"/>
  <c r="AQ34" i="8"/>
  <c r="AQ33" i="8"/>
  <c r="AQ32" i="8"/>
  <c r="AQ31" i="8"/>
  <c r="AQ30" i="8"/>
  <c r="AQ29" i="8"/>
  <c r="AQ28" i="8"/>
  <c r="AQ27" i="8"/>
  <c r="AQ26" i="8"/>
  <c r="AQ25" i="8"/>
  <c r="AQ24" i="8"/>
  <c r="AQ23" i="8"/>
  <c r="AQ22" i="8"/>
  <c r="AQ21" i="8"/>
  <c r="AQ20" i="8"/>
  <c r="AQ19" i="8"/>
  <c r="AQ18" i="8"/>
  <c r="AQ17" i="8"/>
  <c r="AQ16" i="8"/>
  <c r="AQ15" i="8"/>
  <c r="AQ14" i="8"/>
  <c r="AQ13" i="8"/>
  <c r="AQ12" i="8"/>
  <c r="AQ11" i="8"/>
  <c r="AQ10" i="8"/>
  <c r="AQ9" i="8"/>
  <c r="AQ8" i="8"/>
  <c r="AQ7" i="8"/>
  <c r="AQ6" i="8"/>
  <c r="AQ5" i="8"/>
  <c r="AQ4" i="8"/>
  <c r="AQ3" i="8"/>
  <c r="AQ223" i="8"/>
  <c r="Z6" i="8"/>
  <c r="Z6" i="9"/>
  <c r="Z3" i="8"/>
  <c r="Z2" i="8"/>
  <c r="Z1" i="8"/>
  <c r="K31" i="8"/>
  <c r="L20" i="8"/>
  <c r="K20" i="8"/>
  <c r="T9" i="8"/>
  <c r="P9" i="8"/>
  <c r="K9" i="8"/>
  <c r="M4" i="8"/>
  <c r="K9" i="9"/>
  <c r="Z5" i="9"/>
  <c r="Z4" i="9"/>
  <c r="Z3" i="9"/>
  <c r="Z2" i="9"/>
  <c r="Z1" i="9"/>
  <c r="I2" i="1"/>
  <c r="M2" i="1" s="1"/>
  <c r="I3" i="1"/>
  <c r="M3" i="1" s="1"/>
  <c r="I4" i="1"/>
  <c r="M4" i="1" s="1"/>
  <c r="I5" i="1"/>
  <c r="M5" i="1" s="1"/>
  <c r="I6" i="1"/>
  <c r="M6" i="1" s="1"/>
  <c r="I7" i="1"/>
  <c r="M7" i="1" s="1"/>
  <c r="I8" i="1"/>
  <c r="M8" i="1" s="1"/>
  <c r="I9" i="1"/>
  <c r="M9" i="1" s="1"/>
  <c r="I10" i="1"/>
  <c r="M10" i="1" s="1"/>
  <c r="I11" i="1"/>
  <c r="M11" i="1" s="1"/>
  <c r="I12" i="1"/>
  <c r="M12" i="1" s="1"/>
  <c r="I13" i="1"/>
  <c r="M13" i="1" s="1"/>
  <c r="I14" i="1"/>
  <c r="M14" i="1" s="1"/>
  <c r="I15" i="1"/>
  <c r="M15" i="1" s="1"/>
  <c r="I16" i="1"/>
  <c r="M16" i="1" s="1"/>
  <c r="I17" i="1"/>
  <c r="M17" i="1" s="1"/>
  <c r="I18" i="1"/>
  <c r="M18" i="1" s="1"/>
  <c r="I19" i="1"/>
  <c r="M19" i="1" s="1"/>
  <c r="I20" i="1"/>
  <c r="M20" i="1" s="1"/>
  <c r="I21" i="1"/>
  <c r="M21" i="1" s="1"/>
  <c r="I22" i="1"/>
  <c r="M22" i="1" s="1"/>
  <c r="I23" i="1"/>
  <c r="M23" i="1" s="1"/>
  <c r="I24" i="1"/>
  <c r="M24" i="1" s="1"/>
  <c r="I25" i="1"/>
  <c r="M25" i="1" s="1"/>
  <c r="I26" i="1"/>
  <c r="M26" i="1" s="1"/>
  <c r="I27" i="1"/>
  <c r="M27" i="1" s="1"/>
  <c r="I28" i="1"/>
  <c r="M28" i="1" s="1"/>
  <c r="I29" i="1"/>
  <c r="M29" i="1" s="1"/>
  <c r="I30" i="1"/>
  <c r="M30" i="1" s="1"/>
  <c r="I31" i="1"/>
  <c r="M31" i="1" s="1"/>
  <c r="I32" i="1"/>
  <c r="M32" i="1" s="1"/>
  <c r="I33" i="1"/>
  <c r="M33" i="1" s="1"/>
  <c r="I34" i="1"/>
  <c r="M34" i="1" s="1"/>
  <c r="I35" i="1"/>
  <c r="M35" i="1" s="1"/>
  <c r="I36" i="1"/>
  <c r="M36" i="1" s="1"/>
  <c r="I37" i="1"/>
  <c r="M37" i="1" s="1"/>
  <c r="I38" i="1"/>
  <c r="M38" i="1" s="1"/>
  <c r="I39" i="1"/>
  <c r="M39" i="1" s="1"/>
  <c r="I40" i="1"/>
  <c r="M40" i="1" s="1"/>
  <c r="I41" i="1"/>
  <c r="M41" i="1" s="1"/>
  <c r="I42" i="1"/>
  <c r="M42" i="1" s="1"/>
  <c r="I43" i="1"/>
  <c r="M43" i="1" s="1"/>
  <c r="I44" i="1"/>
  <c r="M44" i="1" s="1"/>
  <c r="I45" i="1"/>
  <c r="M45" i="1" s="1"/>
  <c r="I46" i="1"/>
  <c r="M46" i="1" s="1"/>
  <c r="I47" i="1"/>
  <c r="M47" i="1" s="1"/>
  <c r="I48" i="1"/>
  <c r="M48" i="1" s="1"/>
  <c r="I49" i="1"/>
  <c r="M49" i="1" s="1"/>
  <c r="I50" i="1"/>
  <c r="M50" i="1" s="1"/>
  <c r="I51" i="1"/>
  <c r="M51" i="1" s="1"/>
  <c r="I52" i="1"/>
  <c r="M52" i="1" s="1"/>
  <c r="I53" i="1"/>
  <c r="M53" i="1" s="1"/>
  <c r="I54" i="1"/>
  <c r="M54" i="1" s="1"/>
  <c r="I55" i="1"/>
  <c r="M55" i="1" s="1"/>
  <c r="I56" i="1"/>
  <c r="M56" i="1" s="1"/>
  <c r="I57" i="1"/>
  <c r="M57" i="1" s="1"/>
  <c r="I58" i="1"/>
  <c r="M58" i="1" s="1"/>
  <c r="I59" i="1"/>
  <c r="M59" i="1" s="1"/>
  <c r="I60" i="1"/>
  <c r="M60" i="1" s="1"/>
  <c r="I61" i="1"/>
  <c r="M61" i="1" s="1"/>
  <c r="I62" i="1"/>
  <c r="M62" i="1" s="1"/>
  <c r="I63" i="1"/>
  <c r="M63" i="1" s="1"/>
  <c r="I64" i="1"/>
  <c r="M64" i="1" s="1"/>
  <c r="I65" i="1"/>
  <c r="M65" i="1" s="1"/>
  <c r="I66" i="1"/>
  <c r="M66" i="1" s="1"/>
  <c r="I67" i="1"/>
  <c r="M67" i="1" s="1"/>
  <c r="I68" i="1"/>
  <c r="M68" i="1" s="1"/>
  <c r="I69" i="1"/>
  <c r="M69" i="1" s="1"/>
  <c r="I70" i="1"/>
  <c r="M70" i="1" s="1"/>
  <c r="I71" i="1"/>
  <c r="M71" i="1" s="1"/>
  <c r="I72" i="1"/>
  <c r="M72" i="1" s="1"/>
  <c r="I73" i="1"/>
  <c r="M73" i="1" s="1"/>
  <c r="I74" i="1"/>
  <c r="M74" i="1" s="1"/>
  <c r="I75" i="1"/>
  <c r="M75" i="1" s="1"/>
  <c r="I76" i="1"/>
  <c r="M76" i="1" s="1"/>
  <c r="I77" i="1"/>
  <c r="M77" i="1" s="1"/>
  <c r="I78" i="1"/>
  <c r="M78" i="1" s="1"/>
  <c r="I79" i="1"/>
  <c r="M79" i="1" s="1"/>
  <c r="I80" i="1"/>
  <c r="M80" i="1" s="1"/>
  <c r="I81" i="1"/>
  <c r="M81" i="1" s="1"/>
  <c r="I82" i="1"/>
  <c r="M82" i="1" s="1"/>
  <c r="I83" i="1"/>
  <c r="M83" i="1" s="1"/>
  <c r="I84" i="1"/>
  <c r="M84" i="1" s="1"/>
  <c r="I85" i="1"/>
  <c r="M85" i="1" s="1"/>
  <c r="I86" i="1"/>
  <c r="M86" i="1" s="1"/>
  <c r="I87" i="1"/>
  <c r="M87" i="1" s="1"/>
  <c r="I88" i="1"/>
  <c r="M88" i="1" s="1"/>
  <c r="I89" i="1"/>
  <c r="M89" i="1" s="1"/>
  <c r="I90" i="1"/>
  <c r="M90" i="1" s="1"/>
  <c r="I91" i="1"/>
  <c r="M91" i="1" s="1"/>
  <c r="I92" i="1"/>
  <c r="M92" i="1" s="1"/>
  <c r="I93" i="1"/>
  <c r="M93" i="1" s="1"/>
  <c r="I94" i="1"/>
  <c r="M94" i="1" s="1"/>
  <c r="I95" i="1"/>
  <c r="M95" i="1" s="1"/>
  <c r="I96" i="1"/>
  <c r="M96" i="1" s="1"/>
  <c r="I97" i="1"/>
  <c r="M97" i="1" s="1"/>
  <c r="I98" i="1"/>
  <c r="M98" i="1" s="1"/>
  <c r="I99" i="1"/>
  <c r="M99" i="1" s="1"/>
  <c r="I100" i="1"/>
  <c r="M100" i="1" s="1"/>
  <c r="I101" i="1"/>
  <c r="M101" i="1" s="1"/>
  <c r="I102" i="1"/>
  <c r="M102" i="1" s="1"/>
  <c r="I103" i="1"/>
  <c r="M103" i="1" s="1"/>
  <c r="I104" i="1"/>
  <c r="M104" i="1" s="1"/>
  <c r="I105" i="1"/>
  <c r="M105" i="1" s="1"/>
  <c r="I106" i="1"/>
  <c r="M106" i="1" s="1"/>
  <c r="I107" i="1"/>
  <c r="M107" i="1" s="1"/>
  <c r="I108" i="1"/>
  <c r="M108" i="1" s="1"/>
  <c r="I109" i="1"/>
  <c r="M109" i="1" s="1"/>
  <c r="I110" i="1"/>
  <c r="M110" i="1" s="1"/>
  <c r="I111" i="1"/>
  <c r="M111" i="1" s="1"/>
  <c r="I112" i="1"/>
  <c r="M112" i="1" s="1"/>
  <c r="I113" i="1"/>
  <c r="M113" i="1" s="1"/>
  <c r="I114" i="1"/>
  <c r="M114" i="1" s="1"/>
  <c r="I115" i="1"/>
  <c r="M115" i="1" s="1"/>
  <c r="I116" i="1"/>
  <c r="M116" i="1" s="1"/>
  <c r="I117" i="1"/>
  <c r="M117" i="1" s="1"/>
  <c r="I118" i="1"/>
  <c r="M118" i="1" s="1"/>
  <c r="I119" i="1"/>
  <c r="M119" i="1" s="1"/>
  <c r="I120" i="1"/>
  <c r="M120" i="1" s="1"/>
  <c r="I121" i="1"/>
  <c r="M121" i="1" s="1"/>
  <c r="I122" i="1"/>
  <c r="M122" i="1" s="1"/>
  <c r="I123" i="1"/>
  <c r="M123" i="1" s="1"/>
  <c r="I124" i="1"/>
  <c r="M124" i="1" s="1"/>
  <c r="I125" i="1"/>
  <c r="M125" i="1" s="1"/>
  <c r="I126" i="1"/>
  <c r="M126" i="1" s="1"/>
  <c r="I127" i="1"/>
  <c r="M127" i="1" s="1"/>
  <c r="I128" i="1"/>
  <c r="M128" i="1" s="1"/>
  <c r="I129" i="1"/>
  <c r="M129" i="1" s="1"/>
  <c r="I130" i="1"/>
  <c r="M130" i="1" s="1"/>
  <c r="I131" i="1"/>
  <c r="M131" i="1" s="1"/>
  <c r="I132" i="1"/>
  <c r="M132" i="1" s="1"/>
  <c r="I133" i="1"/>
  <c r="M133" i="1" s="1"/>
  <c r="I134" i="1"/>
  <c r="M134" i="1" s="1"/>
  <c r="I135" i="1"/>
  <c r="M135" i="1" s="1"/>
  <c r="I136" i="1"/>
  <c r="M136" i="1" s="1"/>
  <c r="I137" i="1"/>
  <c r="M137" i="1" s="1"/>
  <c r="I138" i="1"/>
  <c r="M138" i="1" s="1"/>
  <c r="I139" i="1"/>
  <c r="M139" i="1" s="1"/>
  <c r="I140" i="1"/>
  <c r="M140" i="1" s="1"/>
  <c r="I141" i="1"/>
  <c r="M141" i="1" s="1"/>
  <c r="I142" i="1"/>
  <c r="M142" i="1" s="1"/>
  <c r="I143" i="1"/>
  <c r="M143" i="1" s="1"/>
  <c r="I144" i="1"/>
  <c r="M144" i="1" s="1"/>
  <c r="I145" i="1"/>
  <c r="M145" i="1" s="1"/>
  <c r="I146" i="1"/>
  <c r="M146" i="1" s="1"/>
  <c r="I147" i="1"/>
  <c r="M147" i="1" s="1"/>
  <c r="I148" i="1"/>
  <c r="M148" i="1" s="1"/>
  <c r="I149" i="1"/>
  <c r="M149" i="1" s="1"/>
  <c r="I150" i="1"/>
  <c r="M150" i="1" s="1"/>
  <c r="I151" i="1"/>
  <c r="M151" i="1" s="1"/>
  <c r="I152" i="1"/>
  <c r="M152" i="1" s="1"/>
  <c r="I153" i="1"/>
  <c r="M153" i="1" s="1"/>
  <c r="I154" i="1"/>
  <c r="M154" i="1" s="1"/>
  <c r="I155" i="1"/>
  <c r="M155" i="1" s="1"/>
  <c r="I156" i="1"/>
  <c r="M156" i="1" s="1"/>
  <c r="I157" i="1"/>
  <c r="M157" i="1" s="1"/>
  <c r="I158" i="1"/>
  <c r="M158" i="1" s="1"/>
  <c r="I159" i="1"/>
  <c r="M159" i="1" s="1"/>
  <c r="I160" i="1"/>
  <c r="M160" i="1" s="1"/>
  <c r="I161" i="1"/>
  <c r="M161" i="1" s="1"/>
  <c r="I162" i="1"/>
  <c r="M162" i="1" s="1"/>
  <c r="I163" i="1"/>
  <c r="M163" i="1" s="1"/>
  <c r="I164" i="1"/>
  <c r="M164" i="1" s="1"/>
  <c r="I165" i="1"/>
  <c r="M165" i="1" s="1"/>
  <c r="I166" i="1"/>
  <c r="M166" i="1" s="1"/>
  <c r="I167" i="1"/>
  <c r="M167" i="1" s="1"/>
  <c r="I168" i="1"/>
  <c r="M168" i="1" s="1"/>
  <c r="I169" i="1"/>
  <c r="M169" i="1" s="1"/>
  <c r="I170" i="1"/>
  <c r="M170" i="1" s="1"/>
  <c r="I171" i="1"/>
  <c r="M171" i="1" s="1"/>
  <c r="I172" i="1"/>
  <c r="M172" i="1" s="1"/>
  <c r="I173" i="1"/>
  <c r="M173" i="1" s="1"/>
  <c r="I174" i="1"/>
  <c r="M174" i="1" s="1"/>
  <c r="I175" i="1"/>
  <c r="M175" i="1" s="1"/>
  <c r="I176" i="1"/>
  <c r="M176" i="1" s="1"/>
  <c r="I177" i="1"/>
  <c r="M177" i="1" s="1"/>
  <c r="I178" i="1"/>
  <c r="M178" i="1" s="1"/>
  <c r="I179" i="1"/>
  <c r="M179" i="1" s="1"/>
  <c r="I180" i="1"/>
  <c r="M180" i="1" s="1"/>
  <c r="I181" i="1"/>
  <c r="M181" i="1" s="1"/>
  <c r="I182" i="1"/>
  <c r="M182" i="1" s="1"/>
  <c r="I183" i="1"/>
  <c r="M183" i="1" s="1"/>
  <c r="I184" i="1"/>
  <c r="M184" i="1" s="1"/>
  <c r="I185" i="1"/>
  <c r="M185" i="1" s="1"/>
  <c r="I186" i="1"/>
  <c r="M186" i="1" s="1"/>
  <c r="I187" i="1"/>
  <c r="M187" i="1" s="1"/>
  <c r="I188" i="1"/>
  <c r="M188" i="1" s="1"/>
  <c r="I189" i="1"/>
  <c r="M189" i="1" s="1"/>
  <c r="I190" i="1"/>
  <c r="M190" i="1" s="1"/>
  <c r="I191" i="1"/>
  <c r="M191" i="1" s="1"/>
  <c r="I192" i="1"/>
  <c r="M192" i="1" s="1"/>
  <c r="I193" i="1"/>
  <c r="M193" i="1" s="1"/>
  <c r="I194" i="1"/>
  <c r="M194" i="1" s="1"/>
  <c r="I195" i="1"/>
  <c r="M195" i="1" s="1"/>
  <c r="I196" i="1"/>
  <c r="M196" i="1" s="1"/>
  <c r="I197" i="1"/>
  <c r="M197" i="1" s="1"/>
  <c r="I198" i="1"/>
  <c r="M198" i="1" s="1"/>
  <c r="I199" i="1"/>
  <c r="M199" i="1" s="1"/>
  <c r="I200" i="1"/>
  <c r="M200" i="1" s="1"/>
  <c r="I201" i="1"/>
  <c r="M201" i="1" s="1"/>
  <c r="I202" i="1"/>
  <c r="M202" i="1" s="1"/>
  <c r="I203" i="1"/>
  <c r="M203" i="1" s="1"/>
  <c r="I204" i="1"/>
  <c r="M204" i="1" s="1"/>
  <c r="I205" i="1"/>
  <c r="M205" i="1" s="1"/>
  <c r="I206" i="1"/>
  <c r="M206" i="1" s="1"/>
  <c r="I207" i="1"/>
  <c r="M207" i="1" s="1"/>
  <c r="I208" i="1"/>
  <c r="M208" i="1" s="1"/>
  <c r="I209" i="1"/>
  <c r="M209" i="1" s="1"/>
  <c r="I210" i="1"/>
  <c r="M210" i="1" s="1"/>
  <c r="I211" i="1"/>
  <c r="M211" i="1" s="1"/>
  <c r="I212" i="1"/>
  <c r="M212" i="1" s="1"/>
  <c r="I213" i="1"/>
  <c r="M213" i="1" s="1"/>
  <c r="I214" i="1"/>
  <c r="M214" i="1" s="1"/>
  <c r="I215" i="1"/>
  <c r="M215" i="1" s="1"/>
  <c r="I216" i="1"/>
  <c r="M216" i="1" s="1"/>
  <c r="I217" i="1"/>
  <c r="M217" i="1" s="1"/>
  <c r="I218" i="1"/>
  <c r="M218" i="1" s="1"/>
  <c r="I219" i="1"/>
  <c r="M219" i="1" s="1"/>
  <c r="I220" i="1"/>
  <c r="M220" i="1" s="1"/>
  <c r="I221" i="1"/>
  <c r="M221" i="1" s="1"/>
  <c r="I222" i="1"/>
  <c r="M222" i="1" s="1"/>
  <c r="I223" i="1"/>
  <c r="M223" i="1" s="1"/>
  <c r="I224" i="1"/>
  <c r="M224" i="1" s="1"/>
  <c r="I225" i="1"/>
  <c r="M225" i="1" s="1"/>
  <c r="I226" i="1"/>
  <c r="M226" i="1" s="1"/>
  <c r="I227" i="1"/>
  <c r="M227" i="1" s="1"/>
  <c r="I228" i="1"/>
  <c r="M228" i="1" s="1"/>
  <c r="I229" i="1"/>
  <c r="M229" i="1" s="1"/>
  <c r="I230" i="1"/>
  <c r="M230" i="1" s="1"/>
  <c r="I231" i="1"/>
  <c r="M231" i="1" s="1"/>
  <c r="I232" i="1"/>
  <c r="M232" i="1" s="1"/>
  <c r="I233" i="1"/>
  <c r="M233" i="1" s="1"/>
  <c r="I234" i="1"/>
  <c r="M234" i="1" s="1"/>
  <c r="I235" i="1"/>
  <c r="M235" i="1" s="1"/>
  <c r="I236" i="1"/>
  <c r="M236" i="1" s="1"/>
  <c r="I237" i="1"/>
  <c r="M237" i="1" s="1"/>
  <c r="I238" i="1"/>
  <c r="M238" i="1" s="1"/>
  <c r="I239" i="1"/>
  <c r="M239" i="1" s="1"/>
  <c r="I240" i="1"/>
  <c r="M240" i="1" s="1"/>
  <c r="I241" i="1"/>
  <c r="M241" i="1" s="1"/>
  <c r="I242" i="1"/>
  <c r="M242" i="1" s="1"/>
  <c r="I243" i="1"/>
  <c r="M243" i="1" s="1"/>
  <c r="I244" i="1"/>
  <c r="M244" i="1" s="1"/>
  <c r="I245" i="1"/>
  <c r="M245" i="1" s="1"/>
  <c r="I246" i="1"/>
  <c r="M246" i="1" s="1"/>
  <c r="I247" i="1"/>
  <c r="M247" i="1" s="1"/>
  <c r="I248" i="1"/>
  <c r="M248" i="1" s="1"/>
  <c r="I249" i="1"/>
  <c r="M249" i="1" s="1"/>
  <c r="I250" i="1"/>
  <c r="M250" i="1" s="1"/>
  <c r="I251" i="1"/>
  <c r="M251" i="1" s="1"/>
  <c r="I252" i="1"/>
  <c r="M252" i="1" s="1"/>
  <c r="I253" i="1"/>
  <c r="M253" i="1" s="1"/>
  <c r="I254" i="1"/>
  <c r="M254" i="1" s="1"/>
  <c r="I255" i="1"/>
  <c r="M255" i="1" s="1"/>
  <c r="I256" i="1"/>
  <c r="M256" i="1" s="1"/>
  <c r="I257" i="1"/>
  <c r="M257" i="1" s="1"/>
  <c r="I258" i="1"/>
  <c r="M258" i="1" s="1"/>
  <c r="I259" i="1"/>
  <c r="M259" i="1" s="1"/>
  <c r="I260" i="1"/>
  <c r="M260" i="1" s="1"/>
  <c r="I261" i="1"/>
  <c r="M261" i="1" s="1"/>
  <c r="I262" i="1"/>
  <c r="M262" i="1" s="1"/>
  <c r="I263" i="1"/>
  <c r="M263" i="1" s="1"/>
  <c r="I264" i="1"/>
  <c r="M264" i="1" s="1"/>
  <c r="I265" i="1"/>
  <c r="M265" i="1" s="1"/>
  <c r="I266" i="1"/>
  <c r="M266" i="1" s="1"/>
  <c r="I267" i="1"/>
  <c r="M267" i="1" s="1"/>
  <c r="I268" i="1"/>
  <c r="M268" i="1" s="1"/>
  <c r="I269" i="1"/>
  <c r="M269" i="1" s="1"/>
  <c r="I270" i="1"/>
  <c r="M270" i="1" s="1"/>
  <c r="I271" i="1"/>
  <c r="M271" i="1" s="1"/>
  <c r="I272" i="1"/>
  <c r="M272" i="1" s="1"/>
  <c r="I273" i="1"/>
  <c r="M273" i="1" s="1"/>
  <c r="I274" i="1"/>
  <c r="M274" i="1" s="1"/>
  <c r="I275" i="1"/>
  <c r="M275" i="1" s="1"/>
  <c r="I276" i="1"/>
  <c r="M276" i="1" s="1"/>
  <c r="I277" i="1"/>
  <c r="M277" i="1" s="1"/>
  <c r="I278" i="1"/>
  <c r="M278" i="1" s="1"/>
  <c r="I279" i="1"/>
  <c r="M279" i="1" s="1"/>
  <c r="I280" i="1"/>
  <c r="M280" i="1" s="1"/>
  <c r="I281" i="1"/>
  <c r="M281" i="1" s="1"/>
  <c r="I282" i="1"/>
  <c r="M282" i="1" s="1"/>
  <c r="I283" i="1"/>
  <c r="M283" i="1" s="1"/>
  <c r="I284" i="1"/>
  <c r="M284" i="1" s="1"/>
  <c r="I285" i="1"/>
  <c r="M285" i="1" s="1"/>
  <c r="I286" i="1"/>
  <c r="M286" i="1" s="1"/>
  <c r="I287" i="1"/>
  <c r="M287" i="1" s="1"/>
  <c r="I288" i="1"/>
  <c r="M288" i="1" s="1"/>
  <c r="I289" i="1"/>
  <c r="M289" i="1" s="1"/>
  <c r="I290" i="1"/>
  <c r="M290" i="1" s="1"/>
  <c r="I291" i="1"/>
  <c r="M291" i="1" s="1"/>
  <c r="I292" i="1"/>
  <c r="M292" i="1" s="1"/>
  <c r="I293" i="1"/>
  <c r="M293" i="1" s="1"/>
  <c r="I294" i="1"/>
  <c r="M294" i="1" s="1"/>
  <c r="I295" i="1"/>
  <c r="M295" i="1" s="1"/>
  <c r="I296" i="1"/>
  <c r="M296" i="1" s="1"/>
  <c r="I297" i="1"/>
  <c r="M297" i="1" s="1"/>
  <c r="I298" i="1"/>
  <c r="M298" i="1" s="1"/>
  <c r="I299" i="1"/>
  <c r="M299" i="1" s="1"/>
  <c r="I300" i="1"/>
  <c r="M300" i="1" s="1"/>
  <c r="I301" i="1"/>
  <c r="M301" i="1" s="1"/>
  <c r="I302" i="1"/>
  <c r="M302" i="1" s="1"/>
  <c r="I303" i="1"/>
  <c r="M303" i="1" s="1"/>
  <c r="I304" i="1"/>
  <c r="M304" i="1" s="1"/>
  <c r="I305" i="1"/>
  <c r="M305" i="1" s="1"/>
  <c r="I306" i="1"/>
  <c r="M306" i="1" s="1"/>
  <c r="I307" i="1"/>
  <c r="M307" i="1" s="1"/>
  <c r="I308" i="1"/>
  <c r="M308" i="1" s="1"/>
  <c r="I309" i="1"/>
  <c r="M309" i="1" s="1"/>
  <c r="I310" i="1"/>
  <c r="M310" i="1" s="1"/>
  <c r="I311" i="1"/>
  <c r="M311" i="1" s="1"/>
  <c r="I312" i="1"/>
  <c r="M312" i="1" s="1"/>
  <c r="I313" i="1"/>
  <c r="M313" i="1" s="1"/>
  <c r="I314" i="1"/>
  <c r="M314" i="1" s="1"/>
  <c r="I315" i="1"/>
  <c r="M315" i="1" s="1"/>
  <c r="I316" i="1"/>
  <c r="M316" i="1" s="1"/>
  <c r="I317" i="1"/>
  <c r="M317" i="1" s="1"/>
  <c r="I318" i="1"/>
  <c r="M318" i="1" s="1"/>
  <c r="I319" i="1"/>
  <c r="M319" i="1" s="1"/>
  <c r="I320" i="1"/>
  <c r="M320" i="1" s="1"/>
  <c r="I321" i="1"/>
  <c r="M321" i="1" s="1"/>
  <c r="I322" i="1"/>
  <c r="M322" i="1" s="1"/>
  <c r="I323" i="1"/>
  <c r="M323" i="1" s="1"/>
  <c r="I324" i="1"/>
  <c r="M324" i="1" s="1"/>
  <c r="I325" i="1"/>
  <c r="M325" i="1" s="1"/>
  <c r="I326" i="1"/>
  <c r="M326" i="1" s="1"/>
  <c r="I327" i="1"/>
  <c r="M327" i="1" s="1"/>
  <c r="I328" i="1"/>
  <c r="M328" i="1" s="1"/>
  <c r="I329" i="1"/>
  <c r="M329" i="1" s="1"/>
  <c r="I330" i="1"/>
  <c r="M330" i="1" s="1"/>
  <c r="I331" i="1"/>
  <c r="M331" i="1" s="1"/>
  <c r="I332" i="1"/>
  <c r="M332" i="1" s="1"/>
  <c r="I333" i="1"/>
  <c r="M333" i="1" s="1"/>
  <c r="I334" i="1"/>
  <c r="M334" i="1" s="1"/>
  <c r="I335" i="1"/>
  <c r="M335" i="1" s="1"/>
  <c r="I336" i="1"/>
  <c r="M336" i="1" s="1"/>
  <c r="I337" i="1"/>
  <c r="M337" i="1" s="1"/>
  <c r="I338" i="1"/>
  <c r="M338" i="1" s="1"/>
  <c r="I339" i="1"/>
  <c r="M339" i="1" s="1"/>
  <c r="I340" i="1"/>
  <c r="M340" i="1" s="1"/>
  <c r="I341" i="1"/>
  <c r="M341" i="1" s="1"/>
  <c r="I342" i="1"/>
  <c r="M342" i="1" s="1"/>
  <c r="I343" i="1"/>
  <c r="M343" i="1" s="1"/>
  <c r="I344" i="1"/>
  <c r="M344" i="1" s="1"/>
  <c r="I345" i="1"/>
  <c r="M345" i="1" s="1"/>
  <c r="I346" i="1"/>
  <c r="M346" i="1" s="1"/>
  <c r="I347" i="1"/>
  <c r="M347" i="1" s="1"/>
  <c r="I348" i="1"/>
  <c r="M348" i="1" s="1"/>
  <c r="I349" i="1"/>
  <c r="M349" i="1" s="1"/>
  <c r="I350" i="1"/>
  <c r="M350" i="1" s="1"/>
  <c r="I351" i="1"/>
  <c r="M351" i="1" s="1"/>
  <c r="I352" i="1"/>
  <c r="M352" i="1" s="1"/>
  <c r="I353" i="1"/>
  <c r="M353" i="1" s="1"/>
  <c r="I354" i="1"/>
  <c r="M354" i="1" s="1"/>
  <c r="I355" i="1"/>
  <c r="M355" i="1" s="1"/>
  <c r="I356" i="1"/>
  <c r="M356" i="1" s="1"/>
  <c r="I357" i="1"/>
  <c r="M357" i="1" s="1"/>
  <c r="I358" i="1"/>
  <c r="M358" i="1" s="1"/>
  <c r="I359" i="1"/>
  <c r="M359" i="1" s="1"/>
  <c r="I360" i="1"/>
  <c r="M360" i="1" s="1"/>
  <c r="I361" i="1"/>
  <c r="M361" i="1" s="1"/>
  <c r="I362" i="1"/>
  <c r="M362" i="1" s="1"/>
  <c r="I363" i="1"/>
  <c r="M363" i="1" s="1"/>
  <c r="I364" i="1"/>
  <c r="M364" i="1" s="1"/>
  <c r="I365" i="1"/>
  <c r="M365" i="1" s="1"/>
  <c r="I366" i="1"/>
  <c r="M366" i="1" s="1"/>
  <c r="I367" i="1"/>
  <c r="M367" i="1" s="1"/>
  <c r="I368" i="1"/>
  <c r="M368" i="1" s="1"/>
  <c r="I369" i="1"/>
  <c r="M369" i="1" s="1"/>
  <c r="I370" i="1"/>
  <c r="M370" i="1" s="1"/>
  <c r="I371" i="1"/>
  <c r="M371" i="1" s="1"/>
  <c r="I372" i="1"/>
  <c r="M372" i="1" s="1"/>
  <c r="I373" i="1"/>
  <c r="M373" i="1" s="1"/>
  <c r="I374" i="1"/>
  <c r="M374" i="1" s="1"/>
  <c r="I375" i="1"/>
  <c r="M375" i="1" s="1"/>
  <c r="I376" i="1"/>
  <c r="M376" i="1" s="1"/>
  <c r="I377" i="1"/>
  <c r="M377" i="1" s="1"/>
  <c r="I378" i="1"/>
  <c r="M378" i="1" s="1"/>
  <c r="I379" i="1"/>
  <c r="M379" i="1" s="1"/>
  <c r="I380" i="1"/>
  <c r="M380" i="1" s="1"/>
  <c r="I381" i="1"/>
  <c r="M381" i="1" s="1"/>
  <c r="I382" i="1"/>
  <c r="M382" i="1" s="1"/>
  <c r="I383" i="1"/>
  <c r="M383" i="1" s="1"/>
  <c r="I384" i="1"/>
  <c r="M384" i="1" s="1"/>
  <c r="I385" i="1"/>
  <c r="M385" i="1" s="1"/>
  <c r="I386" i="1"/>
  <c r="M386" i="1" s="1"/>
  <c r="I387" i="1"/>
  <c r="M387" i="1" s="1"/>
  <c r="I388" i="1"/>
  <c r="M388" i="1" s="1"/>
  <c r="I389" i="1"/>
  <c r="M389" i="1" s="1"/>
  <c r="I390" i="1"/>
  <c r="M390" i="1" s="1"/>
  <c r="I391" i="1"/>
  <c r="M391" i="1" s="1"/>
  <c r="I392" i="1"/>
  <c r="M392" i="1" s="1"/>
  <c r="I393" i="1"/>
  <c r="M393" i="1" s="1"/>
  <c r="I394" i="1"/>
  <c r="M394" i="1" s="1"/>
  <c r="I395" i="1"/>
  <c r="M395" i="1" s="1"/>
  <c r="I396" i="1"/>
  <c r="M396" i="1" s="1"/>
  <c r="I397" i="1"/>
  <c r="M397" i="1" s="1"/>
  <c r="I398" i="1"/>
  <c r="M398" i="1" s="1"/>
  <c r="I399" i="1"/>
  <c r="M399" i="1" s="1"/>
  <c r="I400" i="1"/>
  <c r="M400" i="1" s="1"/>
  <c r="I401" i="1"/>
  <c r="M401" i="1" s="1"/>
  <c r="I402" i="1"/>
  <c r="M402" i="1" s="1"/>
  <c r="I403" i="1"/>
  <c r="M403" i="1" s="1"/>
  <c r="I404" i="1"/>
  <c r="M404" i="1" s="1"/>
  <c r="I405" i="1"/>
  <c r="M405" i="1" s="1"/>
  <c r="I406" i="1"/>
  <c r="M406" i="1" s="1"/>
  <c r="I407" i="1"/>
  <c r="M407" i="1" s="1"/>
  <c r="I408" i="1"/>
  <c r="M408" i="1" s="1"/>
  <c r="I409" i="1"/>
  <c r="M409" i="1" s="1"/>
  <c r="I410" i="1"/>
  <c r="M410" i="1" s="1"/>
  <c r="I411" i="1"/>
  <c r="M411" i="1" s="1"/>
  <c r="I412" i="1"/>
  <c r="M412" i="1" s="1"/>
  <c r="I413" i="1"/>
  <c r="M413" i="1" s="1"/>
  <c r="I414" i="1"/>
  <c r="M414" i="1" s="1"/>
  <c r="I415" i="1"/>
  <c r="M415" i="1" s="1"/>
  <c r="I416" i="1"/>
  <c r="M416" i="1" s="1"/>
  <c r="I417" i="1"/>
  <c r="M417" i="1" s="1"/>
  <c r="I418" i="1"/>
  <c r="M418" i="1" s="1"/>
  <c r="I419" i="1"/>
  <c r="M419" i="1" s="1"/>
  <c r="I420" i="1"/>
  <c r="M420" i="1" s="1"/>
  <c r="I421" i="1"/>
  <c r="M421" i="1" s="1"/>
  <c r="I422" i="1"/>
  <c r="M422" i="1" s="1"/>
  <c r="I423" i="1"/>
  <c r="M423" i="1" s="1"/>
  <c r="I424" i="1"/>
  <c r="M424" i="1" s="1"/>
  <c r="I425" i="1"/>
  <c r="M425" i="1" s="1"/>
  <c r="I426" i="1"/>
  <c r="M426" i="1" s="1"/>
  <c r="I427" i="1"/>
  <c r="M427" i="1" s="1"/>
  <c r="I428" i="1"/>
  <c r="M428" i="1" s="1"/>
  <c r="I429" i="1"/>
  <c r="M429" i="1" s="1"/>
  <c r="I430" i="1"/>
  <c r="M430" i="1" s="1"/>
  <c r="I431" i="1"/>
  <c r="M431" i="1" s="1"/>
  <c r="I432" i="1"/>
  <c r="M432" i="1" s="1"/>
  <c r="I433" i="1"/>
  <c r="M433" i="1" s="1"/>
  <c r="I434" i="1"/>
  <c r="M434" i="1" s="1"/>
  <c r="I435" i="1"/>
  <c r="M435" i="1" s="1"/>
  <c r="I436" i="1"/>
  <c r="M436" i="1" s="1"/>
  <c r="I437" i="1"/>
  <c r="M437" i="1" s="1"/>
  <c r="I438" i="1"/>
  <c r="M438" i="1" s="1"/>
  <c r="I439" i="1"/>
  <c r="M439" i="1" s="1"/>
  <c r="I440" i="1"/>
  <c r="M440" i="1" s="1"/>
  <c r="I441" i="1"/>
  <c r="M441" i="1" s="1"/>
  <c r="I442" i="1"/>
  <c r="M442" i="1" s="1"/>
  <c r="I443" i="1"/>
  <c r="M443" i="1" s="1"/>
  <c r="I444" i="1"/>
  <c r="M444" i="1" s="1"/>
  <c r="I445" i="1"/>
  <c r="M445" i="1" s="1"/>
  <c r="I446" i="1"/>
  <c r="M446" i="1" s="1"/>
  <c r="I447" i="1"/>
  <c r="M447" i="1" s="1"/>
  <c r="I448" i="1"/>
  <c r="M448" i="1" s="1"/>
  <c r="I449" i="1"/>
  <c r="M449" i="1" s="1"/>
  <c r="I450" i="1"/>
  <c r="M450" i="1" s="1"/>
  <c r="I451" i="1"/>
  <c r="M451" i="1" s="1"/>
  <c r="I452" i="1"/>
  <c r="M452" i="1" s="1"/>
  <c r="I453" i="1"/>
  <c r="M453" i="1" s="1"/>
  <c r="I454" i="1"/>
  <c r="M454" i="1" s="1"/>
  <c r="I455" i="1"/>
  <c r="M455" i="1" s="1"/>
  <c r="I456" i="1"/>
  <c r="M456" i="1" s="1"/>
  <c r="I457" i="1"/>
  <c r="M457" i="1" s="1"/>
  <c r="I458" i="1"/>
  <c r="M458" i="1" s="1"/>
  <c r="I459" i="1"/>
  <c r="M459" i="1" s="1"/>
  <c r="I460" i="1"/>
  <c r="M460" i="1" s="1"/>
  <c r="I461" i="1"/>
  <c r="M461" i="1" s="1"/>
  <c r="I462" i="1"/>
  <c r="M462" i="1" s="1"/>
  <c r="I463" i="1"/>
  <c r="M463" i="1" s="1"/>
  <c r="I464" i="1"/>
  <c r="M464" i="1" s="1"/>
  <c r="I465" i="1"/>
  <c r="M465" i="1" s="1"/>
  <c r="I466" i="1"/>
  <c r="M466" i="1" s="1"/>
  <c r="I467" i="1"/>
  <c r="M467" i="1" s="1"/>
  <c r="I468" i="1"/>
  <c r="M468" i="1" s="1"/>
  <c r="I469" i="1"/>
  <c r="M469" i="1" s="1"/>
  <c r="I470" i="1"/>
  <c r="M470" i="1" s="1"/>
  <c r="I471" i="1"/>
  <c r="M471" i="1" s="1"/>
  <c r="I472" i="1"/>
  <c r="M472" i="1" s="1"/>
  <c r="I473" i="1"/>
  <c r="M473" i="1" s="1"/>
  <c r="I474" i="1"/>
  <c r="M474" i="1" s="1"/>
  <c r="I475" i="1"/>
  <c r="M475" i="1" s="1"/>
  <c r="I476" i="1"/>
  <c r="M476" i="1" s="1"/>
  <c r="I477" i="1"/>
  <c r="M477" i="1" s="1"/>
  <c r="I478" i="1"/>
  <c r="M478" i="1" s="1"/>
  <c r="I479" i="1"/>
  <c r="M479" i="1" s="1"/>
  <c r="I480" i="1"/>
  <c r="M480" i="1" s="1"/>
  <c r="I481" i="1"/>
  <c r="M481" i="1" s="1"/>
  <c r="I482" i="1"/>
  <c r="M482" i="1" s="1"/>
  <c r="I483" i="1"/>
  <c r="M483" i="1" s="1"/>
  <c r="I484" i="1"/>
  <c r="M484" i="1" s="1"/>
  <c r="I485" i="1"/>
  <c r="M485" i="1" s="1"/>
  <c r="I486" i="1"/>
  <c r="M486" i="1" s="1"/>
  <c r="I487" i="1"/>
  <c r="M487" i="1" s="1"/>
  <c r="I488" i="1"/>
  <c r="M488" i="1" s="1"/>
  <c r="I489" i="1"/>
  <c r="M489" i="1" s="1"/>
  <c r="I490" i="1"/>
  <c r="M490" i="1" s="1"/>
  <c r="I491" i="1"/>
  <c r="M491" i="1" s="1"/>
  <c r="I492" i="1"/>
  <c r="M492" i="1" s="1"/>
  <c r="I493" i="1"/>
  <c r="M493" i="1" s="1"/>
  <c r="I494" i="1"/>
  <c r="M494" i="1" s="1"/>
  <c r="I495" i="1"/>
  <c r="M495" i="1" s="1"/>
  <c r="I496" i="1"/>
  <c r="M496" i="1" s="1"/>
  <c r="I497" i="1"/>
  <c r="M497" i="1" s="1"/>
  <c r="I498" i="1"/>
  <c r="M498" i="1" s="1"/>
  <c r="I499" i="1"/>
  <c r="M499" i="1" s="1"/>
  <c r="I500" i="1"/>
  <c r="M500" i="1" s="1"/>
  <c r="I501" i="1"/>
  <c r="M501" i="1" s="1"/>
  <c r="I502" i="1"/>
  <c r="M502" i="1" s="1"/>
  <c r="I503" i="1"/>
  <c r="M503" i="1" s="1"/>
  <c r="I504" i="1"/>
  <c r="M504" i="1" s="1"/>
  <c r="I505" i="1"/>
  <c r="M505" i="1" s="1"/>
  <c r="I506" i="1"/>
  <c r="M506" i="1" s="1"/>
  <c r="I507" i="1"/>
  <c r="M507" i="1" s="1"/>
  <c r="I508" i="1"/>
  <c r="M508" i="1" s="1"/>
  <c r="I509" i="1"/>
  <c r="M509" i="1" s="1"/>
  <c r="I510" i="1"/>
  <c r="M510" i="1" s="1"/>
  <c r="I511" i="1"/>
  <c r="M511" i="1" s="1"/>
  <c r="I512" i="1"/>
  <c r="M512" i="1" s="1"/>
  <c r="I513" i="1"/>
  <c r="M513" i="1" s="1"/>
  <c r="I514" i="1"/>
  <c r="M514" i="1" s="1"/>
  <c r="I515" i="1"/>
  <c r="M515" i="1" s="1"/>
  <c r="I516" i="1"/>
  <c r="M516" i="1" s="1"/>
  <c r="I517" i="1"/>
  <c r="M517" i="1" s="1"/>
  <c r="I518" i="1"/>
  <c r="M518" i="1" s="1"/>
  <c r="I519" i="1"/>
  <c r="M519" i="1" s="1"/>
  <c r="I520" i="1"/>
  <c r="M520" i="1" s="1"/>
  <c r="I521" i="1"/>
  <c r="M521" i="1" s="1"/>
  <c r="I522" i="1"/>
  <c r="M522" i="1" s="1"/>
  <c r="I523" i="1"/>
  <c r="M523" i="1" s="1"/>
  <c r="I524" i="1"/>
  <c r="M524" i="1" s="1"/>
  <c r="I525" i="1"/>
  <c r="M525" i="1" s="1"/>
  <c r="I526" i="1"/>
  <c r="M526" i="1" s="1"/>
  <c r="I527" i="1"/>
  <c r="M527" i="1" s="1"/>
  <c r="I528" i="1"/>
  <c r="M528" i="1" s="1"/>
  <c r="I529" i="1"/>
  <c r="M529" i="1" s="1"/>
  <c r="I530" i="1"/>
  <c r="M530" i="1" s="1"/>
  <c r="I531" i="1"/>
  <c r="M531" i="1" s="1"/>
  <c r="I532" i="1"/>
  <c r="M532" i="1" s="1"/>
  <c r="I533" i="1"/>
  <c r="M533" i="1" s="1"/>
  <c r="I534" i="1"/>
  <c r="M534" i="1" s="1"/>
  <c r="I535" i="1"/>
  <c r="M535" i="1" s="1"/>
  <c r="I536" i="1"/>
  <c r="M536" i="1" s="1"/>
  <c r="I537" i="1"/>
  <c r="M537" i="1" s="1"/>
  <c r="I538" i="1"/>
  <c r="M538" i="1" s="1"/>
  <c r="I539" i="1"/>
  <c r="M539" i="1" s="1"/>
  <c r="I540" i="1"/>
  <c r="M540" i="1" s="1"/>
  <c r="I541" i="1"/>
  <c r="M541" i="1" s="1"/>
  <c r="I542" i="1"/>
  <c r="M542" i="1" s="1"/>
  <c r="I543" i="1"/>
  <c r="M543" i="1" s="1"/>
  <c r="I544" i="1"/>
  <c r="M544" i="1" s="1"/>
  <c r="I545" i="1"/>
  <c r="M545" i="1" s="1"/>
  <c r="I546" i="1"/>
  <c r="M546" i="1" s="1"/>
  <c r="I547" i="1"/>
  <c r="M547" i="1" s="1"/>
  <c r="I548" i="1"/>
  <c r="M548" i="1" s="1"/>
  <c r="I549" i="1"/>
  <c r="M549" i="1" s="1"/>
  <c r="I550" i="1"/>
  <c r="M550" i="1" s="1"/>
  <c r="I551" i="1"/>
  <c r="M551" i="1" s="1"/>
  <c r="I552" i="1"/>
  <c r="M552" i="1" s="1"/>
  <c r="I553" i="1"/>
  <c r="M553" i="1" s="1"/>
  <c r="I554" i="1"/>
  <c r="M554" i="1" s="1"/>
  <c r="I555" i="1"/>
  <c r="M555" i="1" s="1"/>
  <c r="I556" i="1"/>
  <c r="M556" i="1" s="1"/>
  <c r="I557" i="1"/>
  <c r="M557" i="1" s="1"/>
  <c r="I558" i="1"/>
  <c r="M558" i="1" s="1"/>
  <c r="I559" i="1"/>
  <c r="M559" i="1" s="1"/>
  <c r="I560" i="1"/>
  <c r="M560" i="1" s="1"/>
  <c r="I561" i="1"/>
  <c r="M561" i="1" s="1"/>
  <c r="I562" i="1"/>
  <c r="M562" i="1" s="1"/>
  <c r="I563" i="1"/>
  <c r="M563" i="1" s="1"/>
  <c r="I564" i="1"/>
  <c r="M564" i="1" s="1"/>
  <c r="I565" i="1"/>
  <c r="M565" i="1" s="1"/>
  <c r="I566" i="1"/>
  <c r="M566" i="1" s="1"/>
  <c r="I567" i="1"/>
  <c r="M567" i="1" s="1"/>
  <c r="I568" i="1"/>
  <c r="M568" i="1" s="1"/>
  <c r="I569" i="1"/>
  <c r="M569" i="1" s="1"/>
  <c r="I570" i="1"/>
  <c r="M570" i="1" s="1"/>
  <c r="I571" i="1"/>
  <c r="M571" i="1" s="1"/>
  <c r="I572" i="1"/>
  <c r="M572" i="1" s="1"/>
  <c r="I573" i="1"/>
  <c r="M573" i="1" s="1"/>
  <c r="I574" i="1"/>
  <c r="M574" i="1" s="1"/>
  <c r="I575" i="1"/>
  <c r="M575" i="1" s="1"/>
  <c r="I576" i="1"/>
  <c r="M576" i="1" s="1"/>
  <c r="I577" i="1"/>
  <c r="M577" i="1" s="1"/>
  <c r="I578" i="1"/>
  <c r="M578" i="1" s="1"/>
  <c r="I579" i="1"/>
  <c r="M579" i="1" s="1"/>
  <c r="I580" i="1"/>
  <c r="M580" i="1" s="1"/>
  <c r="I581" i="1"/>
  <c r="M581" i="1" s="1"/>
  <c r="I582" i="1"/>
  <c r="M582" i="1" s="1"/>
  <c r="I583" i="1"/>
  <c r="M583" i="1" s="1"/>
  <c r="I584" i="1"/>
  <c r="M584" i="1" s="1"/>
  <c r="I585" i="1"/>
  <c r="M585" i="1" s="1"/>
  <c r="I586" i="1"/>
  <c r="M586" i="1" s="1"/>
  <c r="I587" i="1"/>
  <c r="M587" i="1" s="1"/>
  <c r="I588" i="1"/>
  <c r="M588" i="1" s="1"/>
  <c r="I589" i="1"/>
  <c r="M589" i="1" s="1"/>
  <c r="I590" i="1"/>
  <c r="M590" i="1" s="1"/>
  <c r="I591" i="1"/>
  <c r="M591" i="1" s="1"/>
  <c r="I592" i="1"/>
  <c r="M592" i="1" s="1"/>
  <c r="I593" i="1"/>
  <c r="M593" i="1" s="1"/>
  <c r="I594" i="1"/>
  <c r="M594" i="1" s="1"/>
  <c r="I595" i="1"/>
  <c r="M595" i="1" s="1"/>
  <c r="I596" i="1"/>
  <c r="M596" i="1" s="1"/>
  <c r="I597" i="1"/>
  <c r="M597" i="1" s="1"/>
  <c r="I598" i="1"/>
  <c r="M598" i="1" s="1"/>
  <c r="I599" i="1"/>
  <c r="M599" i="1" s="1"/>
  <c r="I600" i="1"/>
  <c r="M600" i="1" s="1"/>
  <c r="I601" i="1"/>
  <c r="M601" i="1" s="1"/>
  <c r="I602" i="1"/>
  <c r="M602" i="1" s="1"/>
  <c r="I603" i="1"/>
  <c r="M603" i="1" s="1"/>
  <c r="I604" i="1"/>
  <c r="M604" i="1" s="1"/>
  <c r="I605" i="1"/>
  <c r="M605" i="1" s="1"/>
  <c r="I606" i="1"/>
  <c r="M606" i="1" s="1"/>
  <c r="I607" i="1"/>
  <c r="M607" i="1" s="1"/>
  <c r="I608" i="1"/>
  <c r="M608" i="1" s="1"/>
  <c r="I609" i="1"/>
  <c r="M609" i="1" s="1"/>
  <c r="I610" i="1"/>
  <c r="M610" i="1" s="1"/>
  <c r="I611" i="1"/>
  <c r="M611" i="1" s="1"/>
  <c r="I612" i="1"/>
  <c r="M612" i="1" s="1"/>
  <c r="I613" i="1"/>
  <c r="M613" i="1" s="1"/>
  <c r="I614" i="1"/>
  <c r="M614" i="1" s="1"/>
  <c r="I615" i="1"/>
  <c r="M615" i="1" s="1"/>
  <c r="I616" i="1"/>
  <c r="M616" i="1" s="1"/>
  <c r="I617" i="1"/>
  <c r="M617" i="1" s="1"/>
  <c r="I618" i="1"/>
  <c r="M618" i="1" s="1"/>
  <c r="I619" i="1"/>
  <c r="M619" i="1" s="1"/>
  <c r="I620" i="1"/>
  <c r="M620" i="1" s="1"/>
  <c r="I621" i="1"/>
  <c r="M621" i="1" s="1"/>
  <c r="I622" i="1"/>
  <c r="M622" i="1" s="1"/>
  <c r="I623" i="1"/>
  <c r="M623" i="1" s="1"/>
  <c r="I624" i="1"/>
  <c r="M624" i="1" s="1"/>
  <c r="I625" i="1"/>
  <c r="M625" i="1" s="1"/>
  <c r="I626" i="1"/>
  <c r="M626" i="1" s="1"/>
  <c r="I627" i="1"/>
  <c r="M627" i="1" s="1"/>
  <c r="I628" i="1"/>
  <c r="M628" i="1" s="1"/>
  <c r="I629" i="1"/>
  <c r="M629" i="1" s="1"/>
  <c r="I630" i="1"/>
  <c r="M630" i="1" s="1"/>
  <c r="I631" i="1"/>
  <c r="M631" i="1" s="1"/>
  <c r="I632" i="1"/>
  <c r="M632" i="1" s="1"/>
  <c r="I633" i="1"/>
  <c r="M633" i="1" s="1"/>
  <c r="I634" i="1"/>
  <c r="M634" i="1" s="1"/>
  <c r="I635" i="1"/>
  <c r="M635" i="1" s="1"/>
  <c r="I636" i="1"/>
  <c r="M636" i="1" s="1"/>
  <c r="I637" i="1"/>
  <c r="M637" i="1" s="1"/>
  <c r="I638" i="1"/>
  <c r="M638" i="1" s="1"/>
  <c r="I639" i="1"/>
  <c r="M639" i="1" s="1"/>
  <c r="I640" i="1"/>
  <c r="M640" i="1" s="1"/>
  <c r="I641" i="1"/>
  <c r="M641" i="1" s="1"/>
  <c r="I642" i="1"/>
  <c r="M642" i="1" s="1"/>
  <c r="I643" i="1"/>
  <c r="M643" i="1" s="1"/>
  <c r="I644" i="1"/>
  <c r="M644" i="1" s="1"/>
  <c r="I645" i="1"/>
  <c r="M645" i="1" s="1"/>
  <c r="I646" i="1"/>
  <c r="M646" i="1" s="1"/>
  <c r="I647" i="1"/>
  <c r="M647" i="1" s="1"/>
  <c r="I648" i="1"/>
  <c r="M648" i="1" s="1"/>
  <c r="I649" i="1"/>
  <c r="M649" i="1" s="1"/>
  <c r="I650" i="1"/>
  <c r="M650" i="1" s="1"/>
  <c r="I651" i="1"/>
  <c r="M651" i="1" s="1"/>
  <c r="I652" i="1"/>
  <c r="M652" i="1" s="1"/>
  <c r="I653" i="1"/>
  <c r="M653" i="1" s="1"/>
  <c r="I654" i="1"/>
  <c r="M654" i="1" s="1"/>
  <c r="I655" i="1"/>
  <c r="M655" i="1" s="1"/>
  <c r="I656" i="1"/>
  <c r="M656" i="1" s="1"/>
  <c r="I657" i="1"/>
  <c r="M657" i="1" s="1"/>
  <c r="I658" i="1"/>
  <c r="M658" i="1" s="1"/>
  <c r="I659" i="1"/>
  <c r="M659" i="1" s="1"/>
  <c r="I660" i="1"/>
  <c r="M660" i="1" s="1"/>
  <c r="I661" i="1"/>
  <c r="M661" i="1" s="1"/>
  <c r="I662" i="1"/>
  <c r="M662" i="1" s="1"/>
  <c r="I663" i="1"/>
  <c r="M663" i="1" s="1"/>
  <c r="I664" i="1"/>
  <c r="M664" i="1" s="1"/>
  <c r="I665" i="1"/>
  <c r="M665" i="1" s="1"/>
  <c r="I666" i="1"/>
  <c r="M666" i="1" s="1"/>
  <c r="I667" i="1"/>
  <c r="M667" i="1" s="1"/>
  <c r="I668" i="1"/>
  <c r="M668" i="1" s="1"/>
  <c r="I669" i="1"/>
  <c r="M669" i="1" s="1"/>
  <c r="I670" i="1"/>
  <c r="M670" i="1" s="1"/>
  <c r="I671" i="1"/>
  <c r="M671" i="1" s="1"/>
  <c r="I672" i="1"/>
  <c r="M672" i="1" s="1"/>
  <c r="I673" i="1"/>
  <c r="M673" i="1" s="1"/>
  <c r="I674" i="1"/>
  <c r="M674" i="1" s="1"/>
  <c r="I675" i="1"/>
  <c r="M675" i="1" s="1"/>
  <c r="I676" i="1"/>
  <c r="M676" i="1" s="1"/>
  <c r="I677" i="1"/>
  <c r="M677" i="1" s="1"/>
  <c r="I678" i="1"/>
  <c r="M678" i="1" s="1"/>
  <c r="I679" i="1"/>
  <c r="M679" i="1" s="1"/>
  <c r="I680" i="1"/>
  <c r="M680" i="1" s="1"/>
  <c r="I681" i="1"/>
  <c r="M681" i="1" s="1"/>
  <c r="I682" i="1"/>
  <c r="M682" i="1" s="1"/>
  <c r="I683" i="1"/>
  <c r="M683" i="1" s="1"/>
  <c r="I684" i="1"/>
  <c r="M684" i="1" s="1"/>
  <c r="I685" i="1"/>
  <c r="M685" i="1" s="1"/>
  <c r="I686" i="1"/>
  <c r="M686" i="1" s="1"/>
  <c r="I687" i="1"/>
  <c r="M687" i="1" s="1"/>
  <c r="I688" i="1"/>
  <c r="M688" i="1" s="1"/>
  <c r="I689" i="1"/>
  <c r="M689" i="1" s="1"/>
  <c r="I690" i="1"/>
  <c r="M690" i="1" s="1"/>
  <c r="I691" i="1"/>
  <c r="M691" i="1" s="1"/>
  <c r="I692" i="1"/>
  <c r="M692" i="1" s="1"/>
  <c r="I693" i="1"/>
  <c r="M693" i="1" s="1"/>
  <c r="I694" i="1"/>
  <c r="M694" i="1" s="1"/>
  <c r="I695" i="1"/>
  <c r="M695" i="1" s="1"/>
  <c r="I696" i="1"/>
  <c r="M696" i="1" s="1"/>
  <c r="I697" i="1"/>
  <c r="M697" i="1" s="1"/>
  <c r="I698" i="1"/>
  <c r="M698" i="1" s="1"/>
  <c r="I699" i="1"/>
  <c r="M699" i="1" s="1"/>
  <c r="I700" i="1"/>
  <c r="M700" i="1" s="1"/>
  <c r="I701" i="1"/>
  <c r="M701" i="1" s="1"/>
  <c r="I702" i="1"/>
  <c r="M702" i="1" s="1"/>
  <c r="I703" i="1"/>
  <c r="M703" i="1" s="1"/>
  <c r="I704" i="1"/>
  <c r="M704" i="1" s="1"/>
  <c r="I705" i="1"/>
  <c r="M705" i="1" s="1"/>
  <c r="I706" i="1"/>
  <c r="M706" i="1" s="1"/>
  <c r="G9" i="9"/>
  <c r="B31" i="9"/>
  <c r="C20" i="9"/>
  <c r="B20" i="9"/>
  <c r="B9" i="9"/>
  <c r="D4" i="9"/>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Z1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E2BB51-5C25-4787-800D-E15A724B2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5DA50E-62C5-41CC-AB76-206EEA0BB470}" name="WorksheetConnection_bc_fixed_v2.xlsx!DataSales" type="102" refreshedVersion="8" minRefreshableVersion="5">
    <extLst>
      <ext xmlns:x15="http://schemas.microsoft.com/office/spreadsheetml/2010/11/main" uri="{DE250136-89BD-433C-8126-D09CA5730AF9}">
        <x15:connection id="DataSales" autoDelete="1">
          <x15:rangePr sourceName="_xlcn.WorksheetConnection_bc_fixed_v2.xlsxDataSales1"/>
        </x15:connection>
      </ext>
    </extLst>
  </connection>
</connections>
</file>

<file path=xl/sharedStrings.xml><?xml version="1.0" encoding="utf-8"?>
<sst xmlns="http://schemas.openxmlformats.org/spreadsheetml/2006/main" count="5352" uniqueCount="908">
  <si>
    <t>STT</t>
  </si>
  <si>
    <t>Mã</t>
  </si>
  <si>
    <t>Hàng</t>
  </si>
  <si>
    <t>ĐVT</t>
  </si>
  <si>
    <t>Tiền Nhập</t>
  </si>
  <si>
    <t>SL Xuất KM</t>
  </si>
  <si>
    <t>SL Xuất</t>
  </si>
  <si>
    <t>Tiền Xuất</t>
  </si>
  <si>
    <t>Doanh Thu</t>
  </si>
  <si>
    <t>Ngày Xuất</t>
  </si>
  <si>
    <t>Khách hàng</t>
  </si>
  <si>
    <t>Lợi Nhuận</t>
  </si>
  <si>
    <t>Tỷ lệ lợi nhuận</t>
  </si>
  <si>
    <t>Tổng số lượng bán</t>
  </si>
  <si>
    <t>% SL Khuyến mãi</t>
  </si>
  <si>
    <t>Year</t>
  </si>
  <si>
    <t>KV100</t>
  </si>
  <si>
    <t>Khăn Napkin Toply 100 tờ x 48 gói</t>
  </si>
  <si>
    <t>Gói</t>
  </si>
  <si>
    <t>Xuân Bình - M.Hiệp</t>
  </si>
  <si>
    <t>TLM</t>
  </si>
  <si>
    <t>Tẩy toilet Liên Minh (nguyên liệu nhập khẩu) x 12 chai</t>
  </si>
  <si>
    <t>Chai</t>
  </si>
  <si>
    <t>NG3600</t>
  </si>
  <si>
    <t>Nước giặt Kimono 6 in 1 (tím) x 3,6kg x 4 bình</t>
  </si>
  <si>
    <t>Bình</t>
  </si>
  <si>
    <t>Bé Bắp - N.Mỹ</t>
  </si>
  <si>
    <t>KV1002</t>
  </si>
  <si>
    <t>Khăn Napkin TiOne nâu 100 tờ x 30 gói</t>
  </si>
  <si>
    <t>Căn tin BV Phổi( Chị Duyên) - BV phổi</t>
  </si>
  <si>
    <t>BCTEM32</t>
  </si>
  <si>
    <t>BCTE N32 (xe) x 12 x 30 hộp</t>
  </si>
  <si>
    <t>Cây</t>
  </si>
  <si>
    <t>MP Nhanh - M.Hiệp</t>
  </si>
  <si>
    <t>BCTEM35</t>
  </si>
  <si>
    <t>BCTE N35 (búp bê) x 12 x 30 hộp</t>
  </si>
  <si>
    <t>BCTEN36</t>
  </si>
  <si>
    <t>BCTE N36 (đồng hồ) x 18 x 20 hộp</t>
  </si>
  <si>
    <t>KU100</t>
  </si>
  <si>
    <t>Khăn ướt Begin 100 tờ x 20 gói</t>
  </si>
  <si>
    <t>KV320</t>
  </si>
  <si>
    <t>Khăn Napkin Fairy 320 x 100 tờ x 48 gói</t>
  </si>
  <si>
    <t>Chị Nga - HCL</t>
  </si>
  <si>
    <t>Mỹ Nhân - N.Mỹ</t>
  </si>
  <si>
    <t>Điện thoại Tuấn - N.Mỹ</t>
  </si>
  <si>
    <t>A1K15</t>
  </si>
  <si>
    <t>Kẹo bạc hà (chanh muối) Himalaya 15g x 12 gói x 12 hộp</t>
  </si>
  <si>
    <t>Hộp</t>
  </si>
  <si>
    <t>TT Hải Hà - HCL</t>
  </si>
  <si>
    <t>KDL01</t>
  </si>
  <si>
    <t>Khăn giấy bỏ túi Paseo 9 tờ x 6 gói/cây x 40 cây</t>
  </si>
  <si>
    <t>TBTE20003</t>
  </si>
  <si>
    <t>Tăm bông thân giấy TE hộp chữ nhật 200 cây x 12 hộp</t>
  </si>
  <si>
    <t>DCTD708</t>
  </si>
  <si>
    <t>Dao cạo Dorco vàng TD 708 (12 cây x 40 vỉ)</t>
  </si>
  <si>
    <t>Vỉ</t>
  </si>
  <si>
    <t>TH Trương Vy - A.Bình 2</t>
  </si>
  <si>
    <t>KU250</t>
  </si>
  <si>
    <t>Khăn ướt TE Villa 250g x 30 gói</t>
  </si>
  <si>
    <t>KKDN300</t>
  </si>
  <si>
    <t>Khăn khô đa năng 300gr x 30 gói</t>
  </si>
  <si>
    <t>Thế Giới Con Cưng - HCL</t>
  </si>
  <si>
    <t>KU1506</t>
  </si>
  <si>
    <t>Khăn ướt Lovely (khổ lớn) 150g x 30 gói</t>
  </si>
  <si>
    <t>Chị Tuyết - HCL (N.Mỹ)</t>
  </si>
  <si>
    <t>KV1011</t>
  </si>
  <si>
    <t>Khăn Napkin EMos x 30 gói</t>
  </si>
  <si>
    <t>HTF3000</t>
  </si>
  <si>
    <t>Nước giặt Fineline tím 3L x 4 bình</t>
  </si>
  <si>
    <t>Thanh Nhàn - N.Mỹ</t>
  </si>
  <si>
    <t>CG50</t>
  </si>
  <si>
    <t>Chân gà cay ăn liền ZL FOOD loại 50g x 30 x 7 túi</t>
  </si>
  <si>
    <t>Cái</t>
  </si>
  <si>
    <t>Hồng Hạnh - P.Mỹ (cầu Trâu Trắng)</t>
  </si>
  <si>
    <t>CG501</t>
  </si>
  <si>
    <t>Chân gà cay ăn liền ZL FOOD Acao 50g x 30 x 7 túi</t>
  </si>
  <si>
    <t>NV004</t>
  </si>
  <si>
    <t>Núm vú cổ hẹp size XL</t>
  </si>
  <si>
    <t>NV101</t>
  </si>
  <si>
    <t>Núm vú cổ rộng size S</t>
  </si>
  <si>
    <t>HM601</t>
  </si>
  <si>
    <t>HIMA DAILY (new) 6 lọ x 6 hộp</t>
  </si>
  <si>
    <t>TT Hoàng Yến - M.Long</t>
  </si>
  <si>
    <t>NG50002</t>
  </si>
  <si>
    <t>Nước giặt Kimono 6 in 1 vuông (đen) 5kg x 4 bình</t>
  </si>
  <si>
    <t>Minh Hiền (chị Ớ) - B.H.Trung</t>
  </si>
  <si>
    <t>TNS1</t>
  </si>
  <si>
    <t>Tẩy toilet Nam Sơn NK 100% 1L x 12 chai</t>
  </si>
  <si>
    <t>Chị Xuyên - M.Long</t>
  </si>
  <si>
    <t>Chị Linh (bán bọc) - HCL</t>
  </si>
  <si>
    <t>TB10003</t>
  </si>
  <si>
    <t>Tăm bông thân trúc túi 100 cây x 24 túi</t>
  </si>
  <si>
    <t>Túi</t>
  </si>
  <si>
    <t>TT Ngọc Hạnh - Đ.Mối</t>
  </si>
  <si>
    <t>JA1KG</t>
  </si>
  <si>
    <t>Javel 1L x 12 chai</t>
  </si>
  <si>
    <t>TH Trinh (Mỹ Trinh) - HCL (cuối chợ)</t>
  </si>
  <si>
    <t>BT001</t>
  </si>
  <si>
    <t>Bông tắm không mút cao cấp x 12 cái</t>
  </si>
  <si>
    <t>TT Nguyễn Thị Định - M.Xương</t>
  </si>
  <si>
    <t>GC605</t>
  </si>
  <si>
    <t>GVS Ruby 6 cuộn Mèo (không lõi) x 10 cây</t>
  </si>
  <si>
    <t>HTCTBC180</t>
  </si>
  <si>
    <t>Cốc thả bồn cầu 180g x 24 hũ</t>
  </si>
  <si>
    <t>Hủ</t>
  </si>
  <si>
    <t>KU102</t>
  </si>
  <si>
    <t>Khăn ướt không mùi cao cấp (AT-12) x 24 gói</t>
  </si>
  <si>
    <t>TC1800</t>
  </si>
  <si>
    <t>Thông cống 1,8L x 10 chai</t>
  </si>
  <si>
    <t>TB20002</t>
  </si>
  <si>
    <t>Tăm bông thân nhựa NL hộp tròn 200 cây x 12 hộp</t>
  </si>
  <si>
    <t>TT Trung Tuấn - B.H.Tây</t>
  </si>
  <si>
    <t>TBTE20002</t>
  </si>
  <si>
    <t>Tăm bông thân nhựa TE hộp tròn 200 cây x 12 hộp</t>
  </si>
  <si>
    <t>HM10</t>
  </si>
  <si>
    <t>Yến sào Finenest nhân sâm x 10 hộp</t>
  </si>
  <si>
    <t>Vương Quốc Sữa - B.H.Trung</t>
  </si>
  <si>
    <t>HM603</t>
  </si>
  <si>
    <t>HIMA Vinnest 6 lọ KĐ x 6 hộp</t>
  </si>
  <si>
    <t>HM608</t>
  </si>
  <si>
    <t>Yến sào Seunest CĐ vàng x 6 hộp</t>
  </si>
  <si>
    <t>HM610</t>
  </si>
  <si>
    <t>Yến sào Finenest CĐ đỏ x 6 hộp</t>
  </si>
  <si>
    <t>Chị Oanh - M.Long</t>
  </si>
  <si>
    <t>KU801</t>
  </si>
  <si>
    <t>Khăn ướt Baby (đỏ) 80g x 50 gói</t>
  </si>
  <si>
    <t>KV1007</t>
  </si>
  <si>
    <t>Khăn Napkin An An 100 tờ x 40 gói</t>
  </si>
  <si>
    <t>JA2KG</t>
  </si>
  <si>
    <t>Javel 2L x 6 chai</t>
  </si>
  <si>
    <t>Thiên Phú - M.Long</t>
  </si>
  <si>
    <t>Sữa tả Hoàng Trúc - HCL (T.Mỹ)</t>
  </si>
  <si>
    <t>KTN3001</t>
  </si>
  <si>
    <t>Kẹo Trang Nghiêm DÂU TÂY hộp 200g x 24 hộp/thùng</t>
  </si>
  <si>
    <t>Su Trường - T.H.Trung</t>
  </si>
  <si>
    <t>KTN3002</t>
  </si>
  <si>
    <t>Kẹo Trang Nghiêm DÂU TẰM hộp 200g x 24 hộp/thùng</t>
  </si>
  <si>
    <t>KTN3003</t>
  </si>
  <si>
    <t>Kẹo Trang Nghiêm ME ỚT hộp 200g x 24 hộp/thùng</t>
  </si>
  <si>
    <t>TT Đông Nghi - P.Mỹ</t>
  </si>
  <si>
    <t>BG32001</t>
  </si>
  <si>
    <t>Bột giặt 109 Thái 100% - 3,2kg x 4 gói/thùng</t>
  </si>
  <si>
    <t>Anh Nghiệp (Cậu 2 Nhựt) - Ngã 4</t>
  </si>
  <si>
    <t>LLDORCOTITAN</t>
  </si>
  <si>
    <t>Lưỡi lam Dorco Titan 10 lưỡi x 10 lốc x 10 hộp</t>
  </si>
  <si>
    <t>KV1009</t>
  </si>
  <si>
    <t>Khăn Napkin TiOne Gấu 100 tờ x 48 gói</t>
  </si>
  <si>
    <t>Thanh Tâm - Ngã 4</t>
  </si>
  <si>
    <t>BSOGI121</t>
  </si>
  <si>
    <t>Bánh SOGI CHOCOLATE WITH STRAWBERRY CREAM 12g x 24 cây x 6 hủ</t>
  </si>
  <si>
    <t>Thế giới sữa Tony - T.Nghĩa</t>
  </si>
  <si>
    <t>CG26</t>
  </si>
  <si>
    <t>Chân gà rút xương cay ăn liền ZL FOOD 26g x 20 x 10 túi</t>
  </si>
  <si>
    <t>SD1000</t>
  </si>
  <si>
    <t>Sữa đặc Creamer có đường 1kg x 24 lon</t>
  </si>
  <si>
    <t>Lon</t>
  </si>
  <si>
    <t>CC16</t>
  </si>
  <si>
    <t>Cacao Passion 3 in 1 (16g x 10s x 80 dây)</t>
  </si>
  <si>
    <t>Dây</t>
  </si>
  <si>
    <t>5 Phụng - T.Nghĩa</t>
  </si>
  <si>
    <t>KDL1301</t>
  </si>
  <si>
    <t>Khăn du lịch GIA PHÁT 3 lớp x 130 tờ x 100 gói</t>
  </si>
  <si>
    <t>Tường Sang - T.Nghĩa</t>
  </si>
  <si>
    <t>KR500</t>
  </si>
  <si>
    <t>Khăn rút lụa NAROTO 2 lớp x 500 tờ x 50 gói</t>
  </si>
  <si>
    <t>SRT500</t>
  </si>
  <si>
    <t>SRT tự nhiên (hồng, tím, đỏ, xanh) 500ml x 20 chai</t>
  </si>
  <si>
    <t>An Nhiên - T.Nghĩa</t>
  </si>
  <si>
    <t>TBND500</t>
  </si>
  <si>
    <t>Nước Yến Nha Đam (Pet) 500ml x 24 chai</t>
  </si>
  <si>
    <t>Thùng</t>
  </si>
  <si>
    <t>JA350G</t>
  </si>
  <si>
    <t>Javel 350ml x 30 chai</t>
  </si>
  <si>
    <t>Đạt Hường - P.Thịnh</t>
  </si>
  <si>
    <t>JA500G</t>
  </si>
  <si>
    <t>Javel 550ml x 24 chai</t>
  </si>
  <si>
    <t>HTBSN80</t>
  </si>
  <si>
    <t>Snack bắp Otori vị Phô Mai 80g x 12</t>
  </si>
  <si>
    <t>Mỹ Hạnh - HCL</t>
  </si>
  <si>
    <t>HTBSN90</t>
  </si>
  <si>
    <t>Snack bắp Otori vị Gà cay 90g x 12</t>
  </si>
  <si>
    <t>HTBSN902</t>
  </si>
  <si>
    <t>Snack bắp Otori vị Tomyum Kung 90g x 12</t>
  </si>
  <si>
    <t>HTBSN903</t>
  </si>
  <si>
    <t>Snack bắp Otori vị Rong Biển 90g x 12</t>
  </si>
  <si>
    <t>HTBSN904</t>
  </si>
  <si>
    <t>Snack bắp Otori vị Dừa 80g x 12</t>
  </si>
  <si>
    <t>KV1001</t>
  </si>
  <si>
    <t>Khăn Napkin Ruby Gold 100 tờ x 30 gói</t>
  </si>
  <si>
    <t>NSSK555</t>
  </si>
  <si>
    <t>Saka 555ml x 24 chai</t>
  </si>
  <si>
    <t>TT Hải Châu - T.H.Trung</t>
  </si>
  <si>
    <t>BTT160</t>
  </si>
  <si>
    <t>Bông tẩy trang 160 miếng x 120 cây</t>
  </si>
  <si>
    <t>TT Ngọc Trinh - B.H.Trung</t>
  </si>
  <si>
    <t>TBTE1001</t>
  </si>
  <si>
    <t>Tăm bông thân nhựa TE túi 100 cây x 24 túi</t>
  </si>
  <si>
    <t>GC106</t>
  </si>
  <si>
    <t>GVS Ruby (HQ) 10 cuộn x 8kg</t>
  </si>
  <si>
    <t>Chị Thắm (Hồng Thắm) - B.H.Tây</t>
  </si>
  <si>
    <t>GC617</t>
  </si>
  <si>
    <t>GVS TiOne hồng 6 cuộn x 12 cây</t>
  </si>
  <si>
    <t>4 Điều - M.Trắng</t>
  </si>
  <si>
    <t>TT Hữu Nghị - M.Trắng</t>
  </si>
  <si>
    <t>Chị Đào - T.H.Trung</t>
  </si>
  <si>
    <t>HM607</t>
  </si>
  <si>
    <t>Yến sào Seunest KĐ xanh x 6 hộp</t>
  </si>
  <si>
    <t>TH Ngân (chị Ngân) - T.H.Trung</t>
  </si>
  <si>
    <t>Chị Hạnh - M.Trắng</t>
  </si>
  <si>
    <t>Kim Quyên - M.Trắng</t>
  </si>
  <si>
    <t>XM6007</t>
  </si>
  <si>
    <t>Xịt muỗi 600ml x 30 chai</t>
  </si>
  <si>
    <t>GC6010</t>
  </si>
  <si>
    <t>GVS Fairy cuộn CN 600g x 10 cuộn</t>
  </si>
  <si>
    <t>Cuộn</t>
  </si>
  <si>
    <t>Như Ý - M.Trắng</t>
  </si>
  <si>
    <t>Uốn tóc Kim Phụng - M.Trắng</t>
  </si>
  <si>
    <t>Chú 7 Vân - B.H.Tây</t>
  </si>
  <si>
    <t>HM600</t>
  </si>
  <si>
    <t>HIMA Yến Huyết 6 lọ x 6 hộp</t>
  </si>
  <si>
    <t>HM609</t>
  </si>
  <si>
    <t>HIMA Hoa Hồng 35% yến 6 lọ x 6 hộp</t>
  </si>
  <si>
    <t>6 Trạng - M.Trắng</t>
  </si>
  <si>
    <t>NG36002</t>
  </si>
  <si>
    <t>Nước giặt Kimono 6 in 1 (đen) x 3,6kg x 4 bình</t>
  </si>
  <si>
    <t>Chị Thủy (đồ nhựa) - T.H.Trung</t>
  </si>
  <si>
    <t>GC603</t>
  </si>
  <si>
    <t>GVS Ruby Gold 6 cuộn (không lõi) x 12 cây</t>
  </si>
  <si>
    <t>TT Kim Dung - M.Hiệp</t>
  </si>
  <si>
    <t>KU80</t>
  </si>
  <si>
    <t>Khăn ướt đa năng Begin 80g x 20 gói</t>
  </si>
  <si>
    <t>NLSDN280</t>
  </si>
  <si>
    <t>Sữa đậu nành nguyên chất 280ml x 24 chai</t>
  </si>
  <si>
    <t>TC301</t>
  </si>
  <si>
    <t>Tăm chỉ nha khoa 30 chiếc x 10 hộp</t>
  </si>
  <si>
    <t>Trinh Nữ - M.Trắng</t>
  </si>
  <si>
    <t>TT Bảo Hạnh - M.Trắng</t>
  </si>
  <si>
    <t>BSOGI12</t>
  </si>
  <si>
    <t>Bánh SOGI CHOCOLATE 12g x 24 cây x 6 hủ</t>
  </si>
  <si>
    <t>Ngọc Khánh ( Mỹ Khánh ) - M.Trắng</t>
  </si>
  <si>
    <t>HM605</t>
  </si>
  <si>
    <t>HIMA Canxi &amp; Cơ Xương Khớp KĐ 6 lọ x 6 hộp</t>
  </si>
  <si>
    <t>HM611</t>
  </si>
  <si>
    <t>Yến sào Seunest Huyết x 6 hộp</t>
  </si>
  <si>
    <t>Thảo Vy - HCL</t>
  </si>
  <si>
    <t>Tuấn Kiệt - M.Long</t>
  </si>
  <si>
    <t>TBME500</t>
  </si>
  <si>
    <t>Nước Me ThaiLan (Pet) 500ml x 24 chai</t>
  </si>
  <si>
    <t>GC32</t>
  </si>
  <si>
    <t>Giấy cân 32 (1kg x 10 bịch)</t>
  </si>
  <si>
    <t>Bịch</t>
  </si>
  <si>
    <t>Thông Thảo - P.Mỹ (QL30)</t>
  </si>
  <si>
    <t>GC606</t>
  </si>
  <si>
    <t>GVS TiOne Gấu 6 cuộn x 12 cây</t>
  </si>
  <si>
    <t>SBOMGROW900</t>
  </si>
  <si>
    <t>SURE OMEGA-GROW IQ 900G</t>
  </si>
  <si>
    <t>GC1202</t>
  </si>
  <si>
    <t>GVS Toply 12 cuộn x 12 cây</t>
  </si>
  <si>
    <t>TT Minh Huệ - B.H.Trung</t>
  </si>
  <si>
    <t>Hoàng Huyên - M.Long</t>
  </si>
  <si>
    <t>A1Y600</t>
  </si>
  <si>
    <t>A1 Yến đường phèn 70ml x 6 lọ x 6 hộp</t>
  </si>
  <si>
    <t>Kim Hường - B.H.Tây</t>
  </si>
  <si>
    <t>BCN189</t>
  </si>
  <si>
    <t>BC KAKA NANO N189 x 30 x 10 hộp</t>
  </si>
  <si>
    <t>TT Đông Nguyên - M.Long</t>
  </si>
  <si>
    <t>BCX6</t>
  </si>
  <si>
    <t>BC KAKA NANO X6 x 20 x 15 lốc</t>
  </si>
  <si>
    <t>Ngọc Như - M.Long</t>
  </si>
  <si>
    <t>GC612</t>
  </si>
  <si>
    <t>GVS GLEE 6 cuộn x 12 cây</t>
  </si>
  <si>
    <t>TC1000</t>
  </si>
  <si>
    <t>Thông cống 1L x 18 chai</t>
  </si>
  <si>
    <t>Tố Quyên - T.H.Trung</t>
  </si>
  <si>
    <t>Tuyết Lài ( Chị Lài) - B.H.Trung</t>
  </si>
  <si>
    <t>VMS002</t>
  </si>
  <si>
    <t>VM Kẹo Thạch 500g (500g x 20 túi)</t>
  </si>
  <si>
    <t>Dung Vũ (đồ nhựa) - T.H.Trung</t>
  </si>
  <si>
    <t>NRC400</t>
  </si>
  <si>
    <t>NRC 107 - 400ml x 24 chai</t>
  </si>
  <si>
    <t>Gas Hồng Ngọc - M.Hội</t>
  </si>
  <si>
    <t>HTBD12</t>
  </si>
  <si>
    <t>Bánh đũa Gap Dâu tây 12g x 12 hộp x 12</t>
  </si>
  <si>
    <t>HTBD121</t>
  </si>
  <si>
    <t>Bánh đũa Gap Sô cô la 12g x 12 hộp x 12</t>
  </si>
  <si>
    <t>KGC10</t>
  </si>
  <si>
    <t>KHÔ GÀ CAY - 10 GR x 500 gói</t>
  </si>
  <si>
    <t>Chị Nhung - T.Nghĩa</t>
  </si>
  <si>
    <t>KGLC10</t>
  </si>
  <si>
    <t>KHÔ GÀ LÁ CHANH - 10 GR x 500 gói</t>
  </si>
  <si>
    <t>KL100</t>
  </si>
  <si>
    <t>Khăn lạnh Happy Life dày (xanh lá) 20 cái x 100 túi</t>
  </si>
  <si>
    <t>KTN802</t>
  </si>
  <si>
    <t>Kẹo Trang Nghiêm ME ỚT 80gr x 100 gói/thùng</t>
  </si>
  <si>
    <t>KU802</t>
  </si>
  <si>
    <t>Khăn ướt TiOne 80g x 40 gói</t>
  </si>
  <si>
    <t>NG5000</t>
  </si>
  <si>
    <t>Nước giặt Kimono 6 in 1 vuông (tím) 5Kg x 4 bình</t>
  </si>
  <si>
    <t>NGT3600</t>
  </si>
  <si>
    <t>Nước giặt Kimono (đen) 3,6kg x 5 túi</t>
  </si>
  <si>
    <t>NGT36001</t>
  </si>
  <si>
    <t>Nước giặt Kimono (tím) 3,6kg x 5 túi</t>
  </si>
  <si>
    <t>Ngọc Huyền - Gáo Giồng</t>
  </si>
  <si>
    <t>Ngọc Thắm - T.Nghĩa</t>
  </si>
  <si>
    <t>DCKAKA</t>
  </si>
  <si>
    <t>Dao cạo Kaka thay lưỡi (6 cây x 80 vỉ)</t>
  </si>
  <si>
    <t>Lợi Thủy - Gáo Giồng</t>
  </si>
  <si>
    <t>Thu Trang - T.Nghĩa</t>
  </si>
  <si>
    <t>Chị Bích - T.Linh</t>
  </si>
  <si>
    <t>Ánh Tuyết (Tuyết Thành) - T.Linh</t>
  </si>
  <si>
    <t>Tuấn Quyên - P.Thịnh</t>
  </si>
  <si>
    <t>Chị Thúy - Gáo Giồng</t>
  </si>
  <si>
    <t>HM614</t>
  </si>
  <si>
    <t>HIMA Seunest Colagen có đường 6 lọ x 6 hộp</t>
  </si>
  <si>
    <t>TB20001</t>
  </si>
  <si>
    <t>Tăm bông thân gỗ hộp 200 cây x 12 hộp</t>
  </si>
  <si>
    <t>NRC38001</t>
  </si>
  <si>
    <t>NRC KIMONO 3,6kg x 4 bình</t>
  </si>
  <si>
    <t>Tuyết Lan - B.H.Tây</t>
  </si>
  <si>
    <t>GC109</t>
  </si>
  <si>
    <t>GVS Toply 10 cuộn x 10 cây</t>
  </si>
  <si>
    <t>TT Kim Thoa - M.Long</t>
  </si>
  <si>
    <t>HTKDR16001</t>
  </si>
  <si>
    <t>KDR Closeup 160g x 6 cây x 12 block</t>
  </si>
  <si>
    <t>GC100</t>
  </si>
  <si>
    <t>GVS cuộn trắng rẻ (xá) x 10 cây</t>
  </si>
  <si>
    <t>Bao</t>
  </si>
  <si>
    <t>BCOCEAN</t>
  </si>
  <si>
    <t>BÀN CHẢI ĐÁNH RĂNG ION - OCEAN</t>
  </si>
  <si>
    <t>BCTEELEPHAN</t>
  </si>
  <si>
    <t>BÀN CHẢI ĐÁNH RĂNG TE ION - ELEPHAN</t>
  </si>
  <si>
    <t>BCTEPANDA</t>
  </si>
  <si>
    <t>BÀN CHẢI ĐÁNH RĂNG TE ION - PANDA</t>
  </si>
  <si>
    <t>NLREDBULL1</t>
  </si>
  <si>
    <t>RedBull ThaiLan</t>
  </si>
  <si>
    <t>Block</t>
  </si>
  <si>
    <t>HTBTE50</t>
  </si>
  <si>
    <t>Bánh gạo TE Happy Bites Việt Quất 50g x 12 hộp</t>
  </si>
  <si>
    <t>CH sữa tả Quý Ngọc - B.H.Trung</t>
  </si>
  <si>
    <t>Mẹ &amp; Bé ( Mẹ Yêu Con) - M.Hiệp</t>
  </si>
  <si>
    <t>Chị Lan - T.H.Trung</t>
  </si>
  <si>
    <t>Thu Thủy - P.Mỹ (cầu Trâu Trắng)</t>
  </si>
  <si>
    <t>KR1000</t>
  </si>
  <si>
    <t>Khăn giấy rút đa năng Jolly 1kg x 20 gói</t>
  </si>
  <si>
    <t>KTN80</t>
  </si>
  <si>
    <t>Kẹo Trang Nghiêm DÂU TÂY 80gr x 100 gói/thùng</t>
  </si>
  <si>
    <t>TH An ( Lê Đà) - Ngã 4</t>
  </si>
  <si>
    <t>KTN801</t>
  </si>
  <si>
    <t>Kẹo Trang Nghiêm DÂU TẰM 80gr x 100 gói/thùng</t>
  </si>
  <si>
    <t>HTBTE501</t>
  </si>
  <si>
    <t>Bánh gạo TE Happy Bites Táo 50g x 12 hộp</t>
  </si>
  <si>
    <t>HTBTE502</t>
  </si>
  <si>
    <t>Bánh gạo TE Happy Bites Chuối 50g x 12 hộp</t>
  </si>
  <si>
    <t>HTK151</t>
  </si>
  <si>
    <t>Kẹo Tommy trái cây 15g x 12 gói x 12 dây</t>
  </si>
  <si>
    <t>Trúc Ly - Ba Sao</t>
  </si>
  <si>
    <t>TC50</t>
  </si>
  <si>
    <t>Tăm chỉ nha khoa 50 chiếc x 20 gói x 18 hộp</t>
  </si>
  <si>
    <t>TT Ngọc Cát Tường - N.V.Tiếp</t>
  </si>
  <si>
    <t>KR1001</t>
  </si>
  <si>
    <t>Khăn giấy rút lụa SSS BiBi 2 lớp x 1kg x 10 gói</t>
  </si>
  <si>
    <t>Thanh Nhã - M.Long</t>
  </si>
  <si>
    <t>Trường An - Đ.Mối</t>
  </si>
  <si>
    <t>KB01</t>
  </si>
  <si>
    <t>Khăn bóp Mỹ Lan 10 gói x 60 cây</t>
  </si>
  <si>
    <t>BCTE005</t>
  </si>
  <si>
    <t>BCTE chữ U x 600 cây</t>
  </si>
  <si>
    <t>KDR001</t>
  </si>
  <si>
    <t>Kem đánh răng bộ (KDR + BC) x 144 bộ</t>
  </si>
  <si>
    <t>Bộ</t>
  </si>
  <si>
    <t>Cô 7 - X.Quýt</t>
  </si>
  <si>
    <t>Chị Thùy - X.Quýt</t>
  </si>
  <si>
    <t>Thanh Trang - HCL</t>
  </si>
  <si>
    <t>HTBTE30</t>
  </si>
  <si>
    <t>Bánh TE Munchies Chuối &amp; Bí Đỏ 30g x 12 hộp</t>
  </si>
  <si>
    <t>TT Minh Phương - T.H.Trung</t>
  </si>
  <si>
    <t>HTBTE301</t>
  </si>
  <si>
    <t>Bánh TE Munchies Mâm Xôi &amp; Củ Dền 30g x 12 hộp</t>
  </si>
  <si>
    <t>KU50001</t>
  </si>
  <si>
    <t>Khăn ướt đa năng TiOne 50 tờ x 24 gói</t>
  </si>
  <si>
    <t>NGT2000</t>
  </si>
  <si>
    <t>Nước giặt Kimono (đen) 2kg x 6 túi</t>
  </si>
  <si>
    <t>NGT2001</t>
  </si>
  <si>
    <t>Nước giặt Kimono (tím) 2kg x 6 túi</t>
  </si>
  <si>
    <t>NGT2002</t>
  </si>
  <si>
    <t>Nước giặt Kimono (hồng) 2kg x 6 túi</t>
  </si>
  <si>
    <t>NGT2003</t>
  </si>
  <si>
    <t>Nước giặt Kimono (vàng) 2kg x 6 túi</t>
  </si>
  <si>
    <t>NRC750</t>
  </si>
  <si>
    <t>NRC 107 - 750ml x 16 chai</t>
  </si>
  <si>
    <t>GC613</t>
  </si>
  <si>
    <t>GVS TiOne (HQ) xanh 6 cuộn x 12 cây</t>
  </si>
  <si>
    <t>Hiệp Hòa (dì Hồng) - HCL</t>
  </si>
  <si>
    <t>TH Bình Minh - M.Trắng</t>
  </si>
  <si>
    <t>KU2501</t>
  </si>
  <si>
    <t>Khăn ướt TiOne (khổ lớn) 250g x 20 gói</t>
  </si>
  <si>
    <t>LK500</t>
  </si>
  <si>
    <t>Lau kính (kháng khuẩn, khủ mùi) 500ml x 24 chai</t>
  </si>
  <si>
    <t>Mẹ &amp; Bé (Hồng Nhung) - M.Long</t>
  </si>
  <si>
    <t>NV103</t>
  </si>
  <si>
    <t>Núm vú cổ rộng size L</t>
  </si>
  <si>
    <t>9 Tiến - M.Trắng</t>
  </si>
  <si>
    <t>GC101</t>
  </si>
  <si>
    <t>GVS TiOne 10 cuộn xanh x 10 cây</t>
  </si>
  <si>
    <t>4 Xinh - M.Trắng</t>
  </si>
  <si>
    <t>BCTENEKO1</t>
  </si>
  <si>
    <t>BÀN CHẢI ĐÁNH RĂNG TE ION - NEKO plus</t>
  </si>
  <si>
    <t>GC10</t>
  </si>
  <si>
    <t>V/S Bibi không lõi x 10 dây</t>
  </si>
  <si>
    <t>MP Út Tuyền - B.Sao</t>
  </si>
  <si>
    <t>GC1023</t>
  </si>
  <si>
    <t>V/S Bibi có lõi x 10 dây</t>
  </si>
  <si>
    <t>Cô Triết - T.H.Trung</t>
  </si>
  <si>
    <t>GC600</t>
  </si>
  <si>
    <t>GVS TiOne cuộn CN 600gr x 10 cuộn</t>
  </si>
  <si>
    <t>KTN2001</t>
  </si>
  <si>
    <t>Kẹo Trang Nghiêm ME CAM THẢO 200gr x 50 gói/thùng</t>
  </si>
  <si>
    <t>KTN2002</t>
  </si>
  <si>
    <t>Kẹo Trang Nghiêm DÂU TÂY 200gr x 50 gói/thùng</t>
  </si>
  <si>
    <t>KTN2003</t>
  </si>
  <si>
    <t>Kẹo Trang Nghiêm DÂU TẰM 200gr x 50 gói/thùng</t>
  </si>
  <si>
    <t>KTN2004</t>
  </si>
  <si>
    <t>Kẹo Trang Nghiêm ME ỚT 200gr x 50 gói/thùng</t>
  </si>
  <si>
    <t>KDR002</t>
  </si>
  <si>
    <t>Kem đánh răng AquaStar TE cam x 60 hộp</t>
  </si>
  <si>
    <t>KDR003</t>
  </si>
  <si>
    <t>Kem đánh răng AquaStar TE dâu x 60 hộp</t>
  </si>
  <si>
    <t>KV501</t>
  </si>
  <si>
    <t>Khăn ăn Cocktail Paseo 50 tờ 2 lớp x 60 gói</t>
  </si>
  <si>
    <t>KVK300</t>
  </si>
  <si>
    <t>Khăn vải khô đa năng 300g x 30 gói</t>
  </si>
  <si>
    <t>BG3500</t>
  </si>
  <si>
    <t>Bột giặt Lady 107 - 3,5kg x 4 gói/thùng</t>
  </si>
  <si>
    <t>KU203</t>
  </si>
  <si>
    <t>Khăn ướt TiOne 20g x 100 gói</t>
  </si>
  <si>
    <t>BT002</t>
  </si>
  <si>
    <t>Bông tắm có mút cao cấp x 12 cái</t>
  </si>
  <si>
    <t>NV102</t>
  </si>
  <si>
    <t>Núm vú cổ rộng size M</t>
  </si>
  <si>
    <t>Lê Đà - Ngã 4</t>
  </si>
  <si>
    <t>KTN400</t>
  </si>
  <si>
    <t>Kẹo Trang Nghiêm DÂU TÂY hộp 400g x 24 hộp/thùng</t>
  </si>
  <si>
    <t>KTN4001</t>
  </si>
  <si>
    <t>Kẹo Trang Nghiêm DÂU TẰM hộp 400g x 24 hộp/thùng</t>
  </si>
  <si>
    <t>KU1509</t>
  </si>
  <si>
    <t>Khăn ướt BBIWINEW (khổ lớn) 150g x 30 gói</t>
  </si>
  <si>
    <t>Chị Lắm - T.Nghĩa</t>
  </si>
  <si>
    <t>HTNM</t>
  </si>
  <si>
    <t>Nhang muỗi đen ThaiLan</t>
  </si>
  <si>
    <t>5 Hiếu - T.Linh</t>
  </si>
  <si>
    <t>Hồng Loan - P.Trà</t>
  </si>
  <si>
    <t>HTF30001</t>
  </si>
  <si>
    <t>Nước giặt Fineline hồng 3L x 4 bình</t>
  </si>
  <si>
    <t>Chị Liên - T.Linh</t>
  </si>
  <si>
    <t>KR402</t>
  </si>
  <si>
    <t>Khăn giấy rút SSS BiBi 2 lớp x 400gr x 12 gói</t>
  </si>
  <si>
    <t>Quán Cơm Trâm Anh - T.Linh</t>
  </si>
  <si>
    <t>Chị My (căn tin) - BV HCL</t>
  </si>
  <si>
    <t>TT Thu Diễm - T.H.Trung</t>
  </si>
  <si>
    <t>TT Anh Hào - BV HCL</t>
  </si>
  <si>
    <t>BCA11</t>
  </si>
  <si>
    <t>BC Ion Eco care (NK Hàn Quốc) 48 cây x 2 hộp</t>
  </si>
  <si>
    <t>BCJEWELL</t>
  </si>
  <si>
    <t>BÀN CHẢI ĐÁNH RĂNG ION - JEWEL</t>
  </si>
  <si>
    <t>BCN306</t>
  </si>
  <si>
    <t>BC KAKA NANO N306 x 50 cây x 6 hộp</t>
  </si>
  <si>
    <t>TT Mỹ Hạnh - T.H.Trung</t>
  </si>
  <si>
    <t>TT Mỹ Tiên - A.Bình</t>
  </si>
  <si>
    <t>Anh Như - Chợ 307</t>
  </si>
  <si>
    <t>Chị Duyên - HCL (Thanh Mỹ)</t>
  </si>
  <si>
    <t>Mỹ Phương - HCL (Thanh Mỹ)</t>
  </si>
  <si>
    <t>HTD3000</t>
  </si>
  <si>
    <t>Nước giặt D-nee tím 3L x 4 bình</t>
  </si>
  <si>
    <t>MP Chị Út - HCL (Thanh Mỹ)</t>
  </si>
  <si>
    <t>HTD30001</t>
  </si>
  <si>
    <t>Nước giặt D-nee hồng 3L x 4 bình</t>
  </si>
  <si>
    <t>Thuận Kiều (nhà may) - Chợ 307</t>
  </si>
  <si>
    <t>Cẩm Giang - M.Xương</t>
  </si>
  <si>
    <t>HM613</t>
  </si>
  <si>
    <t>HIMA Seunest DTHT có đường 6 lọ x 6 hộp</t>
  </si>
  <si>
    <t>Dì 2 - HCL ( Thanh Mỹ)</t>
  </si>
  <si>
    <t>TH Nguyệt - T.H.Trung</t>
  </si>
  <si>
    <t>Chị Nương - HCL ( Thanh Mỹ)</t>
  </si>
  <si>
    <t>BCN193</t>
  </si>
  <si>
    <t>BC KAKA NANO N193 x 30 cây x 10 hộp</t>
  </si>
  <si>
    <t>BCN302</t>
  </si>
  <si>
    <t>BC KAKA NANO N302 x 20 cây x 20 hộp</t>
  </si>
  <si>
    <t>BCN82</t>
  </si>
  <si>
    <t>BC KaKa Nhật N82 bộ 3 cây x 9 bộ x 33 túi</t>
  </si>
  <si>
    <t>BCSILISON</t>
  </si>
  <si>
    <t>BÀN CHẢI ĐÁNH RĂNG ION - SILISON NANO</t>
  </si>
  <si>
    <t>BCTE001</t>
  </si>
  <si>
    <t>BCTE AquaStar (con chó) x 24 cây</t>
  </si>
  <si>
    <t>BCTE002</t>
  </si>
  <si>
    <t>BCTE AquaStar (con kiến) x 24 cây</t>
  </si>
  <si>
    <t>BCTE003</t>
  </si>
  <si>
    <t>BCTE AquaStar (con sâu) x 24 cây</t>
  </si>
  <si>
    <t>T3501</t>
  </si>
  <si>
    <t>Tẩy quần áo màu KIMONO 350ml x 30 chai</t>
  </si>
  <si>
    <t>Cô Huệ - B.Sao</t>
  </si>
  <si>
    <t>BCA001</t>
  </si>
  <si>
    <t>BC Ion Exciting lông xoắn kép 24 cây x 1 hộp</t>
  </si>
  <si>
    <t>BCA12</t>
  </si>
  <si>
    <t>BC AquaStar AQ-01 24 cây x 20 hộp</t>
  </si>
  <si>
    <t>BCUNIQUE</t>
  </si>
  <si>
    <t>BÀN CHẢI ĐÁNH RĂNG ION- UNIQUE</t>
  </si>
  <si>
    <t>Kim Loan - B.H.Tây</t>
  </si>
  <si>
    <t>BG1000</t>
  </si>
  <si>
    <t>Bột giặt 107 Thái 100% - 1kg x 12 gói/thùng</t>
  </si>
  <si>
    <t>BG5200</t>
  </si>
  <si>
    <t>Bột giặt Lady 107 -  5,2kg x 3 gói/thùng</t>
  </si>
  <si>
    <t>TH Hiếu (Ngọc Hiếu) - N.Mỹ</t>
  </si>
  <si>
    <t>HTBX3501</t>
  </si>
  <si>
    <t>Bánh xốp Papang vị Cam 350g x 12</t>
  </si>
  <si>
    <t>HTBX3502</t>
  </si>
  <si>
    <t>Bánh xốp Papang vị Sữa 350g x 12</t>
  </si>
  <si>
    <t>HTBXG350</t>
  </si>
  <si>
    <t>Bánh xốp Papang vị Chocolate 350g x 12</t>
  </si>
  <si>
    <t>Kim Phụng Điện - HCL</t>
  </si>
  <si>
    <t>HTBX288</t>
  </si>
  <si>
    <t>Bánh xốp Uni Chocolate 288g x 12</t>
  </si>
  <si>
    <t>HTBX2881</t>
  </si>
  <si>
    <t>Bánh xốp Uni Vanila 288g x 12</t>
  </si>
  <si>
    <t>Khải Vân - HCL</t>
  </si>
  <si>
    <t>Kim Thúy - HCL</t>
  </si>
  <si>
    <t xml:space="preserve">Thuận Tài - B.H.Trung </t>
  </si>
  <si>
    <t>HTKD802</t>
  </si>
  <si>
    <t>Kẹo dẻo YOYO Assorted Mix (Thập cẩm) 80g x 24 gói</t>
  </si>
  <si>
    <t>BWW18</t>
  </si>
  <si>
    <t>Bánh quy WINWIN - Hương vị BẮP (943) 8 gói x 180g x 24 hộp</t>
  </si>
  <si>
    <t>BWW181</t>
  </si>
  <si>
    <t>Bánh quy WINWIN - Hương vị HẢI SẢN (997) 8 gói x 18g x 24 hộp</t>
  </si>
  <si>
    <t>BWW202</t>
  </si>
  <si>
    <t>Bánh quy WINWIN - Khoai tây vị BBQ (908) 8 gói x 20g x 24 hộp</t>
  </si>
  <si>
    <t>BWW203</t>
  </si>
  <si>
    <t>Bánh quy WINWIN - Khoai tây vị RAU CẢI (910) 8 gói x 20g x 24 hộp</t>
  </si>
  <si>
    <t>BC32C189</t>
  </si>
  <si>
    <t>BC ThaiLan ống 30 cây x 15 hũ</t>
  </si>
  <si>
    <t>KR1500</t>
  </si>
  <si>
    <t>Khăn rút TiOne treo tường 1500 tờ x 15 gói</t>
  </si>
  <si>
    <t>Nhung Nhựt - N.V.Tiếp</t>
  </si>
  <si>
    <t>Phượng Loan - N.V.Tiếp</t>
  </si>
  <si>
    <t>Bảo Trân (Chị Trâm) - P.Thịnh</t>
  </si>
  <si>
    <t>KDL03</t>
  </si>
  <si>
    <t>Khăn giấy bỏ túi Jembo 10 gói x 30 cây</t>
  </si>
  <si>
    <t>Shop Hope - N.V.Tiếp ( Đập Đá)</t>
  </si>
  <si>
    <t>KU20</t>
  </si>
  <si>
    <t>Khăn ướt Anpa 20g x 120 gói</t>
  </si>
  <si>
    <t>Ngọc Hạnh - P.Thịnh</t>
  </si>
  <si>
    <t>GC616</t>
  </si>
  <si>
    <t>GVS Panda 6 cuộn cao x 12 cuộn x 12kg</t>
  </si>
  <si>
    <t>Thanh Thúy - P.Trà</t>
  </si>
  <si>
    <t>Thái Nguyên - T.Linh</t>
  </si>
  <si>
    <t>KU600</t>
  </si>
  <si>
    <t>Khăn ướt Anpa Nano bạc 600gr x 30 gói</t>
  </si>
  <si>
    <t>Chị Sương (Thu Sương) - A.Bình</t>
  </si>
  <si>
    <t>Chị Đẹp - T.H.Trung</t>
  </si>
  <si>
    <t>KH1802</t>
  </si>
  <si>
    <t>Khăn hộp Hà Nội 180 tờ x 2 lớp x 36 hộp</t>
  </si>
  <si>
    <t>Phước Hải - A.Bình</t>
  </si>
  <si>
    <t>Trung Phụng - T.H.Trung</t>
  </si>
  <si>
    <t>Út Bông - T.H.Trung</t>
  </si>
  <si>
    <t>Kim Hiếu - HCL (X.Quýt)</t>
  </si>
  <si>
    <t>Chị Phượng - HCL (Thanh Mỹ)</t>
  </si>
  <si>
    <t>Anh Dũng - HCL (Thanh Mỹ)</t>
  </si>
  <si>
    <t>Diễm Lộc - HCL ( Thanh Mỹ)</t>
  </si>
  <si>
    <t>Nhà Sách Hùng Quyến - HCL ( Thanh Mỹ)</t>
  </si>
  <si>
    <t>Ngọc Lợi - N.Mỹ ( Cầu Cần Lố 3)</t>
  </si>
  <si>
    <t>BCAKIRA</t>
  </si>
  <si>
    <t>BÀN CHẢI ĐÁNH RĂNG ION - AKIRA Hộp</t>
  </si>
  <si>
    <t>BCHARU</t>
  </si>
  <si>
    <t>BÀN CHẢI ĐÁNH RĂNG ION - HARU</t>
  </si>
  <si>
    <t>KU700</t>
  </si>
  <si>
    <t>Khăn ướt Anpa Nano 700gr x 24 gói</t>
  </si>
  <si>
    <t>HTBG145</t>
  </si>
  <si>
    <t>Bánh gạo Bin Bin Tuyết Cay 145g x 20 gói</t>
  </si>
  <si>
    <t>HTBG1502</t>
  </si>
  <si>
    <t>Bánh gạo Bin Bin Rong Biển 150g x 20 gói</t>
  </si>
  <si>
    <t>HTKSB90</t>
  </si>
  <si>
    <t>Kẹo Sữa bò Sakara 90g x 24 gói</t>
  </si>
  <si>
    <t>HMK1</t>
  </si>
  <si>
    <t>Yến sào Finenest kids xanh 1 lọ x 60 hộp</t>
  </si>
  <si>
    <t>KT50-4</t>
  </si>
  <si>
    <t>Khẩu trang y tế 4 lớp MEDICAL MASK 50 x 50 hộp</t>
  </si>
  <si>
    <t>KU1505</t>
  </si>
  <si>
    <t>Khăn ướt TE TiOne 150g x 30 gói</t>
  </si>
  <si>
    <t>BCN198</t>
  </si>
  <si>
    <t>BC KAKA NANO N198 x 20 x 15 hộp</t>
  </si>
  <si>
    <t>Thế Giới Con Cưng - B.H.Tây</t>
  </si>
  <si>
    <t xml:space="preserve">Quán bê thui Cảnh Nhớ - HCL </t>
  </si>
  <si>
    <t>TT Huệ Long - T.H.Trung</t>
  </si>
  <si>
    <t>Shop Thảo Tâm - A.Bình</t>
  </si>
  <si>
    <t>Phúc Nguyên - B.Sao</t>
  </si>
  <si>
    <t>Tú Anh - T.Nghĩa</t>
  </si>
  <si>
    <t>Kim Thủy - Chợ 307</t>
  </si>
  <si>
    <t>HTBSN901</t>
  </si>
  <si>
    <t>Snack bắp Otori vị Mực nướng 90g x 12</t>
  </si>
  <si>
    <t>HM8</t>
  </si>
  <si>
    <t>Khánh Hòa SmileNest Vàng ( CĐ) 6 lọ x 8 hộp</t>
  </si>
  <si>
    <t>HM801</t>
  </si>
  <si>
    <t>Khánh Hòa SmileNest Đỏ ( Canxi) 6 lọ x 8 hộp</t>
  </si>
  <si>
    <t>HMK102</t>
  </si>
  <si>
    <t>Yến sào Nicenest Kids đỏ 1 lọ x 60 hộp</t>
  </si>
  <si>
    <t>Ngọc Thu - P.Thịnh</t>
  </si>
  <si>
    <t>BBL13</t>
  </si>
  <si>
    <t>Bánh bông lan SHINO vị dâu 13 cái x 18 hộp</t>
  </si>
  <si>
    <t>BBL131</t>
  </si>
  <si>
    <t>Bánh bông lan SHINO vị cốm 13 cái x 18 hộp</t>
  </si>
  <si>
    <t>BBL132</t>
  </si>
  <si>
    <t>Bánh bông lan SHINO vị sữa chua 13 cái x 18 hộp</t>
  </si>
  <si>
    <t>8936017991012</t>
  </si>
  <si>
    <t>V/S Fairy cao cấp 10 cuộn 4 lớp</t>
  </si>
  <si>
    <t>HMH8</t>
  </si>
  <si>
    <t>HIMA Huyết Yến 6 lọ x 8 hộp</t>
  </si>
  <si>
    <t>Anh Tân (chị Phớt) - M.Xương</t>
  </si>
  <si>
    <t>KU1508</t>
  </si>
  <si>
    <t>Khăn ướt Ruby &amp; Gold 150g x 30 gói</t>
  </si>
  <si>
    <t xml:space="preserve">Cô Trúc - M.Hội </t>
  </si>
  <si>
    <t>Quán Cafe Sakê - HCL ( Thanh Mỹ)</t>
  </si>
  <si>
    <t>ĐL Bia Anh Vũ - Láng Biển</t>
  </si>
  <si>
    <t>BV500</t>
  </si>
  <si>
    <t>BÒ VIÊN II 60 viên x 500gr</t>
  </si>
  <si>
    <t>CV500</t>
  </si>
  <si>
    <t>CÁ VIÊN II 60 viên x 500gr</t>
  </si>
  <si>
    <t>XX500</t>
  </si>
  <si>
    <t>XÚC XÍCH TƯƠI XÔNG KHÓI 10 cây x 500g</t>
  </si>
  <si>
    <t>Chị Thủy - P.Thịnh</t>
  </si>
  <si>
    <t>8 Kịp - P.Thịnh</t>
  </si>
  <si>
    <t>Chị Thắm - P.Thịnh</t>
  </si>
  <si>
    <t>TT Chị Điệp - P.Thịnh</t>
  </si>
  <si>
    <t>5 Bún - P.Thịnh</t>
  </si>
  <si>
    <t>Tú Kiều - T.Nghĩa</t>
  </si>
  <si>
    <t>Ngày mua cuối</t>
  </si>
  <si>
    <t>Số lần mua</t>
  </si>
  <si>
    <t>Tổng tiền</t>
  </si>
  <si>
    <t>R</t>
  </si>
  <si>
    <t>F</t>
  </si>
  <si>
    <t>M</t>
  </si>
  <si>
    <t>Mã RFM</t>
  </si>
  <si>
    <t>Segment</t>
  </si>
  <si>
    <t>233</t>
  </si>
  <si>
    <t>Khách hàng Cần chú ý</t>
  </si>
  <si>
    <t>112</t>
  </si>
  <si>
    <t>532</t>
  </si>
  <si>
    <t>Khách hàng Trung thành</t>
  </si>
  <si>
    <t>212</t>
  </si>
  <si>
    <t>355</t>
  </si>
  <si>
    <t>244</t>
  </si>
  <si>
    <t>353</t>
  </si>
  <si>
    <t>421</t>
  </si>
  <si>
    <t>Khách hàng Mới</t>
  </si>
  <si>
    <t>123</t>
  </si>
  <si>
    <t>422</t>
  </si>
  <si>
    <t>524</t>
  </si>
  <si>
    <t>235</t>
  </si>
  <si>
    <t>321</t>
  </si>
  <si>
    <t>Khách hàng Tiềm năng</t>
  </si>
  <si>
    <t>333</t>
  </si>
  <si>
    <t>545</t>
  </si>
  <si>
    <t>Khách hàng VIP</t>
  </si>
  <si>
    <t>544</t>
  </si>
  <si>
    <t>432</t>
  </si>
  <si>
    <t>113</t>
  </si>
  <si>
    <t>211</t>
  </si>
  <si>
    <t>312</t>
  </si>
  <si>
    <t>445</t>
  </si>
  <si>
    <t>354</t>
  </si>
  <si>
    <t>331</t>
  </si>
  <si>
    <t>334</t>
  </si>
  <si>
    <t>411</t>
  </si>
  <si>
    <t>511</t>
  </si>
  <si>
    <t>132</t>
  </si>
  <si>
    <t>455</t>
  </si>
  <si>
    <t>223</t>
  </si>
  <si>
    <t>341</t>
  </si>
  <si>
    <t>222</t>
  </si>
  <si>
    <t>512</t>
  </si>
  <si>
    <t>555</t>
  </si>
  <si>
    <t>111</t>
  </si>
  <si>
    <t>114</t>
  </si>
  <si>
    <t>335</t>
  </si>
  <si>
    <t>245</t>
  </si>
  <si>
    <t>313</t>
  </si>
  <si>
    <t>415</t>
  </si>
  <si>
    <t>425</t>
  </si>
  <si>
    <t>443</t>
  </si>
  <si>
    <t>442</t>
  </si>
  <si>
    <t>231</t>
  </si>
  <si>
    <t>122</t>
  </si>
  <si>
    <t>343</t>
  </si>
  <si>
    <t>323</t>
  </si>
  <si>
    <t>131</t>
  </si>
  <si>
    <t>311</t>
  </si>
  <si>
    <t>155</t>
  </si>
  <si>
    <t>423</t>
  </si>
  <si>
    <t>554</t>
  </si>
  <si>
    <t>424</t>
  </si>
  <si>
    <t>434</t>
  </si>
  <si>
    <t>412</t>
  </si>
  <si>
    <t>433</t>
  </si>
  <si>
    <t>543</t>
  </si>
  <si>
    <t>413</t>
  </si>
  <si>
    <t>352</t>
  </si>
  <si>
    <t>345</t>
  </si>
  <si>
    <t>454</t>
  </si>
  <si>
    <t>121</t>
  </si>
  <si>
    <t>453</t>
  </si>
  <si>
    <t>535</t>
  </si>
  <si>
    <t>444</t>
  </si>
  <si>
    <t>232</t>
  </si>
  <si>
    <t>133</t>
  </si>
  <si>
    <t>Số đơn hàng</t>
  </si>
  <si>
    <t>Tổng tiền xuất</t>
  </si>
  <si>
    <t>Tổng lợi nhuận</t>
  </si>
  <si>
    <t>Tỷ lệ LN</t>
  </si>
  <si>
    <t>Số khách hàng</t>
  </si>
  <si>
    <t>Tổng doanh thu</t>
  </si>
  <si>
    <t>Grand Total</t>
  </si>
  <si>
    <t>SL KM thu hồi</t>
  </si>
  <si>
    <t>Tiền ghi giảm</t>
  </si>
  <si>
    <t>Ngày</t>
  </si>
  <si>
    <t>KV1003</t>
  </si>
  <si>
    <t>Khăn vuông TiOne xanh 100 tờ X 30 gói</t>
  </si>
  <si>
    <t>KMQCT</t>
  </si>
  <si>
    <t>Quạt SENKO 1216 chân thấp</t>
  </si>
  <si>
    <t>KMNL7731</t>
  </si>
  <si>
    <t>Nồi lẩu điện Comet 7731</t>
  </si>
  <si>
    <t>KMBTIGER</t>
  </si>
  <si>
    <t>Bia Tiger lon</t>
  </si>
  <si>
    <t>KMQCL</t>
  </si>
  <si>
    <t>Quạt SENKO 1638 chân lỡ</t>
  </si>
  <si>
    <t>KR5003</t>
  </si>
  <si>
    <t>Khăn rút lụa TiOne HQ xanh 500 tờ x 25 gói</t>
  </si>
  <si>
    <t>HM110</t>
  </si>
  <si>
    <t>Yến sào Finenest Saffron (hoa nghệ tây) x 10 hộp</t>
  </si>
  <si>
    <t>⚠️ Các dòng này là hàng KM bị thu hồi / chiết khấu ghi giảm. Tiền âm = giảm trừ doanh thu. KHÔNG tính vào SL bán thực tế.</t>
  </si>
  <si>
    <t>Loại_GD</t>
  </si>
  <si>
    <t>A1Y601</t>
  </si>
  <si>
    <t>A1 Yến sào có nhân sâm 70ml x 6 lọ x 6 hộp</t>
  </si>
  <si>
    <t>KM_CHUA_CO_GIA</t>
  </si>
  <si>
    <t>NRC1500</t>
  </si>
  <si>
    <t>NRC 107 - 1,5L x 8 bình</t>
  </si>
  <si>
    <t>LOI_NHAP_LIEU</t>
  </si>
  <si>
    <t>KMQ</t>
  </si>
  <si>
    <t>Quạt chân cao</t>
  </si>
  <si>
    <t>KMBN</t>
  </si>
  <si>
    <t>Bộ nồi 3 cái</t>
  </si>
  <si>
    <t>⚠️ KM_CHUA_CO_GIA: hàng KM có số lượng nhưng chưa có giá — cần bổ sung. | LOI_NHAP_LIEU: SL Xuất &gt; 0 nhưng Tiền Xuất âm — cần xác nhận lại với người nhập liệu.</t>
  </si>
  <si>
    <t>Tổng Doanh Thu</t>
  </si>
  <si>
    <t>Tổng Lợi Nhuận</t>
  </si>
  <si>
    <t>Số Đơn Hàng</t>
  </si>
  <si>
    <t>Số Khách hàng</t>
  </si>
  <si>
    <t>% KM Trung Bình</t>
  </si>
  <si>
    <t>Row Labels</t>
  </si>
  <si>
    <t>SL Khách hàng</t>
  </si>
  <si>
    <t>% Tỷ lệ lợi nhuận</t>
  </si>
  <si>
    <t>Month</t>
  </si>
  <si>
    <t>TB % SL Khuyến mãi</t>
  </si>
  <si>
    <t>Tổng SL Xuất</t>
  </si>
  <si>
    <t>Tổng SL Xuất KM</t>
  </si>
  <si>
    <t>[Measures].[Sum of Doanh Thu]</t>
  </si>
  <si>
    <t>[Measures].[Distinct Count of Khách hàng]</t>
  </si>
  <si>
    <t>[Measures].[Average of % SL Khuyến mãi]</t>
  </si>
  <si>
    <t>[Measures].[Sum of Lợi Nhuận]</t>
  </si>
  <si>
    <t>[Measures].[Count of STT]</t>
  </si>
  <si>
    <t>Sum of Doanh Thu</t>
  </si>
  <si>
    <t>Values</t>
  </si>
  <si>
    <t>Sum of Lợi Nhuận</t>
  </si>
  <si>
    <t>Margin %</t>
  </si>
  <si>
    <t>Sản phẩm</t>
  </si>
  <si>
    <t>Margin%</t>
  </si>
  <si>
    <t>Ngành Hàng</t>
  </si>
  <si>
    <t>Khăn Giấy</t>
  </si>
  <si>
    <t>Chăm Sóc Nhà Cửa</t>
  </si>
  <si>
    <t>Bàn Chải &amp; Răng Miệng</t>
  </si>
  <si>
    <t>Khăn Ướt</t>
  </si>
  <si>
    <t>Thực Phẩm &amp; Bánh Kẹo</t>
  </si>
  <si>
    <t>Tăm Bông</t>
  </si>
  <si>
    <t>Mẹ &amp; Bé</t>
  </si>
  <si>
    <t>Giấy Vệ Sinh</t>
  </si>
  <si>
    <t>Bánh Snack</t>
  </si>
  <si>
    <t>Nước Uống</t>
  </si>
  <si>
    <t>Yến Sào &amp; Sức Khỏe</t>
  </si>
  <si>
    <t>Khác</t>
  </si>
  <si>
    <t>Phân khúc</t>
  </si>
  <si>
    <t>Revenue Share %</t>
  </si>
  <si>
    <t>LN/Khách (VNĐ)</t>
  </si>
  <si>
    <t>Cần chú ý</t>
  </si>
  <si>
    <t>Mới</t>
  </si>
  <si>
    <t>Tiềm năng</t>
  </si>
  <si>
    <t>Trung thành</t>
  </si>
  <si>
    <t>VIP</t>
  </si>
  <si>
    <t>📊 DATA STORYTELLING — INSIGHTS &amp; STRATEGIC RECOMMENDATIONS</t>
  </si>
  <si>
    <t>💰 Doanh Thu</t>
  </si>
  <si>
    <t>269,283,456 VNĐ</t>
  </si>
  <si>
    <t>📈 Lợi Nhuận</t>
  </si>
  <si>
    <t>56,843,559 VNĐ</t>
  </si>
  <si>
    <t>📊 Biên LN</t>
  </si>
  <si>
    <t>🛒 Số Đơn</t>
  </si>
  <si>
    <t>705 đơn</t>
  </si>
  <si>
    <t>👥 Khách Hàng</t>
  </si>
  <si>
    <t>159 khách</t>
  </si>
  <si>
    <t>💳 AOV</t>
  </si>
  <si>
    <t>381,962 VNĐ/đơn</t>
  </si>
  <si>
    <t>🔍  KEY INSIGHTS — Phát hiện từ Dữ liệu</t>
  </si>
  <si>
    <t>Lĩnh vực</t>
  </si>
  <si>
    <t>Icon</t>
  </si>
  <si>
    <t>Phát hiện (Finding)</t>
  </si>
  <si>
    <t>Hàm ý (Implication)</t>
  </si>
  <si>
    <t>Hành động đề xuất (Action)</t>
  </si>
  <si>
    <t>REVENUE</t>
  </si>
  <si>
    <t>💰</t>
  </si>
  <si>
    <t>Nhóm Trung thành + VIP = 68.7% tổng doanh thu (185M VNĐ) nhưng chỉ chiếm ~25% lượng khách (≈40 người)</t>
  </si>
  <si>
    <t>Nền kinh doanh phụ thuộc nặng vào nhóm nhỏ → rủi ro nếu 1-2 khách VIP rời bỏ</t>
  </si>
  <si>
    <t>Triển khai chương trình Loyalty riêng: tặng ưu tiên giao hàng, chiết khấu tích lũy, báo giá sớm</t>
  </si>
  <si>
    <t>📉</t>
  </si>
  <si>
    <t>Nhóm Tiềm năng chỉ đóng góp 2.1% doanh thu (5.6M VNĐ) — thấp nhất trong tất cả phân khúc</t>
  </si>
  <si>
    <t>Khách đang 'thử nghiệm' nhưng chưa convert thành khách mua thường xuyên</t>
  </si>
  <si>
    <t>Tạo chương trình 'First Order Deal': giảm 5% cho đơn hàng 2 và 3 để tăng tần suất mua</t>
  </si>
  <si>
    <t>PRODUCT</t>
  </si>
  <si>
    <t>🏆</t>
  </si>
  <si>
    <t>Top 1 doanh thu: Yến sào Seaweed CD vàng x6 hộp (~25.2M VNĐ) — gấp 3x sản phẩm thứ 3</t>
  </si>
  <si>
    <t>Sản phẩm đang là 'cash cow' nhưng phụ thuộc 1 SKU gây rủi ro chuỗi cung ứng</t>
  </si>
  <si>
    <t>Mở rộng portfolio Yến sào (size khác, gói quà), đảm bảo tồn kho chiến lược ≥30 ngày</t>
  </si>
  <si>
    <t>💎</t>
  </si>
  <si>
    <t>BC KAKA NANO X6 có margin cao nhất (~82%) nhưng doanh thu thấp (&lt;2M VNĐ)</t>
  </si>
  <si>
    <t>Sản phẩm lãi cao nhưng chưa được đẩy mạnh — tiềm năng ẩn lớn</t>
  </si>
  <si>
    <t>Đẩy BC KAKA NANO vào bundle deals với sản phẩm bán chạy (ví dụ: Yến sào + BC KAKA)</t>
  </si>
  <si>
    <t>⚠️</t>
  </si>
  <si>
    <t>Nhóm Giấy Vệ Sinh (GC + HM) có doanh thu cao nhưng margin thường thấp (~10-12%)</t>
  </si>
  <si>
    <t>Đang dùng sản phẩm thấp lợi nhuận để giữ doanh thu — không bền vững dài hạn</t>
  </si>
  <si>
    <t>Thương lượng lại giá nhập từ nhà cung cấp GC/HM hoặc tăng giá bán lẻ 3-5%</t>
  </si>
  <si>
    <t>CUSTOMER</t>
  </si>
  <si>
    <t>🎯</t>
  </si>
  <si>
    <t>AOV trung bình = 381,962 VNĐ/đơn — phân hóa lớn giữa VIP và nhóm Mới/Tiềm năng</t>
  </si>
  <si>
    <t>Khách Mới mua ít, khách VIP mua nhiều hơn 4-5x — hành vi mua hoàn toàn khác nhau</t>
  </si>
  <si>
    <t>Phân tách chiến lược: upsell cho VIP/Trung thành, nurture sequence email/zalo cho nhóm Mới</t>
  </si>
  <si>
    <t>🔄</t>
  </si>
  <si>
    <t>159 khách / 705 đơn = trung bình 4.4 đơn/khách — tần suất mua tốt</t>
  </si>
  <si>
    <t>Nếu nâng được lên 5.5 đơn/khách, doanh thu có thể tăng thêm ~65M VNĐ (25%) mà không cần khách mới</t>
  </si>
  <si>
    <t>Tạo 'Subscription deals': ưu đãi đặt hàng định kỳ hàng tháng (tự động) giảm 3%</t>
  </si>
  <si>
    <t>OPERATIONS</t>
  </si>
  <si>
    <t>📦</t>
  </si>
  <si>
    <t>Nhóm Thực Phẩm &amp; Bánh Kẹo có doanh thu thấp nhưng số SKU nhiều → chi phí quản lý tồn kho cao</t>
  </si>
  <si>
    <t>Long-tail sản phẩm làm phân tán nguồn lực mà không tạo doanh thu đáng kể</t>
  </si>
  <si>
    <t>Áp dụng ABC Analysis: giữ top 20 SKU (80% doanh thu), cân nhắc loại bỏ/giảm SKU đáy</t>
  </si>
  <si>
    <t>🚀  STRATEGIC RECOMMENDATIONS — Chiến lược Hành động</t>
  </si>
  <si>
    <t xml:space="preserve">  PRIORITY 1 — DEFEND:  Bảo vệ &amp; Phát triển nhóm VIP + Trung thành</t>
  </si>
  <si>
    <t xml:space="preserve">   ✔  Gọi điện/gặp mặt trực tiếp top 10 KH mỗi quý</t>
  </si>
  <si>
    <t xml:space="preserve">   ✔  Cung cấp báo giá ưu tiên trước khi hàng về</t>
  </si>
  <si>
    <t xml:space="preserve">   ✔  Tặng sample mới → tăng cơ hội cross-sell</t>
  </si>
  <si>
    <t xml:space="preserve">   ✔  KPI: Giảm churn VIP xuống 0%, tăng AOV VIP thêm 10%</t>
  </si>
  <si>
    <t xml:space="preserve">  PRIORITY 2 — GROW:  Chuyển đổi nhóm Tiềm năng → Trung thành</t>
  </si>
  <si>
    <t xml:space="preserve">   ✔  Email/Zalo workflow 4 tuần sau đơn đầu tiên</t>
  </si>
  <si>
    <t xml:space="preserve">   ✔  Offer 'Bundle hàng dùng thường ngày' giảm 5%</t>
  </si>
  <si>
    <t xml:space="preserve">   ✔  Assign 1 sale phụ trách follow-up nhóm này</t>
  </si>
  <si>
    <t xml:space="preserve">   ✔  KPI: Tỷ lệ mua lần 2 trong 60 ngày ≥ 40%</t>
  </si>
  <si>
    <t xml:space="preserve">  PRIORITY 3 — OPTIMIZE:  Tối ưu hóa danh mục sản phẩm</t>
  </si>
  <si>
    <t xml:space="preserve">   ✔  Loại bỏ SKU có margin &lt;8% VÀ doanh thu &lt;5M/quý</t>
  </si>
  <si>
    <t xml:space="preserve">   ✔  Đẩy mạnh các sản phẩm margin &gt;30%: BC KAKA, SmileNest</t>
  </si>
  <si>
    <t xml:space="preserve">   ✔  Đàm phán giá nhập với top 3 nhà cung cấp</t>
  </si>
  <si>
    <t xml:space="preserve">   ✔  KPI: Tăng gross margin từ 17.4% lên 20% trong 6 tháng</t>
  </si>
  <si>
    <t xml:space="preserve">  PRIORITY 4 — SCALE:  Mở rộng vào ngành hàng tiềm năng</t>
  </si>
  <si>
    <t xml:space="preserve">   ✔  Khăn Giấy &amp; Khăn Ướt: ngành hàng lớn nhất, cân nhắc thêm nhãn hiệu mới</t>
  </si>
  <si>
    <t xml:space="preserve">   ✔  Bàn Chải &amp; Răng Miệng: margin cao, B2B tiềm năng (spa, khách sạn, phòng khám)</t>
  </si>
  <si>
    <t xml:space="preserve">   ✔  Yến sào: premium segment, có thể target khách hàng quà biếu/công ty</t>
  </si>
  <si>
    <t xml:space="preserve">   ✔  KPI: Thêm 2 ngành hàng mới vào danh mục trong Q3</t>
  </si>
  <si>
    <t>📅  TIMELINE — Lộ trình Thực hiện</t>
  </si>
  <si>
    <t>Thời điểm</t>
  </si>
  <si>
    <t>Hành động</t>
  </si>
  <si>
    <t>Người phụ trách</t>
  </si>
  <si>
    <t>Chỉ số đo lường</t>
  </si>
  <si>
    <t>Mục tiêu</t>
  </si>
  <si>
    <t>Tuần 1-2</t>
  </si>
  <si>
    <t>Gọi điện/gặp top 10 KH VIP, xác nhận nhu cầu Q4</t>
  </si>
  <si>
    <t>Sales Manager</t>
  </si>
  <si>
    <t>Số cuộc gọi thực hiện</t>
  </si>
  <si>
    <t>10/10 KH</t>
  </si>
  <si>
    <t>Tuần 2-3</t>
  </si>
  <si>
    <t>Thiết lập Loyalty Program: tích điểm, ưu đãi đặt hàng định kỳ</t>
  </si>
  <si>
    <t>Marketing</t>
  </si>
  <si>
    <t>Tỷ lệ đăng ký</t>
  </si>
  <si>
    <t>≥ 60% KH VIP</t>
  </si>
  <si>
    <t>Tuần 3-4</t>
  </si>
  <si>
    <t>Chạy campaign Zalo cho nhóm Tiềm năng (79 KH)</t>
  </si>
  <si>
    <t>Tỷ lệ mở tin / click</t>
  </si>
  <si>
    <t>Open rate ≥ 30%</t>
  </si>
  <si>
    <t>Tháng 2</t>
  </si>
  <si>
    <t>ABC Analysis danh mục: xác định SKU cần loại bỏ</t>
  </si>
  <si>
    <t>Product Manager</t>
  </si>
  <si>
    <t>Số SKU cắt giảm</t>
  </si>
  <si>
    <t>Giảm 15% SKU đáy</t>
  </si>
  <si>
    <t>Tháng 2-3</t>
  </si>
  <si>
    <t>Đàm phán giá nhập với nhà cung cấp GC (Giấy vệ sinh)</t>
  </si>
  <si>
    <t>Purchase</t>
  </si>
  <si>
    <t>Mức giảm giá đạt được</t>
  </si>
  <si>
    <t>Giảm 3-5% giá nhập</t>
  </si>
  <si>
    <t>Tháng 3</t>
  </si>
  <si>
    <t>Tung bundle: Yến sào + BC KAKA, quảng bá kênh B2B</t>
  </si>
  <si>
    <t>Sales</t>
  </si>
  <si>
    <t>Doanh thu bundle</t>
  </si>
  <si>
    <t>≥ 10M VNĐ/tháng</t>
  </si>
  <si>
    <t>Quý 2</t>
  </si>
  <si>
    <t>Review lại dashboard: so sánh KPI với Q4 này</t>
  </si>
  <si>
    <t>Data Analyst</t>
  </si>
  <si>
    <t>AOV, Margin, Churn rate</t>
  </si>
  <si>
    <t>AOV +10%, Margin 20%</t>
  </si>
  <si>
    <t>⚡ Báo cáo được tạo bởi Antigravity AI Data Analyst  |  Dữ liệu: Superstore Sep-Nov  |  Cập nhật: 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</si>
</sst>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quot;%&quot;"/>
  </numFmts>
  <fonts count="19" x14ac:knownFonts="1">
    <font>
      <sz val="11"/>
      <color theme="1"/>
      <name val="Calibri"/>
      <family val="2"/>
      <scheme val="minor"/>
    </font>
    <font>
      <b/>
      <sz val="10"/>
      <color rgb="FFFFFFFF"/>
      <name val="Arial"/>
    </font>
    <font>
      <sz val="10"/>
      <name val="Arial"/>
    </font>
    <font>
      <b/>
      <sz val="10"/>
      <color rgb="FF000000"/>
      <name val="Arial"/>
    </font>
    <font>
      <sz val="10"/>
      <color rgb="FFC00000"/>
      <name val="Arial"/>
    </font>
    <font>
      <i/>
      <sz val="9"/>
      <color rgb="FF7F7F7F"/>
      <name val="Arial"/>
    </font>
    <font>
      <b/>
      <sz val="10"/>
      <color rgb="FFC00000"/>
      <name val="Arial"/>
    </font>
    <font>
      <i/>
      <sz val="9"/>
      <color rgb="FFC00000"/>
      <name val="Arial"/>
    </font>
    <font>
      <b/>
      <sz val="10"/>
      <color rgb="FFFFFFFF"/>
      <name val="Arial"/>
      <family val="2"/>
      <charset val="163"/>
    </font>
    <font>
      <b/>
      <sz val="22"/>
      <color theme="1"/>
      <name val="Calibri"/>
      <family val="2"/>
      <charset val="163"/>
      <scheme val="minor"/>
    </font>
    <font>
      <sz val="11"/>
      <color theme="1"/>
      <name val="Calibri"/>
      <family val="2"/>
      <charset val="163"/>
      <scheme val="minor"/>
    </font>
    <font>
      <b/>
      <sz val="18"/>
      <color rgb="FFFFFFFF"/>
      <name val="Calibri"/>
      <family val="2"/>
      <scheme val="minor"/>
    </font>
    <font>
      <sz val="10"/>
      <color rgb="FFFFFFFF"/>
      <name val="Calibri"/>
      <family val="2"/>
      <scheme val="minor"/>
    </font>
    <font>
      <b/>
      <sz val="9"/>
      <color rgb="FFFFFFFF"/>
      <name val="Calibri"/>
      <family val="2"/>
      <scheme val="minor"/>
    </font>
    <font>
      <b/>
      <sz val="9"/>
      <color theme="1"/>
      <name val="Calibri"/>
      <family val="2"/>
      <scheme val="minor"/>
    </font>
    <font>
      <b/>
      <sz val="13"/>
      <color rgb="FFFFFFFF"/>
      <name val="Calibri"/>
      <family val="2"/>
      <scheme val="minor"/>
    </font>
    <font>
      <sz val="9"/>
      <color theme="1"/>
      <name val="Calibri"/>
      <family val="2"/>
      <scheme val="minor"/>
    </font>
    <font>
      <b/>
      <sz val="10"/>
      <color rgb="FFFFFFFF"/>
      <name val="Calibri"/>
      <family val="2"/>
      <scheme val="minor"/>
    </font>
    <font>
      <sz val="8"/>
      <color rgb="FFA0C8A8"/>
      <name val="Calibri"/>
      <family val="2"/>
      <scheme val="minor"/>
    </font>
  </fonts>
  <fills count="24">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C00000"/>
      </patternFill>
    </fill>
    <fill>
      <patternFill patternType="solid">
        <fgColor rgb="FF70AD47"/>
      </patternFill>
    </fill>
    <fill>
      <patternFill patternType="solid">
        <fgColor rgb="FFED7D31"/>
      </patternFill>
    </fill>
    <fill>
      <patternFill patternType="solid">
        <fgColor rgb="FF5B9BD5"/>
      </patternFill>
    </fill>
    <fill>
      <patternFill patternType="solid">
        <fgColor rgb="FFFFD700"/>
      </patternFill>
    </fill>
    <fill>
      <patternFill patternType="solid">
        <fgColor rgb="FF2E75B6"/>
      </patternFill>
    </fill>
    <fill>
      <patternFill patternType="solid">
        <fgColor rgb="FFFFF2CC"/>
      </patternFill>
    </fill>
    <fill>
      <patternFill patternType="solid">
        <fgColor rgb="FFFCE4D6"/>
      </patternFill>
    </fill>
    <fill>
      <patternFill patternType="solid">
        <fgColor rgb="FFEBF3FB"/>
        <bgColor indexed="64"/>
      </patternFill>
    </fill>
    <fill>
      <patternFill patternType="solid">
        <fgColor rgb="FF1F4E79"/>
        <bgColor indexed="64"/>
      </patternFill>
    </fill>
    <fill>
      <patternFill patternType="solid">
        <fgColor theme="0"/>
        <bgColor indexed="64"/>
      </patternFill>
    </fill>
    <fill>
      <patternFill patternType="solid">
        <fgColor rgb="FF275A2D"/>
        <bgColor indexed="64"/>
      </patternFill>
    </fill>
    <fill>
      <patternFill patternType="solid">
        <fgColor rgb="FF518C5B"/>
        <bgColor indexed="64"/>
      </patternFill>
    </fill>
    <fill>
      <patternFill patternType="solid">
        <fgColor rgb="FFA0C8A8"/>
        <bgColor indexed="64"/>
      </patternFill>
    </fill>
    <fill>
      <patternFill patternType="solid">
        <fgColor rgb="FFD0EBDD"/>
        <bgColor indexed="64"/>
      </patternFill>
    </fill>
    <fill>
      <patternFill patternType="solid">
        <fgColor rgb="FFCCF0FF"/>
        <bgColor indexed="64"/>
      </patternFill>
    </fill>
    <fill>
      <patternFill patternType="solid">
        <fgColor rgb="FFF0E8D0"/>
        <bgColor indexed="64"/>
      </patternFill>
    </fill>
    <fill>
      <patternFill patternType="solid">
        <fgColor rgb="FFD5D5F5"/>
        <bgColor indexed="64"/>
      </patternFill>
    </fill>
    <fill>
      <patternFill patternType="solid">
        <fgColor rgb="FFFFFFFF"/>
        <bgColor indexed="64"/>
      </patternFill>
    </fill>
  </fills>
  <borders count="13">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right style="thin">
        <color rgb="FFBDD7EE"/>
      </right>
      <top/>
      <bottom style="thin">
        <color rgb="FFBDD7EE"/>
      </bottom>
      <diagonal/>
    </border>
    <border>
      <left style="thin">
        <color rgb="FFBDD7EE"/>
      </left>
      <right style="thin">
        <color rgb="FFBDD7EE"/>
      </right>
      <top/>
      <bottom style="thin">
        <color rgb="FFBDD7EE"/>
      </bottom>
      <diagonal/>
    </border>
    <border>
      <left style="thin">
        <color rgb="FFBDD7EE"/>
      </left>
      <right/>
      <top/>
      <bottom style="thin">
        <color rgb="FFBDD7EE"/>
      </bottom>
      <diagonal/>
    </border>
    <border>
      <left/>
      <right style="thin">
        <color rgb="FFBDD7EE"/>
      </right>
      <top style="thin">
        <color rgb="FFBDD7EE"/>
      </top>
      <bottom/>
      <diagonal/>
    </border>
    <border>
      <left style="thin">
        <color rgb="FFBDD7EE"/>
      </left>
      <right style="thin">
        <color rgb="FFBDD7EE"/>
      </right>
      <top style="thin">
        <color rgb="FFBDD7EE"/>
      </top>
      <bottom/>
      <diagonal/>
    </border>
    <border>
      <left style="thin">
        <color rgb="FFBDD7EE"/>
      </left>
      <right/>
      <top style="thin">
        <color rgb="FFBDD7EE"/>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righ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3" fillId="9" borderId="1" xfId="0" applyFont="1" applyFill="1" applyBorder="1" applyAlignment="1">
      <alignment horizontal="left" vertical="center"/>
    </xf>
    <xf numFmtId="0" fontId="3" fillId="9" borderId="1" xfId="0" applyFont="1" applyFill="1" applyBorder="1"/>
    <xf numFmtId="0" fontId="1" fillId="6" borderId="1" xfId="0" applyFont="1" applyFill="1" applyBorder="1"/>
    <xf numFmtId="0" fontId="1" fillId="8" borderId="1" xfId="0" applyFont="1" applyFill="1" applyBorder="1"/>
    <xf numFmtId="0" fontId="1" fillId="7" borderId="1" xfId="0" applyFont="1" applyFill="1" applyBorder="1"/>
    <xf numFmtId="0" fontId="1" fillId="5" borderId="1" xfId="0" applyFont="1" applyFill="1" applyBorder="1"/>
    <xf numFmtId="0" fontId="1" fillId="10" borderId="1" xfId="0" applyFont="1" applyFill="1" applyBorder="1" applyAlignment="1">
      <alignment horizontal="left" vertical="center"/>
    </xf>
    <xf numFmtId="0" fontId="1" fillId="10" borderId="1" xfId="0" applyFont="1" applyFill="1" applyBorder="1" applyAlignment="1">
      <alignment horizontal="center" vertical="center"/>
    </xf>
    <xf numFmtId="3" fontId="1" fillId="10"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3" fontId="4" fillId="11" borderId="1" xfId="0" applyNumberFormat="1" applyFont="1" applyFill="1" applyBorder="1" applyAlignment="1">
      <alignment horizontal="right" vertical="center"/>
    </xf>
    <xf numFmtId="164" fontId="2" fillId="11" borderId="1" xfId="0" applyNumberFormat="1" applyFont="1" applyFill="1" applyBorder="1" applyAlignment="1">
      <alignment horizontal="center" vertical="center"/>
    </xf>
    <xf numFmtId="3" fontId="4" fillId="4" borderId="1" xfId="0" applyNumberFormat="1" applyFont="1" applyFill="1" applyBorder="1" applyAlignment="1">
      <alignment horizontal="right" vertical="center"/>
    </xf>
    <xf numFmtId="0" fontId="2" fillId="12" borderId="1" xfId="0" applyFont="1" applyFill="1" applyBorder="1" applyAlignment="1">
      <alignment horizontal="left" vertical="center"/>
    </xf>
    <xf numFmtId="3" fontId="2" fillId="12" borderId="1" xfId="0" applyNumberFormat="1" applyFont="1" applyFill="1" applyBorder="1" applyAlignment="1">
      <alignment horizontal="right" vertical="center"/>
    </xf>
    <xf numFmtId="164" fontId="2"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left" vertical="center"/>
    </xf>
    <xf numFmtId="3" fontId="2" fillId="3" borderId="8" xfId="0" applyNumberFormat="1" applyFont="1" applyFill="1" applyBorder="1" applyAlignment="1">
      <alignment horizontal="right" vertical="center"/>
    </xf>
    <xf numFmtId="0" fontId="2" fillId="3" borderId="8" xfId="0" applyFont="1" applyFill="1" applyBorder="1" applyAlignment="1">
      <alignment horizontal="center" vertical="center"/>
    </xf>
    <xf numFmtId="164" fontId="2" fillId="3" borderId="8" xfId="0" applyNumberFormat="1" applyFont="1" applyFill="1" applyBorder="1" applyAlignment="1">
      <alignment horizontal="center" vertical="center"/>
    </xf>
    <xf numFmtId="165" fontId="2" fillId="3" borderId="8" xfId="0" applyNumberFormat="1" applyFont="1" applyFill="1" applyBorder="1" applyAlignment="1">
      <alignment horizontal="right" vertical="center"/>
    </xf>
    <xf numFmtId="0" fontId="2" fillId="3" borderId="9" xfId="0" applyFont="1" applyFill="1" applyBorder="1" applyAlignment="1">
      <alignment horizontal="center" vertical="center"/>
    </xf>
    <xf numFmtId="3"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8" fillId="2" borderId="5" xfId="0" applyFont="1" applyFill="1" applyBorder="1" applyAlignment="1">
      <alignment horizontal="center" vertical="center"/>
    </xf>
    <xf numFmtId="0" fontId="9" fillId="15" borderId="11" xfId="0" applyFont="1" applyFill="1" applyBorder="1" applyAlignment="1">
      <alignment vertical="center"/>
    </xf>
    <xf numFmtId="0" fontId="9" fillId="15" borderId="10" xfId="0" applyFont="1" applyFill="1" applyBorder="1" applyAlignment="1">
      <alignment vertical="center"/>
    </xf>
    <xf numFmtId="0" fontId="0" fillId="0" borderId="0" xfId="0" applyAlignment="1">
      <alignment horizontal="left" indent="1"/>
    </xf>
    <xf numFmtId="0" fontId="2" fillId="13" borderId="0" xfId="0" applyFont="1" applyFill="1" applyAlignment="1">
      <alignment horizontal="right" vertical="center"/>
    </xf>
    <xf numFmtId="0" fontId="1" fillId="14" borderId="5" xfId="0" applyFont="1" applyFill="1" applyBorder="1" applyAlignment="1">
      <alignment horizontal="center" vertical="center"/>
    </xf>
    <xf numFmtId="3" fontId="10" fillId="15" borderId="10" xfId="0" applyNumberFormat="1" applyFont="1" applyFill="1" applyBorder="1" applyAlignment="1">
      <alignment vertical="center"/>
    </xf>
    <xf numFmtId="0" fontId="0" fillId="15" borderId="10" xfId="0" applyFill="1" applyBorder="1" applyAlignment="1">
      <alignment vertical="center"/>
    </xf>
    <xf numFmtId="0" fontId="0" fillId="15" borderId="10" xfId="0" applyFill="1" applyBorder="1"/>
    <xf numFmtId="9" fontId="0" fillId="0" borderId="0" xfId="0" applyNumberFormat="1"/>
    <xf numFmtId="166" fontId="0" fillId="0" borderId="0" xfId="0" applyNumberFormat="1"/>
    <xf numFmtId="165" fontId="0" fillId="0" borderId="0" xfId="0" applyNumberFormat="1"/>
    <xf numFmtId="0" fontId="13" fillId="17" borderId="0" xfId="0" applyFont="1" applyFill="1"/>
    <xf numFmtId="0" fontId="13" fillId="17" borderId="0" xfId="0" applyFont="1" applyFill="1" applyAlignment="1">
      <alignment horizontal="center"/>
    </xf>
    <xf numFmtId="0" fontId="14" fillId="18" borderId="0" xfId="0" applyFont="1" applyFill="1" applyAlignment="1">
      <alignment horizontal="center"/>
    </xf>
    <xf numFmtId="10" fontId="14" fillId="18" borderId="0" xfId="0" applyNumberFormat="1" applyFont="1" applyFill="1" applyAlignment="1">
      <alignment horizontal="center"/>
    </xf>
    <xf numFmtId="0" fontId="16" fillId="19" borderId="12" xfId="0" applyFont="1" applyFill="1" applyBorder="1" applyAlignment="1">
      <alignment horizontal="center"/>
    </xf>
    <xf numFmtId="0" fontId="14" fillId="19" borderId="12" xfId="0" applyFont="1" applyFill="1" applyBorder="1"/>
    <xf numFmtId="0" fontId="0" fillId="19" borderId="12" xfId="0" applyFill="1" applyBorder="1" applyAlignment="1">
      <alignment horizontal="center"/>
    </xf>
    <xf numFmtId="0" fontId="16" fillId="19" borderId="12" xfId="0" applyFont="1" applyFill="1" applyBorder="1" applyAlignment="1">
      <alignment wrapText="1"/>
    </xf>
    <xf numFmtId="0" fontId="16" fillId="19" borderId="12" xfId="0" applyFont="1" applyFill="1" applyBorder="1"/>
    <xf numFmtId="0" fontId="16" fillId="20" borderId="12" xfId="0" applyFont="1" applyFill="1" applyBorder="1" applyAlignment="1">
      <alignment horizontal="center"/>
    </xf>
    <xf numFmtId="0" fontId="14" fillId="20" borderId="12" xfId="0" applyFont="1" applyFill="1" applyBorder="1"/>
    <xf numFmtId="0" fontId="0" fillId="20" borderId="12" xfId="0" applyFill="1" applyBorder="1" applyAlignment="1">
      <alignment horizontal="center"/>
    </xf>
    <xf numFmtId="0" fontId="16" fillId="20" borderId="12" xfId="0" applyFont="1" applyFill="1" applyBorder="1" applyAlignment="1">
      <alignment wrapText="1"/>
    </xf>
    <xf numFmtId="0" fontId="16" fillId="20" borderId="12" xfId="0" applyFont="1" applyFill="1" applyBorder="1"/>
    <xf numFmtId="0" fontId="16" fillId="21" borderId="12" xfId="0" applyFont="1" applyFill="1" applyBorder="1" applyAlignment="1">
      <alignment horizontal="center"/>
    </xf>
    <xf numFmtId="0" fontId="14" fillId="21" borderId="12" xfId="0" applyFont="1" applyFill="1" applyBorder="1"/>
    <xf numFmtId="0" fontId="0" fillId="21" borderId="12" xfId="0" applyFill="1" applyBorder="1" applyAlignment="1">
      <alignment horizontal="center"/>
    </xf>
    <xf numFmtId="0" fontId="16" fillId="21" borderId="12" xfId="0" applyFont="1" applyFill="1" applyBorder="1" applyAlignment="1">
      <alignment wrapText="1"/>
    </xf>
    <xf numFmtId="0" fontId="16" fillId="21" borderId="12" xfId="0" applyFont="1" applyFill="1" applyBorder="1"/>
    <xf numFmtId="0" fontId="16" fillId="22" borderId="12" xfId="0" applyFont="1" applyFill="1" applyBorder="1" applyAlignment="1">
      <alignment horizontal="center"/>
    </xf>
    <xf numFmtId="0" fontId="14" fillId="22" borderId="12" xfId="0" applyFont="1" applyFill="1" applyBorder="1"/>
    <xf numFmtId="0" fontId="0" fillId="22" borderId="12" xfId="0" applyFill="1" applyBorder="1" applyAlignment="1">
      <alignment horizontal="center"/>
    </xf>
    <xf numFmtId="0" fontId="16" fillId="22" borderId="12" xfId="0" applyFont="1" applyFill="1" applyBorder="1" applyAlignment="1">
      <alignment wrapText="1"/>
    </xf>
    <xf numFmtId="0" fontId="0" fillId="19" borderId="12" xfId="0" applyFill="1" applyBorder="1"/>
    <xf numFmtId="0" fontId="0" fillId="20" borderId="12" xfId="0" applyFill="1" applyBorder="1"/>
    <xf numFmtId="0" fontId="0" fillId="21" borderId="12" xfId="0" applyFill="1" applyBorder="1"/>
    <xf numFmtId="0" fontId="0" fillId="22" borderId="12" xfId="0" applyFill="1" applyBorder="1"/>
    <xf numFmtId="0" fontId="13" fillId="17" borderId="12" xfId="0" applyFont="1" applyFill="1" applyBorder="1"/>
    <xf numFmtId="0" fontId="16" fillId="18" borderId="12" xfId="0" applyFont="1" applyFill="1" applyBorder="1" applyAlignment="1">
      <alignment wrapText="1"/>
    </xf>
    <xf numFmtId="0" fontId="16" fillId="23" borderId="12" xfId="0" applyFont="1" applyFill="1" applyBorder="1" applyAlignment="1">
      <alignment wrapText="1"/>
    </xf>
    <xf numFmtId="0" fontId="0" fillId="0" borderId="0" xfId="0"/>
    <xf numFmtId="0" fontId="0" fillId="0" borderId="0" xfId="0"/>
    <xf numFmtId="0" fontId="0" fillId="0" borderId="0" xfId="0" applyNumberFormat="1"/>
    <xf numFmtId="0" fontId="15" fillId="16" borderId="0" xfId="0" applyFont="1" applyFill="1" applyAlignment="1">
      <alignment vertical="center"/>
    </xf>
    <xf numFmtId="0" fontId="0" fillId="16" borderId="0" xfId="0" applyFill="1" applyAlignment="1">
      <alignment vertical="center"/>
    </xf>
    <xf numFmtId="0" fontId="18" fillId="16" borderId="0" xfId="0" applyFont="1" applyFill="1" applyAlignment="1">
      <alignment horizontal="center"/>
    </xf>
    <xf numFmtId="0" fontId="0" fillId="16" borderId="0" xfId="0" applyFill="1" applyAlignment="1">
      <alignment horizontal="center"/>
    </xf>
    <xf numFmtId="0" fontId="16" fillId="21" borderId="12" xfId="0" applyFont="1" applyFill="1" applyBorder="1" applyAlignment="1">
      <alignment wrapText="1"/>
    </xf>
    <xf numFmtId="0" fontId="0" fillId="21" borderId="12" xfId="0" applyFill="1" applyBorder="1" applyAlignment="1">
      <alignment wrapText="1"/>
    </xf>
    <xf numFmtId="0" fontId="17" fillId="17" borderId="12" xfId="0" applyFont="1" applyFill="1" applyBorder="1"/>
    <xf numFmtId="0" fontId="0" fillId="17" borderId="12" xfId="0" applyFill="1" applyBorder="1"/>
    <xf numFmtId="0" fontId="16" fillId="22" borderId="12" xfId="0" applyFont="1" applyFill="1" applyBorder="1" applyAlignment="1">
      <alignment wrapText="1"/>
    </xf>
    <xf numFmtId="0" fontId="0" fillId="22" borderId="12" xfId="0" applyFill="1" applyBorder="1" applyAlignment="1">
      <alignment wrapText="1"/>
    </xf>
    <xf numFmtId="0" fontId="16" fillId="19" borderId="12" xfId="0" applyFont="1" applyFill="1" applyBorder="1" applyAlignment="1">
      <alignment wrapText="1"/>
    </xf>
    <xf numFmtId="0" fontId="0" fillId="19" borderId="12" xfId="0" applyFill="1" applyBorder="1" applyAlignment="1">
      <alignment wrapText="1"/>
    </xf>
    <xf numFmtId="0" fontId="16" fillId="20" borderId="12" xfId="0" applyFont="1" applyFill="1" applyBorder="1" applyAlignment="1">
      <alignment wrapText="1"/>
    </xf>
    <xf numFmtId="0" fontId="0" fillId="20" borderId="12" xfId="0" applyFill="1" applyBorder="1" applyAlignment="1">
      <alignment wrapText="1"/>
    </xf>
    <xf numFmtId="0" fontId="11" fillId="16" borderId="0" xfId="0" applyFont="1" applyFill="1" applyAlignment="1">
      <alignment horizontal="center" vertical="center"/>
    </xf>
    <xf numFmtId="0" fontId="0" fillId="16" borderId="0" xfId="0" applyFill="1" applyAlignment="1">
      <alignment horizontal="center" vertical="center"/>
    </xf>
    <xf numFmtId="0" fontId="12" fillId="17" borderId="0" xfId="0" applyFont="1" applyFill="1" applyAlignment="1">
      <alignment horizontal="center"/>
    </xf>
    <xf numFmtId="0" fontId="0" fillId="17" borderId="0" xfId="0" applyFill="1" applyAlignment="1">
      <alignment horizontal="center"/>
    </xf>
    <xf numFmtId="0" fontId="5" fillId="0" borderId="0" xfId="0" applyFont="1"/>
    <xf numFmtId="0" fontId="0" fillId="0" borderId="0" xfId="0"/>
    <xf numFmtId="0" fontId="7" fillId="0" borderId="0" xfId="0" applyFont="1"/>
  </cellXfs>
  <cellStyles count="1">
    <cellStyle name="Normal" xfId="0" builtinId="0"/>
  </cellStyles>
  <dxfs count="104">
    <dxf>
      <numFmt numFmtId="14" formatCode="0.00%"/>
    </dxf>
    <dxf>
      <numFmt numFmtId="3" formatCode="#,##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3" formatCode="#,##0"/>
    </dxf>
    <dxf>
      <numFmt numFmtId="14" formatCode="0.00%"/>
    </dxf>
    <dxf>
      <numFmt numFmtId="3" formatCode="#,##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3" formatCode="#,##0"/>
    </dxf>
    <dxf>
      <numFmt numFmtId="14" formatCode="0.00%"/>
    </dxf>
    <dxf>
      <numFmt numFmtId="3" formatCode="#,##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3" formatCode="#,##0"/>
    </dxf>
    <dxf>
      <numFmt numFmtId="14" formatCode="0.00%"/>
    </dxf>
    <dxf>
      <numFmt numFmtId="3" formatCode="#,##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3" formatCode="#,##0"/>
    </dxf>
    <dxf>
      <numFmt numFmtId="14" formatCode="0.00%"/>
    </dxf>
    <dxf>
      <numFmt numFmtId="3" formatCode="#,##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3" formatCode="#,##0"/>
    </dxf>
    <dxf>
      <numFmt numFmtId="14" formatCode="0.00%"/>
    </dxf>
    <dxf>
      <numFmt numFmtId="3" formatCode="#,##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3" formatCode="#,##0"/>
    </dxf>
    <dxf>
      <numFmt numFmtId="14" formatCode="0.0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14" formatCode="0.00%"/>
    </dxf>
    <dxf>
      <numFmt numFmtId="3" formatCode="#,##0"/>
    </dxf>
    <dxf>
      <numFmt numFmtId="14" formatCode="0.0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4" formatCode="dd/mm/yyyy"/>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rgb="FFBDD7EE"/>
        </left>
        <right style="thin">
          <color rgb="FFBDD7EE"/>
        </right>
        <top/>
        <bottom/>
      </border>
    </dxf>
  </dxfs>
  <tableStyles count="0" defaultTableStyle="TableStyleMedium9" defaultPivotStyle="PivotStyleLight16"/>
  <colors>
    <mruColors>
      <color rgb="FF8CAF47"/>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onnections" Target="connections.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ivotCacheDefinition" Target="pivotCache/pivotCacheDefinition18.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[ver1.xlsx]Customer Pivot!PivotTable11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Số lượng khách hàng theo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pivotFmt>
      <c:pivotFmt>
        <c:idx val="7"/>
        <c:spPr>
          <a:solidFill>
            <a:srgbClr val="C3D69B"/>
          </a:solidFill>
          <a:ln>
            <a:noFill/>
          </a:ln>
          <a:effectLst>
            <a:outerShdw blurRad="317500" sx="83000" sy="83000" algn="ctr" rotWithShape="0">
              <a:schemeClr val="bg1">
                <a:alpha val="32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tint val="54000"/>
            </a:schemeClr>
          </a:solidFill>
          <a:ln>
            <a:noFill/>
          </a:ln>
          <a:effectLst>
            <a:outerShdw blurRad="317500" sx="83000" sy="83000" algn="ctr" rotWithShape="0">
              <a:schemeClr val="bg1">
                <a:alpha val="32000"/>
              </a:schemeClr>
            </a:outerShdw>
          </a:effectLst>
        </c:spPr>
      </c:pivotFmt>
      <c:pivotFmt>
        <c:idx val="9"/>
        <c:spPr>
          <a:solidFill>
            <a:schemeClr val="accent3">
              <a:tint val="54000"/>
            </a:schemeClr>
          </a:solidFill>
          <a:ln>
            <a:noFill/>
          </a:ln>
          <a:effectLst>
            <a:outerShdw blurRad="317500" sx="83000" sy="83000" algn="ctr" rotWithShape="0">
              <a:schemeClr val="bg1">
                <a:alpha val="32000"/>
              </a:schemeClr>
            </a:outerShdw>
          </a:effectLst>
        </c:spPr>
      </c:pivotFmt>
      <c:pivotFmt>
        <c:idx val="10"/>
        <c:spPr>
          <a:solidFill>
            <a:srgbClr val="C3D69B"/>
          </a:solidFill>
          <a:ln>
            <a:noFill/>
          </a:ln>
          <a:effectLst>
            <a:outerShdw blurRad="317500" sx="83000" sy="83000" algn="ctr" rotWithShape="0">
              <a:schemeClr val="bg1">
                <a:alpha val="32000"/>
              </a:schemeClr>
            </a:outerShdw>
          </a:effectLst>
        </c:spPr>
      </c:pivotFmt>
      <c:pivotFmt>
        <c:idx val="11"/>
        <c:spPr>
          <a:solidFill>
            <a:schemeClr val="accent3">
              <a:shade val="76000"/>
            </a:schemeClr>
          </a:solidFill>
          <a:ln>
            <a:noFill/>
          </a:ln>
          <a:effectLst>
            <a:outerShdw blurRad="317500" sx="83000" sy="83000" algn="ctr" rotWithShape="0">
              <a:schemeClr val="bg1">
                <a:alpha val="32000"/>
              </a:schemeClr>
            </a:outerShdw>
          </a:effectLst>
        </c:spPr>
      </c:pivotFmt>
      <c:pivotFmt>
        <c:idx val="12"/>
        <c:spPr>
          <a:solidFill>
            <a:schemeClr val="accent3">
              <a:shade val="53000"/>
            </a:schemeClr>
          </a:solidFill>
          <a:ln>
            <a:noFill/>
          </a:ln>
          <a:effectLst>
            <a:outerShdw blurRad="317500" sx="83000" sy="83000" algn="ctr" rotWithShape="0">
              <a:schemeClr val="bg1">
                <a:alpha val="32000"/>
              </a:schemeClr>
            </a:outerShdw>
          </a:effectLst>
        </c:spPr>
      </c:pivotFmt>
    </c:pivotFmts>
    <c:plotArea>
      <c:layout>
        <c:manualLayout>
          <c:layoutTarget val="inner"/>
          <c:xMode val="edge"/>
          <c:yMode val="edge"/>
          <c:x val="0.15571951342620635"/>
          <c:y val="0.19292599172524533"/>
          <c:w val="0.37131132646880677"/>
          <c:h val="0.67734027453917756"/>
        </c:manualLayout>
      </c:layout>
      <c:doughnutChart>
        <c:varyColors val="1"/>
        <c:ser>
          <c:idx val="0"/>
          <c:order val="0"/>
          <c:tx>
            <c:strRef>
              <c:f>'Customer Pivot'!$B$23</c:f>
              <c:strCache>
                <c:ptCount val="1"/>
                <c:pt idx="0">
                  <c:v>Total</c:v>
                </c:pt>
              </c:strCache>
            </c:strRef>
          </c:tx>
          <c:spPr>
            <a:solidFill>
              <a:srgbClr val="C3D69B"/>
            </a:solidFill>
            <a:effectLst>
              <a:outerShdw blurRad="317500" sx="83000" sy="83000" algn="ctr" rotWithShape="0">
                <a:schemeClr val="bg1">
                  <a:alpha val="32000"/>
                </a:schemeClr>
              </a:outerShdw>
            </a:effectLst>
          </c:spPr>
          <c:dPt>
            <c:idx val="0"/>
            <c:bubble3D val="0"/>
            <c:spPr>
              <a:solidFill>
                <a:schemeClr val="accent3">
                  <a:tint val="54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1-F514-4ED3-BBE7-2A2D333C7EC8}"/>
              </c:ext>
            </c:extLst>
          </c:dPt>
          <c:dPt>
            <c:idx val="1"/>
            <c:bubble3D val="0"/>
            <c:spPr>
              <a:solidFill>
                <a:schemeClr val="accent3">
                  <a:tint val="54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3-F514-4ED3-BBE7-2A2D333C7EC8}"/>
              </c:ext>
            </c:extLst>
          </c:dPt>
          <c:dPt>
            <c:idx val="2"/>
            <c:bubble3D val="0"/>
            <c:spPr>
              <a:solidFill>
                <a:srgbClr val="C3D69B"/>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5-F514-4ED3-BBE7-2A2D333C7EC8}"/>
              </c:ext>
            </c:extLst>
          </c:dPt>
          <c:dPt>
            <c:idx val="3"/>
            <c:bubble3D val="0"/>
            <c:spPr>
              <a:solidFill>
                <a:schemeClr val="accent3">
                  <a:shade val="76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7-F514-4ED3-BBE7-2A2D333C7EC8}"/>
              </c:ext>
            </c:extLst>
          </c:dPt>
          <c:dPt>
            <c:idx val="4"/>
            <c:bubble3D val="0"/>
            <c:spPr>
              <a:solidFill>
                <a:schemeClr val="accent3">
                  <a:shade val="53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9-F514-4ED3-BBE7-2A2D333C7E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Pivot'!$A$24:$A$29</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Pivot'!$B$24:$B$29</c:f>
              <c:numCache>
                <c:formatCode>General</c:formatCode>
                <c:ptCount val="5"/>
                <c:pt idx="0">
                  <c:v>54</c:v>
                </c:pt>
                <c:pt idx="1">
                  <c:v>22</c:v>
                </c:pt>
                <c:pt idx="2">
                  <c:v>16</c:v>
                </c:pt>
                <c:pt idx="3">
                  <c:v>47</c:v>
                </c:pt>
                <c:pt idx="4">
                  <c:v>20</c:v>
                </c:pt>
              </c:numCache>
            </c:numRef>
          </c:val>
          <c:extLst>
            <c:ext xmlns:c16="http://schemas.microsoft.com/office/drawing/2014/chart" uri="{C3380CC4-5D6E-409C-BE32-E72D297353CC}">
              <c16:uniqueId val="{0000000A-F514-4ED3-BBE7-2A2D333C7E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Doanh thu theo Segment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c:f>
              <c:strCache>
                <c:ptCount val="1"/>
                <c:pt idx="0">
                  <c:v>Total</c:v>
                </c:pt>
              </c:strCache>
            </c:strRef>
          </c:tx>
          <c:spPr>
            <a:solidFill>
              <a:schemeClr val="accent3">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Pivot'!$A$2:$A$7</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Pivot'!$B$2:$B$7</c:f>
              <c:numCache>
                <c:formatCode>#,##0</c:formatCode>
                <c:ptCount val="5"/>
                <c:pt idx="0">
                  <c:v>52659100</c:v>
                </c:pt>
                <c:pt idx="1">
                  <c:v>25980700</c:v>
                </c:pt>
                <c:pt idx="2">
                  <c:v>5521000</c:v>
                </c:pt>
                <c:pt idx="3">
                  <c:v>102689500</c:v>
                </c:pt>
                <c:pt idx="4">
                  <c:v>82433156</c:v>
                </c:pt>
              </c:numCache>
            </c:numRef>
          </c:val>
          <c:extLst>
            <c:ext xmlns:c16="http://schemas.microsoft.com/office/drawing/2014/chart" uri="{C3380CC4-5D6E-409C-BE32-E72D297353CC}">
              <c16:uniqueId val="{00000000-F235-4D26-B64A-BE4CFEEE1094}"/>
            </c:ext>
          </c:extLst>
        </c:ser>
        <c:dLbls>
          <c:showLegendKey val="0"/>
          <c:showVal val="0"/>
          <c:showCatName val="0"/>
          <c:showSerName val="0"/>
          <c:showPercent val="0"/>
          <c:showBubbleSize val="0"/>
        </c:dLbls>
        <c:gapWidth val="72"/>
        <c:overlap val="-27"/>
        <c:axId val="2124305104"/>
        <c:axId val="2124305584"/>
      </c:barChart>
      <c:catAx>
        <c:axId val="21243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584"/>
        <c:crosses val="autoZero"/>
        <c:auto val="1"/>
        <c:lblAlgn val="ctr"/>
        <c:lblOffset val="100"/>
        <c:noMultiLvlLbl val="0"/>
      </c:catAx>
      <c:valAx>
        <c:axId val="2124305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Lợi</a:t>
            </a:r>
            <a:r>
              <a:rPr lang="en-US" sz="1200" b="1" baseline="0">
                <a:solidFill>
                  <a:schemeClr val="tx1"/>
                </a:solidFill>
                <a:latin typeface="Arial" panose="020B0604020202020204" pitchFamily="34" charset="0"/>
                <a:cs typeface="Arial" panose="020B0604020202020204" pitchFamily="34" charset="0"/>
              </a:rPr>
              <a:t> nhuận và % lợi nhuận theo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Pivot'!$B$12</c:f>
              <c:strCache>
                <c:ptCount val="1"/>
                <c:pt idx="0">
                  <c:v>Tổng Lợi Nhuận</c:v>
                </c:pt>
              </c:strCache>
            </c:strRef>
          </c:tx>
          <c:spPr>
            <a:solidFill>
              <a:schemeClr val="accent3">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Pivot'!$B$13:$B$18</c:f>
              <c:numCache>
                <c:formatCode>#,##0</c:formatCode>
                <c:ptCount val="5"/>
                <c:pt idx="0">
                  <c:v>9358117</c:v>
                </c:pt>
                <c:pt idx="1">
                  <c:v>7145178</c:v>
                </c:pt>
                <c:pt idx="2">
                  <c:v>1395083</c:v>
                </c:pt>
                <c:pt idx="3">
                  <c:v>19740013</c:v>
                </c:pt>
                <c:pt idx="4">
                  <c:v>19205168</c:v>
                </c:pt>
              </c:numCache>
            </c:numRef>
          </c:val>
          <c:extLst>
            <c:ext xmlns:c16="http://schemas.microsoft.com/office/drawing/2014/chart" uri="{C3380CC4-5D6E-409C-BE32-E72D297353CC}">
              <c16:uniqueId val="{00000000-3EFE-468F-ADFF-4D476D27F79E}"/>
            </c:ext>
          </c:extLst>
        </c:ser>
        <c:dLbls>
          <c:showLegendKey val="0"/>
          <c:showVal val="0"/>
          <c:showCatName val="0"/>
          <c:showSerName val="0"/>
          <c:showPercent val="0"/>
          <c:showBubbleSize val="0"/>
        </c:dLbls>
        <c:gapWidth val="67"/>
        <c:axId val="735985072"/>
        <c:axId val="735983632"/>
      </c:barChart>
      <c:lineChart>
        <c:grouping val="standard"/>
        <c:varyColors val="0"/>
        <c:ser>
          <c:idx val="1"/>
          <c:order val="1"/>
          <c:tx>
            <c:strRef>
              <c:f>'Customer Pivot'!$C$12</c:f>
              <c:strCache>
                <c:ptCount val="1"/>
                <c:pt idx="0">
                  <c:v>% Tỷ lệ lợi nhuận</c:v>
                </c:pt>
              </c:strCache>
            </c:strRef>
          </c:tx>
          <c:spPr>
            <a:ln w="28575" cap="rnd">
              <a:solidFill>
                <a:schemeClr val="accent2"/>
              </a:solidFill>
              <a:round/>
            </a:ln>
            <a:effectLst/>
          </c:spPr>
          <c:marker>
            <c:symbol val="none"/>
          </c:marker>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Pivot'!$C$13:$C$18</c:f>
              <c:numCache>
                <c:formatCode>0.00%</c:formatCode>
                <c:ptCount val="5"/>
                <c:pt idx="0">
                  <c:v>0.19424003605642004</c:v>
                </c:pt>
                <c:pt idx="1">
                  <c:v>0.17046093029218856</c:v>
                </c:pt>
                <c:pt idx="2">
                  <c:v>0.12969009289157032</c:v>
                </c:pt>
                <c:pt idx="3">
                  <c:v>0.15564753286139321</c:v>
                </c:pt>
                <c:pt idx="4">
                  <c:v>0.20633796811788405</c:v>
                </c:pt>
              </c:numCache>
            </c:numRef>
          </c:val>
          <c:smooth val="0"/>
          <c:extLst>
            <c:ext xmlns:c16="http://schemas.microsoft.com/office/drawing/2014/chart" uri="{C3380CC4-5D6E-409C-BE32-E72D297353CC}">
              <c16:uniqueId val="{00000001-3EFE-468F-ADFF-4D476D27F79E}"/>
            </c:ext>
          </c:extLst>
        </c:ser>
        <c:dLbls>
          <c:showLegendKey val="0"/>
          <c:showVal val="0"/>
          <c:showCatName val="0"/>
          <c:showSerName val="0"/>
          <c:showPercent val="0"/>
          <c:showBubbleSize val="0"/>
        </c:dLbls>
        <c:marker val="1"/>
        <c:smooth val="0"/>
        <c:axId val="383715472"/>
        <c:axId val="383714992"/>
      </c:lineChart>
      <c:catAx>
        <c:axId val="7359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3632"/>
        <c:crosses val="autoZero"/>
        <c:auto val="1"/>
        <c:lblAlgn val="ctr"/>
        <c:lblOffset val="100"/>
        <c:noMultiLvlLbl val="0"/>
      </c:catAx>
      <c:valAx>
        <c:axId val="735983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5072"/>
        <c:crosses val="autoZero"/>
        <c:crossBetween val="between"/>
      </c:valAx>
      <c:valAx>
        <c:axId val="3837149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15472"/>
        <c:crosses val="max"/>
        <c:crossBetween val="between"/>
      </c:valAx>
      <c:catAx>
        <c:axId val="383715472"/>
        <c:scaling>
          <c:orientation val="minMax"/>
        </c:scaling>
        <c:delete val="1"/>
        <c:axPos val="b"/>
        <c:numFmt formatCode="General" sourceLinked="1"/>
        <c:majorTickMark val="out"/>
        <c:minorTickMark val="none"/>
        <c:tickLblPos val="nextTo"/>
        <c:crossAx val="3837149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Số lượng Khách hàng theo Phân khúc (Tháng)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Pivot'!$K$12</c:f>
              <c:strCache>
                <c:ptCount val="1"/>
                <c:pt idx="0">
                  <c:v>Total</c:v>
                </c:pt>
              </c:strCache>
            </c:strRef>
          </c:tx>
          <c:spPr>
            <a:solidFill>
              <a:srgbClr val="C3D6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'Customer Pivot'!$J$13:$J$30</c:f>
              <c:multiLvlStrCache>
                <c:ptCount val="14"/>
                <c:lvl>
                  <c:pt idx="0">
                    <c:v>Khách hàng Cần chú ý</c:v>
                  </c:pt>
                  <c:pt idx="1">
                    <c:v>Khách hàng Mới</c:v>
                  </c:pt>
                  <c:pt idx="2">
                    <c:v>Khách hàng Tiềm năng</c:v>
                  </c:pt>
                  <c:pt idx="3">
                    <c:v>Khách hàng Trung thành</c:v>
                  </c:pt>
                  <c:pt idx="4">
                    <c:v>Khách hàng VIP</c:v>
                  </c:pt>
                  <c:pt idx="5">
                    <c:v>Khách hàng Cần chú ý</c:v>
                  </c:pt>
                  <c:pt idx="6">
                    <c:v>Khách hàng Mới</c:v>
                  </c:pt>
                  <c:pt idx="7">
                    <c:v>Khách hàng Tiềm năng</c:v>
                  </c:pt>
                  <c:pt idx="8">
                    <c:v>Khách hàng Trung thành</c:v>
                  </c:pt>
                  <c:pt idx="9">
                    <c:v>Khách hàng VIP</c:v>
                  </c:pt>
                  <c:pt idx="10">
                    <c:v>Khách hàng Mới</c:v>
                  </c:pt>
                  <c:pt idx="11">
                    <c:v>Khách hàng Tiềm năng</c:v>
                  </c:pt>
                  <c:pt idx="12">
                    <c:v>Khách hàng Trung thành</c:v>
                  </c:pt>
                  <c:pt idx="13">
                    <c:v>Khách hàng VIP</c:v>
                  </c:pt>
                </c:lvl>
                <c:lvl>
                  <c:pt idx="0">
                    <c:v>9</c:v>
                  </c:pt>
                  <c:pt idx="5">
                    <c:v>10</c:v>
                  </c:pt>
                  <c:pt idx="10">
                    <c:v>11</c:v>
                  </c:pt>
                </c:lvl>
              </c:multiLvlStrCache>
            </c:multiLvlStrRef>
          </c:cat>
          <c:val>
            <c:numRef>
              <c:f>'Customer Pivot'!$K$13:$K$30</c:f>
              <c:numCache>
                <c:formatCode>General</c:formatCode>
                <c:ptCount val="14"/>
                <c:pt idx="0">
                  <c:v>33</c:v>
                </c:pt>
                <c:pt idx="1">
                  <c:v>1</c:v>
                </c:pt>
                <c:pt idx="2">
                  <c:v>1</c:v>
                </c:pt>
                <c:pt idx="3">
                  <c:v>24</c:v>
                </c:pt>
                <c:pt idx="4">
                  <c:v>17</c:v>
                </c:pt>
                <c:pt idx="5">
                  <c:v>30</c:v>
                </c:pt>
                <c:pt idx="6">
                  <c:v>2</c:v>
                </c:pt>
                <c:pt idx="7">
                  <c:v>8</c:v>
                </c:pt>
                <c:pt idx="8">
                  <c:v>27</c:v>
                </c:pt>
                <c:pt idx="9">
                  <c:v>13</c:v>
                </c:pt>
                <c:pt idx="10">
                  <c:v>22</c:v>
                </c:pt>
                <c:pt idx="11">
                  <c:v>8</c:v>
                </c:pt>
                <c:pt idx="12">
                  <c:v>42</c:v>
                </c:pt>
                <c:pt idx="13">
                  <c:v>20</c:v>
                </c:pt>
              </c:numCache>
            </c:numRef>
          </c:val>
          <c:extLst>
            <c:ext xmlns:c16="http://schemas.microsoft.com/office/drawing/2014/chart" uri="{C3380CC4-5D6E-409C-BE32-E72D297353CC}">
              <c16:uniqueId val="{00000000-1134-413E-A6B5-033948EBBF06}"/>
            </c:ext>
          </c:extLst>
        </c:ser>
        <c:dLbls>
          <c:showLegendKey val="0"/>
          <c:showVal val="0"/>
          <c:showCatName val="0"/>
          <c:showSerName val="0"/>
          <c:showPercent val="0"/>
          <c:showBubbleSize val="0"/>
        </c:dLbls>
        <c:gapWidth val="50"/>
        <c:overlap val="-27"/>
        <c:axId val="1070890463"/>
        <c:axId val="1070889503"/>
      </c:barChart>
      <c:catAx>
        <c:axId val="107089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89503"/>
        <c:crosses val="autoZero"/>
        <c:auto val="1"/>
        <c:lblAlgn val="ctr"/>
        <c:lblOffset val="100"/>
        <c:noMultiLvlLbl val="0"/>
      </c:catAx>
      <c:valAx>
        <c:axId val="1070889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9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Pivot!PivotTop10Dynamic</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Khách hàng mua nhiều nhất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Pivot'!$G$12</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Pivot'!$F$13:$F$18</c:f>
              <c:strCache>
                <c:ptCount val="5"/>
                <c:pt idx="0">
                  <c:v>Thế Giới Con Cưng - HCL</c:v>
                </c:pt>
                <c:pt idx="1">
                  <c:v>Minh Hiền (chị Ớ) - B.H.Trung</c:v>
                </c:pt>
                <c:pt idx="2">
                  <c:v>Mẹ &amp; Bé (Hồng Nhung) - M.Long</c:v>
                </c:pt>
                <c:pt idx="3">
                  <c:v>Chú 7 Vân - B.H.Tây</c:v>
                </c:pt>
                <c:pt idx="4">
                  <c:v>Căn tin BV Phổi( Chị Duyên) - BV phổi</c:v>
                </c:pt>
              </c:strCache>
            </c:strRef>
          </c:cat>
          <c:val>
            <c:numRef>
              <c:f>'Customer Pivot'!$G$13:$G$18</c:f>
              <c:numCache>
                <c:formatCode>General</c:formatCode>
                <c:ptCount val="5"/>
                <c:pt idx="0">
                  <c:v>11022000</c:v>
                </c:pt>
                <c:pt idx="1">
                  <c:v>10078000</c:v>
                </c:pt>
                <c:pt idx="2">
                  <c:v>8626400</c:v>
                </c:pt>
                <c:pt idx="3">
                  <c:v>8520000</c:v>
                </c:pt>
                <c:pt idx="4">
                  <c:v>8334000</c:v>
                </c:pt>
              </c:numCache>
            </c:numRef>
          </c:val>
          <c:extLst>
            <c:ext xmlns:c16="http://schemas.microsoft.com/office/drawing/2014/chart" uri="{C3380CC4-5D6E-409C-BE32-E72D297353CC}">
              <c16:uniqueId val="{00000000-3D17-4E96-A320-D0F887D1A1D0}"/>
            </c:ext>
          </c:extLst>
        </c:ser>
        <c:dLbls>
          <c:showLegendKey val="0"/>
          <c:showVal val="0"/>
          <c:showCatName val="0"/>
          <c:showSerName val="0"/>
          <c:showPercent val="0"/>
          <c:showBubbleSize val="0"/>
        </c:dLbls>
        <c:gapWidth val="50"/>
        <c:overlap val="-27"/>
        <c:axId val="785640640"/>
        <c:axId val="785641120"/>
      </c:barChart>
      <c:catAx>
        <c:axId val="7856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1120"/>
        <c:crosses val="autoZero"/>
        <c:auto val="1"/>
        <c:lblAlgn val="ctr"/>
        <c:lblOffset val="100"/>
        <c:noMultiLvlLbl val="0"/>
      </c:catAx>
      <c:valAx>
        <c:axId val="78564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Pivot!PivotNganhHang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theo Ngành Hàng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Pivot'!$BB$1</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Pivot'!$BA$2:$BA$14</c:f>
              <c:strCache>
                <c:ptCount val="12"/>
                <c:pt idx="0">
                  <c:v>Giấy Vệ Sinh</c:v>
                </c:pt>
                <c:pt idx="1">
                  <c:v>Khăn Giấy</c:v>
                </c:pt>
                <c:pt idx="2">
                  <c:v>Chăm Sóc Nhà Cửa</c:v>
                </c:pt>
                <c:pt idx="3">
                  <c:v>Bánh Snack</c:v>
                </c:pt>
                <c:pt idx="4">
                  <c:v>Khăn Ướt</c:v>
                </c:pt>
                <c:pt idx="5">
                  <c:v>Thực Phẩm &amp; Bánh Kẹo</c:v>
                </c:pt>
                <c:pt idx="6">
                  <c:v>Bàn Chải &amp; Răng Miệng</c:v>
                </c:pt>
                <c:pt idx="7">
                  <c:v>Tăm Bông</c:v>
                </c:pt>
                <c:pt idx="8">
                  <c:v>Yến Sào &amp; Sức Khỏe</c:v>
                </c:pt>
                <c:pt idx="9">
                  <c:v>Nước Uống</c:v>
                </c:pt>
                <c:pt idx="10">
                  <c:v>Mẹ &amp; Bé</c:v>
                </c:pt>
                <c:pt idx="11">
                  <c:v>Khác</c:v>
                </c:pt>
              </c:strCache>
            </c:strRef>
          </c:cat>
          <c:val>
            <c:numRef>
              <c:f>'Product Pivot'!$BB$2:$BB$14</c:f>
              <c:numCache>
                <c:formatCode>#,##0</c:formatCode>
                <c:ptCount val="12"/>
                <c:pt idx="0">
                  <c:v>86484000</c:v>
                </c:pt>
                <c:pt idx="1">
                  <c:v>57804500</c:v>
                </c:pt>
                <c:pt idx="2">
                  <c:v>30979556</c:v>
                </c:pt>
                <c:pt idx="3">
                  <c:v>26660400</c:v>
                </c:pt>
                <c:pt idx="4">
                  <c:v>19166000</c:v>
                </c:pt>
                <c:pt idx="5">
                  <c:v>17603500</c:v>
                </c:pt>
                <c:pt idx="6">
                  <c:v>12408100</c:v>
                </c:pt>
                <c:pt idx="7">
                  <c:v>7857800</c:v>
                </c:pt>
                <c:pt idx="8">
                  <c:v>6208600</c:v>
                </c:pt>
                <c:pt idx="9">
                  <c:v>2371000</c:v>
                </c:pt>
                <c:pt idx="10">
                  <c:v>1170000</c:v>
                </c:pt>
                <c:pt idx="11">
                  <c:v>570000</c:v>
                </c:pt>
              </c:numCache>
            </c:numRef>
          </c:val>
          <c:extLst>
            <c:ext xmlns:c16="http://schemas.microsoft.com/office/drawing/2014/chart" uri="{C3380CC4-5D6E-409C-BE32-E72D297353CC}">
              <c16:uniqueId val="{00000000-8DB1-4A3F-9B0F-07EC961AC6E1}"/>
            </c:ext>
          </c:extLst>
        </c:ser>
        <c:dLbls>
          <c:showLegendKey val="0"/>
          <c:showVal val="0"/>
          <c:showCatName val="0"/>
          <c:showSerName val="0"/>
          <c:showPercent val="0"/>
          <c:showBubbleSize val="0"/>
        </c:dLbls>
        <c:gapWidth val="50"/>
        <c:overlap val="-27"/>
        <c:axId val="1913476336"/>
        <c:axId val="1913465296"/>
      </c:barChart>
      <c:catAx>
        <c:axId val="191347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65296"/>
        <c:crosses val="autoZero"/>
        <c:auto val="1"/>
        <c:lblAlgn val="ctr"/>
        <c:lblOffset val="100"/>
        <c:noMultiLvlLbl val="0"/>
      </c:catAx>
      <c:valAx>
        <c:axId val="1913465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Pivot!PivotTop10ProdCombo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Sản phẩm theo 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Pivot'!$AB$1</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Pivot'!$AA$2:$AA$12</c:f>
              <c:strCache>
                <c:ptCount val="10"/>
                <c:pt idx="0">
                  <c:v>Bánh gạo TE Happy Bites Chuối 50g x 12 hộp</c:v>
                </c:pt>
                <c:pt idx="1">
                  <c:v>Bánh gạo TE Happy Bites Việt Quất 50g x 12 hộp</c:v>
                </c:pt>
                <c:pt idx="2">
                  <c:v>HIMA DAILY (new) 6 lọ x 6 hộp</c:v>
                </c:pt>
                <c:pt idx="3">
                  <c:v>Khăn Napkin Fairy 320 x 100 tờ x 48 gói</c:v>
                </c:pt>
                <c:pt idx="4">
                  <c:v>Khăn Napkin TiOne nâu 100 tờ x 30 gói</c:v>
                </c:pt>
                <c:pt idx="5">
                  <c:v>Khăn Napkin Toply 100 tờ x 48 gói</c:v>
                </c:pt>
                <c:pt idx="6">
                  <c:v>Khăn ướt TE Villa 250g x 30 gói</c:v>
                </c:pt>
                <c:pt idx="7">
                  <c:v>Yến sào Finenest CĐ đỏ x 6 hộp</c:v>
                </c:pt>
                <c:pt idx="8">
                  <c:v>Yến sào Seunest CĐ vàng x 6 hộp</c:v>
                </c:pt>
                <c:pt idx="9">
                  <c:v>Yến sào Seunest KĐ xanh x 6 hộp</c:v>
                </c:pt>
              </c:strCache>
            </c:strRef>
          </c:cat>
          <c:val>
            <c:numRef>
              <c:f>'Product Pivot'!$AB$2:$AB$12</c:f>
              <c:numCache>
                <c:formatCode>#,##0</c:formatCode>
                <c:ptCount val="10"/>
                <c:pt idx="0">
                  <c:v>5540000</c:v>
                </c:pt>
                <c:pt idx="1">
                  <c:v>5824000</c:v>
                </c:pt>
                <c:pt idx="2">
                  <c:v>6816000</c:v>
                </c:pt>
                <c:pt idx="3">
                  <c:v>7874000</c:v>
                </c:pt>
                <c:pt idx="4">
                  <c:v>7914000</c:v>
                </c:pt>
                <c:pt idx="5">
                  <c:v>14834600</c:v>
                </c:pt>
                <c:pt idx="6">
                  <c:v>5530000</c:v>
                </c:pt>
                <c:pt idx="7">
                  <c:v>7732000</c:v>
                </c:pt>
                <c:pt idx="8">
                  <c:v>23241000</c:v>
                </c:pt>
                <c:pt idx="9">
                  <c:v>8168000</c:v>
                </c:pt>
              </c:numCache>
            </c:numRef>
          </c:val>
          <c:extLst>
            <c:ext xmlns:c16="http://schemas.microsoft.com/office/drawing/2014/chart" uri="{C3380CC4-5D6E-409C-BE32-E72D297353CC}">
              <c16:uniqueId val="{00000000-A33A-4B40-ABDA-D7401537B5A1}"/>
            </c:ext>
          </c:extLst>
        </c:ser>
        <c:dLbls>
          <c:showLegendKey val="0"/>
          <c:showVal val="0"/>
          <c:showCatName val="0"/>
          <c:showSerName val="0"/>
          <c:showPercent val="0"/>
          <c:showBubbleSize val="0"/>
        </c:dLbls>
        <c:gapWidth val="60"/>
        <c:overlap val="-27"/>
        <c:axId val="1684442672"/>
        <c:axId val="1684428272"/>
      </c:barChart>
      <c:catAx>
        <c:axId val="168444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8272"/>
        <c:crosses val="autoZero"/>
        <c:auto val="1"/>
        <c:lblAlgn val="ctr"/>
        <c:lblOffset val="100"/>
        <c:noMultiLvlLbl val="0"/>
      </c:catAx>
      <c:valAx>
        <c:axId val="1684428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4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Phân khúc: Revenue Share &amp; LN/Khách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Pivot'!$BI$1</c:f>
              <c:strCache>
                <c:ptCount val="1"/>
                <c:pt idx="0">
                  <c:v>Revenue Share %</c:v>
                </c:pt>
              </c:strCache>
            </c:strRef>
          </c:tx>
          <c:spPr>
            <a:solidFill>
              <a:srgbClr val="C3D69B"/>
            </a:soli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Pivot'!$BI$2:$BI$6</c:f>
              <c:numCache>
                <c:formatCode>0.0"%"</c:formatCode>
                <c:ptCount val="5"/>
                <c:pt idx="0">
                  <c:v>19.600000000000001</c:v>
                </c:pt>
                <c:pt idx="1">
                  <c:v>9.6</c:v>
                </c:pt>
                <c:pt idx="2">
                  <c:v>2.1</c:v>
                </c:pt>
                <c:pt idx="3">
                  <c:v>38.1</c:v>
                </c:pt>
                <c:pt idx="4">
                  <c:v>30.6</c:v>
                </c:pt>
              </c:numCache>
            </c:numRef>
          </c:val>
          <c:extLst>
            <c:ext xmlns:c16="http://schemas.microsoft.com/office/drawing/2014/chart" uri="{C3380CC4-5D6E-409C-BE32-E72D297353CC}">
              <c16:uniqueId val="{00000000-5192-41DD-88B4-EF534C46461B}"/>
            </c:ext>
          </c:extLst>
        </c:ser>
        <c:dLbls>
          <c:showLegendKey val="0"/>
          <c:showVal val="0"/>
          <c:showCatName val="0"/>
          <c:showSerName val="0"/>
          <c:showPercent val="0"/>
          <c:showBubbleSize val="0"/>
        </c:dLbls>
        <c:gapWidth val="60"/>
        <c:overlap val="-27"/>
        <c:axId val="1684441232"/>
        <c:axId val="1684424912"/>
      </c:barChart>
      <c:lineChart>
        <c:grouping val="standard"/>
        <c:varyColors val="0"/>
        <c:ser>
          <c:idx val="1"/>
          <c:order val="1"/>
          <c:tx>
            <c:strRef>
              <c:f>'Product Pivot'!$BJ$1</c:f>
              <c:strCache>
                <c:ptCount val="1"/>
                <c:pt idx="0">
                  <c:v>LN/Khách (VNĐ)</c:v>
                </c:pt>
              </c:strCache>
            </c:strRef>
          </c:tx>
          <c:spPr>
            <a:ln w="31750" cap="rnd">
              <a:solidFill>
                <a:srgbClr val="FF8B00"/>
              </a:solidFill>
              <a:round/>
            </a:ln>
            <a:effectLst/>
          </c:spPr>
          <c:marker>
            <c:symbol val="diamond"/>
            <c:size val="6"/>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Pivot'!$BJ$2:$BJ$6</c:f>
              <c:numCache>
                <c:formatCode>#,##0</c:formatCode>
                <c:ptCount val="5"/>
                <c:pt idx="0">
                  <c:v>173298</c:v>
                </c:pt>
                <c:pt idx="1">
                  <c:v>324781</c:v>
                </c:pt>
                <c:pt idx="2">
                  <c:v>87193</c:v>
                </c:pt>
                <c:pt idx="3">
                  <c:v>420000</c:v>
                </c:pt>
                <c:pt idx="4">
                  <c:v>960258</c:v>
                </c:pt>
              </c:numCache>
            </c:numRef>
          </c:val>
          <c:smooth val="0"/>
          <c:extLst>
            <c:ext xmlns:c16="http://schemas.microsoft.com/office/drawing/2014/chart" uri="{C3380CC4-5D6E-409C-BE32-E72D297353CC}">
              <c16:uniqueId val="{00000001-5192-41DD-88B4-EF534C46461B}"/>
            </c:ext>
          </c:extLst>
        </c:ser>
        <c:dLbls>
          <c:showLegendKey val="0"/>
          <c:showVal val="0"/>
          <c:showCatName val="0"/>
          <c:showSerName val="0"/>
          <c:showPercent val="0"/>
          <c:showBubbleSize val="0"/>
        </c:dLbls>
        <c:marker val="1"/>
        <c:smooth val="0"/>
        <c:axId val="1684458512"/>
        <c:axId val="1684453232"/>
      </c:lineChart>
      <c:catAx>
        <c:axId val="168444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4912"/>
        <c:crosses val="autoZero"/>
        <c:auto val="1"/>
        <c:lblAlgn val="ctr"/>
        <c:lblOffset val="100"/>
        <c:noMultiLvlLbl val="0"/>
      </c:catAx>
      <c:valAx>
        <c:axId val="1684424912"/>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41232"/>
        <c:crosses val="autoZero"/>
        <c:crossBetween val="between"/>
      </c:valAx>
      <c:valAx>
        <c:axId val="16844532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58512"/>
        <c:crosses val="max"/>
        <c:crossBetween val="between"/>
      </c:valAx>
      <c:catAx>
        <c:axId val="1684458512"/>
        <c:scaling>
          <c:orientation val="minMax"/>
        </c:scaling>
        <c:delete val="1"/>
        <c:axPos val="b"/>
        <c:numFmt formatCode="General" sourceLinked="1"/>
        <c:majorTickMark val="out"/>
        <c:minorTickMark val="none"/>
        <c:tickLblPos val="nextTo"/>
        <c:crossAx val="1684453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Top 5 Lợi nhuận </a:t>
            </a:r>
            <a:r>
              <a:rPr lang="en-US"/>
              <a:t>%</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 Pivot'!$AT$1</c:f>
              <c:strCache>
                <c:ptCount val="1"/>
                <c:pt idx="0">
                  <c:v>Margin%</c:v>
                </c:pt>
              </c:strCache>
            </c:strRef>
          </c:tx>
          <c:spPr>
            <a:solidFill>
              <a:srgbClr val="8CAF47"/>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Pivot'!$AT$2:$AT$6</c:f>
              <c:numCache>
                <c:formatCode>0.0%</c:formatCode>
                <c:ptCount val="5"/>
                <c:pt idx="0">
                  <c:v>0.7142857142857143</c:v>
                </c:pt>
                <c:pt idx="1">
                  <c:v>0.70370370370370372</c:v>
                </c:pt>
                <c:pt idx="2">
                  <c:v>0.65437788018433185</c:v>
                </c:pt>
                <c:pt idx="3">
                  <c:v>0.63133640552995396</c:v>
                </c:pt>
                <c:pt idx="4">
                  <c:v>0.59166666666666667</c:v>
                </c:pt>
              </c:numCache>
            </c:numRef>
          </c:val>
          <c:extLst>
            <c:ext xmlns:c16="http://schemas.microsoft.com/office/drawing/2014/chart" uri="{C3380CC4-5D6E-409C-BE32-E72D297353CC}">
              <c16:uniqueId val="{00000000-9C89-42D8-9DBB-7327533039BD}"/>
            </c:ext>
          </c:extLst>
        </c:ser>
        <c:dLbls>
          <c:showLegendKey val="0"/>
          <c:showVal val="0"/>
          <c:showCatName val="0"/>
          <c:showSerName val="0"/>
          <c:showPercent val="0"/>
          <c:showBubbleSize val="0"/>
        </c:dLbls>
        <c:gapWidth val="50"/>
        <c:axId val="1913477776"/>
        <c:axId val="1913484976"/>
      </c:barChart>
      <c:lineChart>
        <c:grouping val="standard"/>
        <c:varyColors val="0"/>
        <c:ser>
          <c:idx val="1"/>
          <c:order val="1"/>
          <c:tx>
            <c:strRef>
              <c:f>'Product Pivot'!$AU$1</c:f>
              <c:strCache>
                <c:ptCount val="1"/>
                <c:pt idx="0">
                  <c:v>Doanh Thu</c:v>
                </c:pt>
              </c:strCache>
            </c:strRef>
          </c:tx>
          <c:spPr>
            <a:ln w="31750" cap="rnd">
              <a:solidFill>
                <a:srgbClr val="FF8B00"/>
              </a:solidFill>
              <a:round/>
            </a:ln>
            <a:effectLst/>
          </c:spPr>
          <c:marker>
            <c:symbol val="diamond"/>
            <c:size val="7"/>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Pivot'!$AU$2:$AU$6</c:f>
              <c:numCache>
                <c:formatCode>#,##0</c:formatCode>
                <c:ptCount val="5"/>
                <c:pt idx="0">
                  <c:v>140000</c:v>
                </c:pt>
                <c:pt idx="1">
                  <c:v>121500</c:v>
                </c:pt>
                <c:pt idx="2">
                  <c:v>217000</c:v>
                </c:pt>
                <c:pt idx="3">
                  <c:v>217000</c:v>
                </c:pt>
                <c:pt idx="4">
                  <c:v>1920000</c:v>
                </c:pt>
              </c:numCache>
            </c:numRef>
          </c:val>
          <c:smooth val="0"/>
          <c:extLst>
            <c:ext xmlns:c16="http://schemas.microsoft.com/office/drawing/2014/chart" uri="{C3380CC4-5D6E-409C-BE32-E72D297353CC}">
              <c16:uniqueId val="{00000001-9C89-42D8-9DBB-7327533039BD}"/>
            </c:ext>
          </c:extLst>
        </c:ser>
        <c:dLbls>
          <c:showLegendKey val="0"/>
          <c:showVal val="0"/>
          <c:showCatName val="0"/>
          <c:showSerName val="0"/>
          <c:showPercent val="0"/>
          <c:showBubbleSize val="0"/>
        </c:dLbls>
        <c:marker val="1"/>
        <c:smooth val="0"/>
        <c:axId val="1913493136"/>
        <c:axId val="1913492656"/>
      </c:lineChart>
      <c:catAx>
        <c:axId val="191347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84976"/>
        <c:crosses val="autoZero"/>
        <c:auto val="1"/>
        <c:lblAlgn val="ctr"/>
        <c:lblOffset val="100"/>
        <c:noMultiLvlLbl val="0"/>
      </c:catAx>
      <c:valAx>
        <c:axId val="1913484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7776"/>
        <c:crosses val="autoZero"/>
        <c:crossBetween val="between"/>
      </c:valAx>
      <c:valAx>
        <c:axId val="19134926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93136"/>
        <c:crosses val="max"/>
        <c:crossBetween val="between"/>
      </c:valAx>
      <c:catAx>
        <c:axId val="1913493136"/>
        <c:scaling>
          <c:orientation val="minMax"/>
        </c:scaling>
        <c:delete val="1"/>
        <c:axPos val="b"/>
        <c:numFmt formatCode="General" sourceLinked="1"/>
        <c:majorTickMark val="out"/>
        <c:minorTickMark val="none"/>
        <c:tickLblPos val="nextTo"/>
        <c:crossAx val="19134926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225464</xdr:colOff>
      <xdr:row>6</xdr:row>
      <xdr:rowOff>125506</xdr:rowOff>
    </xdr:from>
    <xdr:to>
      <xdr:col>7</xdr:col>
      <xdr:colOff>1347</xdr:colOff>
      <xdr:row>10</xdr:row>
      <xdr:rowOff>143435</xdr:rowOff>
    </xdr:to>
    <xdr:sp macro="" textlink="'Customer Pivot'!$Z$1">
      <xdr:nvSpPr>
        <xdr:cNvPr id="17" name="Rectangle 16">
          <a:extLst>
            <a:ext uri="{FF2B5EF4-FFF2-40B4-BE49-F238E27FC236}">
              <a16:creationId xmlns:a16="http://schemas.microsoft.com/office/drawing/2014/main" id="{4871698A-67F9-90BA-791F-C0608BC72DD1}"/>
            </a:ext>
          </a:extLst>
        </xdr:cNvPr>
        <xdr:cNvSpPr/>
      </xdr:nvSpPr>
      <xdr:spPr>
        <a:xfrm>
          <a:off x="2663864" y="1201271"/>
          <a:ext cx="1604683" cy="735105"/>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C4659-7CA0-4540-B53C-6B81F7781153}"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189605</xdr:colOff>
      <xdr:row>6</xdr:row>
      <xdr:rowOff>134470</xdr:rowOff>
    </xdr:from>
    <xdr:to>
      <xdr:col>9</xdr:col>
      <xdr:colOff>575088</xdr:colOff>
      <xdr:row>10</xdr:row>
      <xdr:rowOff>134471</xdr:rowOff>
    </xdr:to>
    <xdr:sp macro="" textlink="'Customer Pivot'!$Z$2">
      <xdr:nvSpPr>
        <xdr:cNvPr id="18" name="Rectangle 17">
          <a:extLst>
            <a:ext uri="{FF2B5EF4-FFF2-40B4-BE49-F238E27FC236}">
              <a16:creationId xmlns:a16="http://schemas.microsoft.com/office/drawing/2014/main" id="{A693EC47-049A-6DC8-CCA8-D7C28C915368}"/>
            </a:ext>
          </a:extLst>
        </xdr:cNvPr>
        <xdr:cNvSpPr/>
      </xdr:nvSpPr>
      <xdr:spPr>
        <a:xfrm>
          <a:off x="4456805" y="1210235"/>
          <a:ext cx="1604683" cy="717177"/>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AF9237-AF3D-4B3E-8297-DD9D7E3A0637}"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230100</xdr:colOff>
      <xdr:row>13</xdr:row>
      <xdr:rowOff>71717</xdr:rowOff>
    </xdr:from>
    <xdr:to>
      <xdr:col>7</xdr:col>
      <xdr:colOff>5983</xdr:colOff>
      <xdr:row>17</xdr:row>
      <xdr:rowOff>66463</xdr:rowOff>
    </xdr:to>
    <xdr:sp macro="" textlink="'Customer Pivot'!$Z$4">
      <xdr:nvSpPr>
        <xdr:cNvPr id="19" name="Rectangle 18">
          <a:extLst>
            <a:ext uri="{FF2B5EF4-FFF2-40B4-BE49-F238E27FC236}">
              <a16:creationId xmlns:a16="http://schemas.microsoft.com/office/drawing/2014/main" id="{8B4EF732-61BF-AA74-248B-0B67DEFBCC28}"/>
            </a:ext>
          </a:extLst>
        </xdr:cNvPr>
        <xdr:cNvSpPr/>
      </xdr:nvSpPr>
      <xdr:spPr>
        <a:xfrm>
          <a:off x="2668500" y="2402541"/>
          <a:ext cx="1604683" cy="71192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4471C4-6CDD-41F2-908F-E1A3724A6F62}" type="TxLink">
            <a:rPr lang="en-US" sz="1100" b="0" i="0" u="none" strike="noStrike">
              <a:solidFill>
                <a:srgbClr val="000000"/>
              </a:solidFill>
              <a:latin typeface="Calibri"/>
              <a:ea typeface="Calibri"/>
              <a:cs typeface="Calibri"/>
            </a:rPr>
            <a:pPr algn="ctr"/>
            <a:t>705 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203206</xdr:colOff>
      <xdr:row>13</xdr:row>
      <xdr:rowOff>17929</xdr:rowOff>
    </xdr:from>
    <xdr:to>
      <xdr:col>9</xdr:col>
      <xdr:colOff>588689</xdr:colOff>
      <xdr:row>17</xdr:row>
      <xdr:rowOff>30605</xdr:rowOff>
    </xdr:to>
    <xdr:sp macro="" textlink="'Customer Pivot'!$Z$5">
      <xdr:nvSpPr>
        <xdr:cNvPr id="20" name="Rectangle 19">
          <a:extLst>
            <a:ext uri="{FF2B5EF4-FFF2-40B4-BE49-F238E27FC236}">
              <a16:creationId xmlns:a16="http://schemas.microsoft.com/office/drawing/2014/main" id="{EDA02CBD-49D4-7A5C-8F1F-3A983D7F6BAB}"/>
            </a:ext>
          </a:extLst>
        </xdr:cNvPr>
        <xdr:cNvSpPr/>
      </xdr:nvSpPr>
      <xdr:spPr>
        <a:xfrm>
          <a:off x="4470406" y="2348753"/>
          <a:ext cx="1604683" cy="72985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5851EF-ED08-4F4B-B008-C78250F2EAD5}" type="TxLink">
            <a:rPr lang="en-US" sz="1100" b="0" i="0" u="none" strike="noStrike">
              <a:solidFill>
                <a:srgbClr val="000000"/>
              </a:solidFill>
              <a:latin typeface="Calibri"/>
              <a:ea typeface="Calibri"/>
              <a:cs typeface="Calibri"/>
            </a:rPr>
            <a:pPr algn="ctr"/>
            <a:t>159 khách</a:t>
          </a:fld>
          <a:endParaRPr lang="en-US" sz="1100" b="1">
            <a:latin typeface="Arial" panose="020B0604020202020204" pitchFamily="34" charset="0"/>
            <a:cs typeface="Arial" panose="020B0604020202020204" pitchFamily="34" charset="0"/>
          </a:endParaRPr>
        </a:p>
      </xdr:txBody>
    </xdr:sp>
    <xdr:clientData/>
  </xdr:twoCellAnchor>
  <xdr:twoCellAnchor>
    <xdr:from>
      <xdr:col>20</xdr:col>
      <xdr:colOff>70399</xdr:colOff>
      <xdr:row>4</xdr:row>
      <xdr:rowOff>158094</xdr:rowOff>
    </xdr:from>
    <xdr:to>
      <xdr:col>26</xdr:col>
      <xdr:colOff>586946</xdr:colOff>
      <xdr:row>20</xdr:row>
      <xdr:rowOff>133865</xdr:rowOff>
    </xdr:to>
    <xdr:graphicFrame macro="">
      <xdr:nvGraphicFramePr>
        <xdr:cNvPr id="3" name="Chart 2">
          <a:extLst>
            <a:ext uri="{FF2B5EF4-FFF2-40B4-BE49-F238E27FC236}">
              <a16:creationId xmlns:a16="http://schemas.microsoft.com/office/drawing/2014/main" id="{E98E3823-19E3-42A4-A5B5-B4DC12DA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143435</xdr:colOff>
      <xdr:row>4</xdr:row>
      <xdr:rowOff>161366</xdr:rowOff>
    </xdr:from>
    <xdr:to>
      <xdr:col>19</xdr:col>
      <xdr:colOff>521298</xdr:colOff>
      <xdr:row>20</xdr:row>
      <xdr:rowOff>116542</xdr:rowOff>
    </xdr:to>
    <xdr:graphicFrame macro="">
      <xdr:nvGraphicFramePr>
        <xdr:cNvPr id="4" name="Chart 3">
          <a:extLst>
            <a:ext uri="{FF2B5EF4-FFF2-40B4-BE49-F238E27FC236}">
              <a16:creationId xmlns:a16="http://schemas.microsoft.com/office/drawing/2014/main" id="{2C1E3AAB-AE9C-414B-BE75-AD2453EE4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236900</xdr:colOff>
      <xdr:row>7</xdr:row>
      <xdr:rowOff>20255</xdr:rowOff>
    </xdr:from>
    <xdr:to>
      <xdr:col>4</xdr:col>
      <xdr:colOff>14127</xdr:colOff>
      <xdr:row>16</xdr:row>
      <xdr:rowOff>123016</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C5674678-EB0E-22FC-80DC-31AB10A98D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36900" y="1304366"/>
              <a:ext cx="2336042" cy="1753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21</xdr:row>
      <xdr:rowOff>35861</xdr:rowOff>
    </xdr:from>
    <xdr:to>
      <xdr:col>19</xdr:col>
      <xdr:colOff>519953</xdr:colOff>
      <xdr:row>38</xdr:row>
      <xdr:rowOff>43289</xdr:rowOff>
    </xdr:to>
    <xdr:graphicFrame macro="">
      <xdr:nvGraphicFramePr>
        <xdr:cNvPr id="7" name="Chart 6">
          <a:extLst>
            <a:ext uri="{FF2B5EF4-FFF2-40B4-BE49-F238E27FC236}">
              <a16:creationId xmlns:a16="http://schemas.microsoft.com/office/drawing/2014/main" id="{888A1113-6152-498C-957A-F4ECE2E6F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251012</xdr:colOff>
      <xdr:row>17</xdr:row>
      <xdr:rowOff>62305</xdr:rowOff>
    </xdr:from>
    <xdr:to>
      <xdr:col>4</xdr:col>
      <xdr:colOff>9862</xdr:colOff>
      <xdr:row>23</xdr:row>
      <xdr:rowOff>161365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5516536-1D72-6339-C478-B49F01856F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1012" y="3110305"/>
              <a:ext cx="2197250" cy="11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225464</xdr:colOff>
      <xdr:row>4</xdr:row>
      <xdr:rowOff>157652</xdr:rowOff>
    </xdr:from>
    <xdr:to>
      <xdr:col>6</xdr:col>
      <xdr:colOff>609092</xdr:colOff>
      <xdr:row>6</xdr:row>
      <xdr:rowOff>121792</xdr:rowOff>
    </xdr:to>
    <xdr:sp macro="" textlink="">
      <xdr:nvSpPr>
        <xdr:cNvPr id="13" name="Rectangle 12">
          <a:extLst>
            <a:ext uri="{FF2B5EF4-FFF2-40B4-BE49-F238E27FC236}">
              <a16:creationId xmlns:a16="http://schemas.microsoft.com/office/drawing/2014/main" id="{0B25ECB5-D156-AA34-62A4-92BD775DDCFF}"/>
            </a:ext>
          </a:extLst>
        </xdr:cNvPr>
        <xdr:cNvSpPr/>
      </xdr:nvSpPr>
      <xdr:spPr>
        <a:xfrm>
          <a:off x="2663864" y="874828"/>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193933</xdr:colOff>
      <xdr:row>4</xdr:row>
      <xdr:rowOff>170329</xdr:rowOff>
    </xdr:from>
    <xdr:to>
      <xdr:col>9</xdr:col>
      <xdr:colOff>577561</xdr:colOff>
      <xdr:row>6</xdr:row>
      <xdr:rowOff>134469</xdr:rowOff>
    </xdr:to>
    <xdr:sp macro="" textlink="">
      <xdr:nvSpPr>
        <xdr:cNvPr id="14" name="Rectangle 13">
          <a:extLst>
            <a:ext uri="{FF2B5EF4-FFF2-40B4-BE49-F238E27FC236}">
              <a16:creationId xmlns:a16="http://schemas.microsoft.com/office/drawing/2014/main" id="{AFE2B3DE-1C7B-4B9A-8CE9-52B52E916D4B}"/>
            </a:ext>
          </a:extLst>
        </xdr:cNvPr>
        <xdr:cNvSpPr/>
      </xdr:nvSpPr>
      <xdr:spPr>
        <a:xfrm>
          <a:off x="4461133" y="887505"/>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230100</xdr:colOff>
      <xdr:row>11</xdr:row>
      <xdr:rowOff>75427</xdr:rowOff>
    </xdr:from>
    <xdr:to>
      <xdr:col>7</xdr:col>
      <xdr:colOff>5983</xdr:colOff>
      <xdr:row>13</xdr:row>
      <xdr:rowOff>39567</xdr:rowOff>
    </xdr:to>
    <xdr:sp macro="" textlink="">
      <xdr:nvSpPr>
        <xdr:cNvPr id="15" name="Rectangle 14">
          <a:extLst>
            <a:ext uri="{FF2B5EF4-FFF2-40B4-BE49-F238E27FC236}">
              <a16:creationId xmlns:a16="http://schemas.microsoft.com/office/drawing/2014/main" id="{FFE5A57D-651C-469D-8EDC-399882F6C9CD}"/>
            </a:ext>
          </a:extLst>
        </xdr:cNvPr>
        <xdr:cNvSpPr/>
      </xdr:nvSpPr>
      <xdr:spPr>
        <a:xfrm>
          <a:off x="2668500" y="2047662"/>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ĐON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194241</xdr:colOff>
      <xdr:row>11</xdr:row>
      <xdr:rowOff>66463</xdr:rowOff>
    </xdr:from>
    <xdr:to>
      <xdr:col>9</xdr:col>
      <xdr:colOff>579724</xdr:colOff>
      <xdr:row>13</xdr:row>
      <xdr:rowOff>30603</xdr:rowOff>
    </xdr:to>
    <xdr:sp macro="" textlink="">
      <xdr:nvSpPr>
        <xdr:cNvPr id="16" name="Rectangle 15">
          <a:extLst>
            <a:ext uri="{FF2B5EF4-FFF2-40B4-BE49-F238E27FC236}">
              <a16:creationId xmlns:a16="http://schemas.microsoft.com/office/drawing/2014/main" id="{3CDA6E4F-5E32-4579-83BA-DEFC674D0F0D}"/>
            </a:ext>
          </a:extLst>
        </xdr:cNvPr>
        <xdr:cNvSpPr/>
      </xdr:nvSpPr>
      <xdr:spPr>
        <a:xfrm>
          <a:off x="4461441" y="2038698"/>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KHÁCH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144782</xdr:colOff>
      <xdr:row>6</xdr:row>
      <xdr:rowOff>125506</xdr:rowOff>
    </xdr:from>
    <xdr:to>
      <xdr:col>12</xdr:col>
      <xdr:colOff>530265</xdr:colOff>
      <xdr:row>10</xdr:row>
      <xdr:rowOff>107578</xdr:rowOff>
    </xdr:to>
    <xdr:sp macro="" textlink="'Customer Pivot'!$Z$3">
      <xdr:nvSpPr>
        <xdr:cNvPr id="21" name="Rectangle 20">
          <a:extLst>
            <a:ext uri="{FF2B5EF4-FFF2-40B4-BE49-F238E27FC236}">
              <a16:creationId xmlns:a16="http://schemas.microsoft.com/office/drawing/2014/main" id="{3138B9F3-4DA4-C990-4C9A-9872C161D64C}"/>
            </a:ext>
          </a:extLst>
        </xdr:cNvPr>
        <xdr:cNvSpPr/>
      </xdr:nvSpPr>
      <xdr:spPr>
        <a:xfrm>
          <a:off x="6240782" y="1201271"/>
          <a:ext cx="1604683" cy="69924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8FEE2F-973B-4133-A0F8-65332628E09D}"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149418</xdr:colOff>
      <xdr:row>13</xdr:row>
      <xdr:rowOff>26894</xdr:rowOff>
    </xdr:from>
    <xdr:to>
      <xdr:col>12</xdr:col>
      <xdr:colOff>534901</xdr:colOff>
      <xdr:row>17</xdr:row>
      <xdr:rowOff>30606</xdr:rowOff>
    </xdr:to>
    <xdr:sp macro="" textlink="'Customer Pivot'!$Z$6">
      <xdr:nvSpPr>
        <xdr:cNvPr id="22" name="Rectangle 21">
          <a:extLst>
            <a:ext uri="{FF2B5EF4-FFF2-40B4-BE49-F238E27FC236}">
              <a16:creationId xmlns:a16="http://schemas.microsoft.com/office/drawing/2014/main" id="{987D214F-3C80-E0EA-7E17-4E943820133A}"/>
            </a:ext>
          </a:extLst>
        </xdr:cNvPr>
        <xdr:cNvSpPr/>
      </xdr:nvSpPr>
      <xdr:spPr>
        <a:xfrm>
          <a:off x="6245418" y="2357718"/>
          <a:ext cx="1604683" cy="72088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3FF794-3471-4A1F-8C9E-4589624857D8}"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149110</xdr:colOff>
      <xdr:row>4</xdr:row>
      <xdr:rowOff>143436</xdr:rowOff>
    </xdr:from>
    <xdr:to>
      <xdr:col>12</xdr:col>
      <xdr:colOff>532738</xdr:colOff>
      <xdr:row>6</xdr:row>
      <xdr:rowOff>107576</xdr:rowOff>
    </xdr:to>
    <xdr:sp macro="" textlink="">
      <xdr:nvSpPr>
        <xdr:cNvPr id="23" name="Rectangle 22">
          <a:extLst>
            <a:ext uri="{FF2B5EF4-FFF2-40B4-BE49-F238E27FC236}">
              <a16:creationId xmlns:a16="http://schemas.microsoft.com/office/drawing/2014/main" id="{0936181E-A4C4-8272-2088-5386FA09F2AC}"/>
            </a:ext>
          </a:extLst>
        </xdr:cNvPr>
        <xdr:cNvSpPr/>
      </xdr:nvSpPr>
      <xdr:spPr>
        <a:xfrm>
          <a:off x="6245110" y="860612"/>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149418</xdr:colOff>
      <xdr:row>11</xdr:row>
      <xdr:rowOff>39570</xdr:rowOff>
    </xdr:from>
    <xdr:to>
      <xdr:col>12</xdr:col>
      <xdr:colOff>534901</xdr:colOff>
      <xdr:row>13</xdr:row>
      <xdr:rowOff>3710</xdr:rowOff>
    </xdr:to>
    <xdr:sp macro="" textlink="">
      <xdr:nvSpPr>
        <xdr:cNvPr id="24" name="Rectangle 23">
          <a:extLst>
            <a:ext uri="{FF2B5EF4-FFF2-40B4-BE49-F238E27FC236}">
              <a16:creationId xmlns:a16="http://schemas.microsoft.com/office/drawing/2014/main" id="{0147521B-4926-C0B4-2BED-E6076C10968F}"/>
            </a:ext>
          </a:extLst>
        </xdr:cNvPr>
        <xdr:cNvSpPr/>
      </xdr:nvSpPr>
      <xdr:spPr>
        <a:xfrm>
          <a:off x="6245418" y="2011805"/>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chemeClr val="tx1"/>
              </a:solidFill>
              <a:latin typeface="Arial" panose="020B0604020202020204" pitchFamily="34" charset="0"/>
              <a:cs typeface="Arial" panose="020B0604020202020204" pitchFamily="34" charset="0"/>
            </a:rPr>
            <a:t>GIÁ TRỊ / ĐƠN</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251012</xdr:colOff>
      <xdr:row>0</xdr:row>
      <xdr:rowOff>26894</xdr:rowOff>
    </xdr:from>
    <xdr:to>
      <xdr:col>26</xdr:col>
      <xdr:colOff>582706</xdr:colOff>
      <xdr:row>4</xdr:row>
      <xdr:rowOff>26895</xdr:rowOff>
    </xdr:to>
    <xdr:sp macro="" textlink="">
      <xdr:nvSpPr>
        <xdr:cNvPr id="25" name="Rectangle 24">
          <a:extLst>
            <a:ext uri="{FF2B5EF4-FFF2-40B4-BE49-F238E27FC236}">
              <a16:creationId xmlns:a16="http://schemas.microsoft.com/office/drawing/2014/main" id="{0D783978-0D97-A6BB-C839-0DE74EEB90EC}"/>
            </a:ext>
          </a:extLst>
        </xdr:cNvPr>
        <xdr:cNvSpPr/>
      </xdr:nvSpPr>
      <xdr:spPr>
        <a:xfrm>
          <a:off x="251012" y="26894"/>
          <a:ext cx="16181294" cy="717177"/>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Arial" panose="020B0604020202020204" pitchFamily="34" charset="0"/>
              <a:cs typeface="Arial" panose="020B0604020202020204" pitchFamily="34" charset="0"/>
            </a:rPr>
            <a:t>CUSTOMER</a:t>
          </a:r>
          <a:r>
            <a:rPr lang="en-US" sz="2400" b="1" baseline="0">
              <a:solidFill>
                <a:sysClr val="windowText" lastClr="000000"/>
              </a:solidFill>
              <a:latin typeface="Arial" panose="020B0604020202020204" pitchFamily="34" charset="0"/>
              <a:cs typeface="Arial" panose="020B0604020202020204" pitchFamily="34" charset="0"/>
            </a:rPr>
            <a: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197224</xdr:colOff>
      <xdr:row>18</xdr:row>
      <xdr:rowOff>62754</xdr:rowOff>
    </xdr:from>
    <xdr:to>
      <xdr:col>12</xdr:col>
      <xdr:colOff>537882</xdr:colOff>
      <xdr:row>38</xdr:row>
      <xdr:rowOff>53790</xdr:rowOff>
    </xdr:to>
    <xdr:graphicFrame macro="">
      <xdr:nvGraphicFramePr>
        <xdr:cNvPr id="6" name="Chart 8">
          <a:extLst>
            <a:ext uri="{FF2B5EF4-FFF2-40B4-BE49-F238E27FC236}">
              <a16:creationId xmlns:a16="http://schemas.microsoft.com/office/drawing/2014/main" id="{505260D0-3F28-15E7-9250-948F493EB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70359</xdr:colOff>
      <xdr:row>21</xdr:row>
      <xdr:rowOff>35814</xdr:rowOff>
    </xdr:from>
    <xdr:to>
      <xdr:col>26</xdr:col>
      <xdr:colOff>586868</xdr:colOff>
      <xdr:row>38</xdr:row>
      <xdr:rowOff>43180</xdr:rowOff>
    </xdr:to>
    <xdr:graphicFrame macro="">
      <xdr:nvGraphicFramePr>
        <xdr:cNvPr id="8" name="Chart_Top10_VIP">
          <a:extLst>
            <a:ext uri="{FF2B5EF4-FFF2-40B4-BE49-F238E27FC236}">
              <a16:creationId xmlns:a16="http://schemas.microsoft.com/office/drawing/2014/main" id="{68832C15-0AC3-8D81-12A0-0A9BFF010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319143</xdr:colOff>
      <xdr:row>0</xdr:row>
      <xdr:rowOff>0</xdr:rowOff>
    </xdr:from>
    <xdr:to>
      <xdr:col>27</xdr:col>
      <xdr:colOff>41237</xdr:colOff>
      <xdr:row>3</xdr:row>
      <xdr:rowOff>168537</xdr:rowOff>
    </xdr:to>
    <xdr:sp macro="" textlink="">
      <xdr:nvSpPr>
        <xdr:cNvPr id="3" name="Rectangle 2">
          <a:extLst>
            <a:ext uri="{FF2B5EF4-FFF2-40B4-BE49-F238E27FC236}">
              <a16:creationId xmlns:a16="http://schemas.microsoft.com/office/drawing/2014/main" id="{7C1AA4C6-BA73-4896-9709-8BCD7CBFE057}"/>
            </a:ext>
          </a:extLst>
        </xdr:cNvPr>
        <xdr:cNvSpPr/>
      </xdr:nvSpPr>
      <xdr:spPr>
        <a:xfrm>
          <a:off x="319143" y="0"/>
          <a:ext cx="16181294" cy="706419"/>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baseline="0">
              <a:solidFill>
                <a:sysClr val="windowText" lastClr="000000"/>
              </a:solidFill>
              <a:latin typeface="Arial" panose="020B0604020202020204" pitchFamily="34" charset="0"/>
              <a:cs typeface="Arial" panose="020B0604020202020204" pitchFamily="34" charset="0"/>
            </a:rPr>
            <a:t>PRODUCT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335730</xdr:colOff>
      <xdr:row>6</xdr:row>
      <xdr:rowOff>134919</xdr:rowOff>
    </xdr:from>
    <xdr:to>
      <xdr:col>7</xdr:col>
      <xdr:colOff>111613</xdr:colOff>
      <xdr:row>10</xdr:row>
      <xdr:rowOff>138504</xdr:rowOff>
    </xdr:to>
    <xdr:sp macro="" textlink="'Product Pivot'!$Z$1">
      <xdr:nvSpPr>
        <xdr:cNvPr id="4" name="Rectangle 3">
          <a:extLst>
            <a:ext uri="{FF2B5EF4-FFF2-40B4-BE49-F238E27FC236}">
              <a16:creationId xmlns:a16="http://schemas.microsoft.com/office/drawing/2014/main" id="{F3F70F49-CEC9-4DD4-B5E6-6A9F81211D3E}"/>
            </a:ext>
          </a:extLst>
        </xdr:cNvPr>
        <xdr:cNvSpPr/>
      </xdr:nvSpPr>
      <xdr:spPr>
        <a:xfrm>
          <a:off x="2774130" y="1210684"/>
          <a:ext cx="1604683" cy="72076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E915DD-40D9-48BE-9F7A-B7F28749EF47}"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299871</xdr:colOff>
      <xdr:row>6</xdr:row>
      <xdr:rowOff>143883</xdr:rowOff>
    </xdr:from>
    <xdr:to>
      <xdr:col>10</xdr:col>
      <xdr:colOff>75754</xdr:colOff>
      <xdr:row>10</xdr:row>
      <xdr:rowOff>129540</xdr:rowOff>
    </xdr:to>
    <xdr:sp macro="" textlink="'Product Pivot'!$Z$2">
      <xdr:nvSpPr>
        <xdr:cNvPr id="5" name="Rectangle 4">
          <a:extLst>
            <a:ext uri="{FF2B5EF4-FFF2-40B4-BE49-F238E27FC236}">
              <a16:creationId xmlns:a16="http://schemas.microsoft.com/office/drawing/2014/main" id="{91FCAE12-5677-4005-9EBD-D7721368E337}"/>
            </a:ext>
          </a:extLst>
        </xdr:cNvPr>
        <xdr:cNvSpPr/>
      </xdr:nvSpPr>
      <xdr:spPr>
        <a:xfrm>
          <a:off x="4567071" y="1219648"/>
          <a:ext cx="1604683" cy="702833"/>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DDDEE3-632E-4272-A64C-1E6FF946EB5B}"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editAs="oneCell">
    <xdr:from>
      <xdr:col>0</xdr:col>
      <xdr:colOff>342899</xdr:colOff>
      <xdr:row>5</xdr:row>
      <xdr:rowOff>8069</xdr:rowOff>
    </xdr:from>
    <xdr:to>
      <xdr:col>4</xdr:col>
      <xdr:colOff>108858</xdr:colOff>
      <xdr:row>13</xdr:row>
      <xdr:rowOff>181428</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F67BE689-C695-4330-8560-F4693F25B3B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42899" y="933356"/>
              <a:ext cx="2215627" cy="172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335730</xdr:colOff>
      <xdr:row>4</xdr:row>
      <xdr:rowOff>174237</xdr:rowOff>
    </xdr:from>
    <xdr:to>
      <xdr:col>7</xdr:col>
      <xdr:colOff>109758</xdr:colOff>
      <xdr:row>6</xdr:row>
      <xdr:rowOff>131205</xdr:rowOff>
    </xdr:to>
    <xdr:sp macro="" textlink="">
      <xdr:nvSpPr>
        <xdr:cNvPr id="8" name="Rectangle 7">
          <a:extLst>
            <a:ext uri="{FF2B5EF4-FFF2-40B4-BE49-F238E27FC236}">
              <a16:creationId xmlns:a16="http://schemas.microsoft.com/office/drawing/2014/main" id="{0FFA7A9A-E324-465B-BD97-8A8FB6111F5D}"/>
            </a:ext>
          </a:extLst>
        </xdr:cNvPr>
        <xdr:cNvSpPr/>
      </xdr:nvSpPr>
      <xdr:spPr>
        <a:xfrm>
          <a:off x="2774130" y="891413"/>
          <a:ext cx="1602828" cy="315557"/>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304199</xdr:colOff>
      <xdr:row>5</xdr:row>
      <xdr:rowOff>4033</xdr:rowOff>
    </xdr:from>
    <xdr:to>
      <xdr:col>10</xdr:col>
      <xdr:colOff>78227</xdr:colOff>
      <xdr:row>6</xdr:row>
      <xdr:rowOff>143882</xdr:rowOff>
    </xdr:to>
    <xdr:sp macro="" textlink="">
      <xdr:nvSpPr>
        <xdr:cNvPr id="9" name="Rectangle 8">
          <a:extLst>
            <a:ext uri="{FF2B5EF4-FFF2-40B4-BE49-F238E27FC236}">
              <a16:creationId xmlns:a16="http://schemas.microsoft.com/office/drawing/2014/main" id="{0D00F1B9-26D4-46EE-BCFD-421C2DD1A466}"/>
            </a:ext>
          </a:extLst>
        </xdr:cNvPr>
        <xdr:cNvSpPr/>
      </xdr:nvSpPr>
      <xdr:spPr>
        <a:xfrm>
          <a:off x="4571399" y="900504"/>
          <a:ext cx="1602828" cy="319143"/>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285528</xdr:colOff>
      <xdr:row>13</xdr:row>
      <xdr:rowOff>58719</xdr:rowOff>
    </xdr:from>
    <xdr:to>
      <xdr:col>10</xdr:col>
      <xdr:colOff>61411</xdr:colOff>
      <xdr:row>17</xdr:row>
      <xdr:rowOff>26447</xdr:rowOff>
    </xdr:to>
    <xdr:sp macro="" textlink="'Product Pivot'!$Z$3">
      <xdr:nvSpPr>
        <xdr:cNvPr id="10" name="Rectangle 9">
          <a:extLst>
            <a:ext uri="{FF2B5EF4-FFF2-40B4-BE49-F238E27FC236}">
              <a16:creationId xmlns:a16="http://schemas.microsoft.com/office/drawing/2014/main" id="{CFEE8BF8-12F3-4B42-A18C-14484C59F599}"/>
            </a:ext>
          </a:extLst>
        </xdr:cNvPr>
        <xdr:cNvSpPr/>
      </xdr:nvSpPr>
      <xdr:spPr>
        <a:xfrm>
          <a:off x="4552728" y="2389543"/>
          <a:ext cx="1604683" cy="68490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0A4632-635B-4E27-BCD1-817C6551CFEE}"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320644</xdr:colOff>
      <xdr:row>13</xdr:row>
      <xdr:rowOff>49306</xdr:rowOff>
    </xdr:from>
    <xdr:to>
      <xdr:col>7</xdr:col>
      <xdr:colOff>96527</xdr:colOff>
      <xdr:row>17</xdr:row>
      <xdr:rowOff>38674</xdr:rowOff>
    </xdr:to>
    <xdr:sp macro="" textlink="'Product Pivot'!$Z$6">
      <xdr:nvSpPr>
        <xdr:cNvPr id="11" name="Rectangle 10">
          <a:extLst>
            <a:ext uri="{FF2B5EF4-FFF2-40B4-BE49-F238E27FC236}">
              <a16:creationId xmlns:a16="http://schemas.microsoft.com/office/drawing/2014/main" id="{0B955B2D-2239-4508-9F25-9455024CC921}"/>
            </a:ext>
          </a:extLst>
        </xdr:cNvPr>
        <xdr:cNvSpPr/>
      </xdr:nvSpPr>
      <xdr:spPr>
        <a:xfrm>
          <a:off x="2759044" y="2380130"/>
          <a:ext cx="1604683" cy="70654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2D0CE1-862C-49D2-85D2-C8967656AB5D}"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289856</xdr:colOff>
      <xdr:row>11</xdr:row>
      <xdr:rowOff>83820</xdr:rowOff>
    </xdr:from>
    <xdr:to>
      <xdr:col>10</xdr:col>
      <xdr:colOff>63884</xdr:colOff>
      <xdr:row>13</xdr:row>
      <xdr:rowOff>40789</xdr:rowOff>
    </xdr:to>
    <xdr:sp macro="" textlink="">
      <xdr:nvSpPr>
        <xdr:cNvPr id="12" name="Rectangle 11">
          <a:extLst>
            <a:ext uri="{FF2B5EF4-FFF2-40B4-BE49-F238E27FC236}">
              <a16:creationId xmlns:a16="http://schemas.microsoft.com/office/drawing/2014/main" id="{D7F2DA40-7900-4D61-AD5A-C8426E21DBD2}"/>
            </a:ext>
          </a:extLst>
        </xdr:cNvPr>
        <xdr:cNvSpPr/>
      </xdr:nvSpPr>
      <xdr:spPr>
        <a:xfrm>
          <a:off x="4557056" y="2056055"/>
          <a:ext cx="1602828"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320644</xdr:colOff>
      <xdr:row>11</xdr:row>
      <xdr:rowOff>69153</xdr:rowOff>
    </xdr:from>
    <xdr:to>
      <xdr:col>7</xdr:col>
      <xdr:colOff>96527</xdr:colOff>
      <xdr:row>13</xdr:row>
      <xdr:rowOff>26122</xdr:rowOff>
    </xdr:to>
    <xdr:sp macro="" textlink="">
      <xdr:nvSpPr>
        <xdr:cNvPr id="13" name="Rectangle 12">
          <a:extLst>
            <a:ext uri="{FF2B5EF4-FFF2-40B4-BE49-F238E27FC236}">
              <a16:creationId xmlns:a16="http://schemas.microsoft.com/office/drawing/2014/main" id="{A1B48830-746C-4C5F-81D4-52EF4024BA1B}"/>
            </a:ext>
          </a:extLst>
        </xdr:cNvPr>
        <xdr:cNvSpPr/>
      </xdr:nvSpPr>
      <xdr:spPr>
        <a:xfrm>
          <a:off x="2759044" y="2041388"/>
          <a:ext cx="1604683"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chemeClr val="tx1"/>
              </a:solidFill>
              <a:latin typeface="Arial" panose="020B0604020202020204" pitchFamily="34" charset="0"/>
              <a:cs typeface="Arial" panose="020B0604020202020204" pitchFamily="34" charset="0"/>
            </a:rPr>
            <a:t>GIÁ TRỊ / ĐƠN</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346363</xdr:colOff>
      <xdr:row>15</xdr:row>
      <xdr:rowOff>35328</xdr:rowOff>
    </xdr:from>
    <xdr:to>
      <xdr:col>4</xdr:col>
      <xdr:colOff>124690</xdr:colOff>
      <xdr:row>22</xdr:row>
      <xdr:rowOff>69272</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F5D27EEE-D8ED-C900-B86C-D2A29CFDE0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6363" y="2811185"/>
              <a:ext cx="2216727" cy="13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338185</xdr:colOff>
      <xdr:row>23</xdr:row>
      <xdr:rowOff>83948</xdr:rowOff>
    </xdr:from>
    <xdr:to>
      <xdr:col>4</xdr:col>
      <xdr:colOff>103322</xdr:colOff>
      <xdr:row>34</xdr:row>
      <xdr:rowOff>19372</xdr:rowOff>
    </xdr:to>
    <mc:AlternateContent xmlns:mc="http://schemas.openxmlformats.org/markup-compatibility/2006" xmlns:a14="http://schemas.microsoft.com/office/drawing/2010/main">
      <mc:Choice Requires="a14">
        <xdr:graphicFrame macro="">
          <xdr:nvGraphicFramePr>
            <xdr:cNvPr id="2" name="Ngành Hàng">
              <a:extLst>
                <a:ext uri="{FF2B5EF4-FFF2-40B4-BE49-F238E27FC236}">
                  <a16:creationId xmlns:a16="http://schemas.microsoft.com/office/drawing/2014/main" id="{B49E155A-F21C-84B5-3317-3DDF22F409F2}"/>
                </a:ext>
              </a:extLst>
            </xdr:cNvPr>
            <xdr:cNvGraphicFramePr/>
          </xdr:nvGraphicFramePr>
          <xdr:xfrm>
            <a:off x="0" y="0"/>
            <a:ext cx="0" cy="0"/>
          </xdr:xfrm>
          <a:graphic>
            <a:graphicData uri="http://schemas.microsoft.com/office/drawing/2010/slicer">
              <sle:slicer xmlns:sle="http://schemas.microsoft.com/office/drawing/2010/slicer" name="Ngành Hàng"/>
            </a:graphicData>
          </a:graphic>
        </xdr:graphicFrame>
      </mc:Choice>
      <mc:Fallback xmlns="">
        <xdr:sp macro="" textlink="">
          <xdr:nvSpPr>
            <xdr:cNvPr id="0" name=""/>
            <xdr:cNvSpPr>
              <a:spLocks noTextEdit="1"/>
            </xdr:cNvSpPr>
          </xdr:nvSpPr>
          <xdr:spPr>
            <a:xfrm>
              <a:off x="338185" y="4303170"/>
              <a:ext cx="2323952" cy="1953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477863</xdr:colOff>
      <xdr:row>18</xdr:row>
      <xdr:rowOff>19374</xdr:rowOff>
    </xdr:from>
    <xdr:to>
      <xdr:col>26</xdr:col>
      <xdr:colOff>426204</xdr:colOff>
      <xdr:row>34</xdr:row>
      <xdr:rowOff>122695</xdr:rowOff>
    </xdr:to>
    <xdr:graphicFrame macro="">
      <xdr:nvGraphicFramePr>
        <xdr:cNvPr id="15" name="Chart_NhanhHang">
          <a:extLst>
            <a:ext uri="{FF2B5EF4-FFF2-40B4-BE49-F238E27FC236}">
              <a16:creationId xmlns:a16="http://schemas.microsoft.com/office/drawing/2014/main" id="{D2162471-AA55-73A0-D2BF-54DD905CE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246380</xdr:colOff>
      <xdr:row>18</xdr:row>
      <xdr:rowOff>10160</xdr:rowOff>
    </xdr:from>
    <xdr:to>
      <xdr:col>11</xdr:col>
      <xdr:colOff>464820</xdr:colOff>
      <xdr:row>34</xdr:row>
      <xdr:rowOff>132080</xdr:rowOff>
    </xdr:to>
    <xdr:graphicFrame macro="">
      <xdr:nvGraphicFramePr>
        <xdr:cNvPr id="16" name="Chart 1">
          <a:extLst>
            <a:ext uri="{FF2B5EF4-FFF2-40B4-BE49-F238E27FC236}">
              <a16:creationId xmlns:a16="http://schemas.microsoft.com/office/drawing/2014/main" id="{9C9C0E0E-0D95-C2B8-D375-EE3931F10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566420</xdr:colOff>
      <xdr:row>18</xdr:row>
      <xdr:rowOff>10160</xdr:rowOff>
    </xdr:from>
    <xdr:to>
      <xdr:col>19</xdr:col>
      <xdr:colOff>271780</xdr:colOff>
      <xdr:row>34</xdr:row>
      <xdr:rowOff>132080</xdr:rowOff>
    </xdr:to>
    <xdr:graphicFrame macro="">
      <xdr:nvGraphicFramePr>
        <xdr:cNvPr id="17" name="Chart_Segment">
          <a:extLst>
            <a:ext uri="{FF2B5EF4-FFF2-40B4-BE49-F238E27FC236}">
              <a16:creationId xmlns:a16="http://schemas.microsoft.com/office/drawing/2014/main" id="{761BE316-E906-CCEC-4560-757F87513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263599</xdr:colOff>
      <xdr:row>4</xdr:row>
      <xdr:rowOff>167898</xdr:rowOff>
    </xdr:from>
    <xdr:to>
      <xdr:col>26</xdr:col>
      <xdr:colOff>406831</xdr:colOff>
      <xdr:row>16</xdr:row>
      <xdr:rowOff>58118</xdr:rowOff>
    </xdr:to>
    <xdr:graphicFrame macro="">
      <xdr:nvGraphicFramePr>
        <xdr:cNvPr id="18" name="Chart_MarginTop5">
          <a:extLst>
            <a:ext uri="{FF2B5EF4-FFF2-40B4-BE49-F238E27FC236}">
              <a16:creationId xmlns:a16="http://schemas.microsoft.com/office/drawing/2014/main" id="{4B8864FE-EF1C-970E-2C13-B781C9813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213360</xdr:colOff>
      <xdr:row>47</xdr:row>
      <xdr:rowOff>22860</xdr:rowOff>
    </xdr:from>
    <xdr:to>
      <xdr:col>11</xdr:col>
      <xdr:colOff>944880</xdr:colOff>
      <xdr:row>47</xdr:row>
      <xdr:rowOff>335280</xdr:rowOff>
    </xdr:to>
    <xdr:sp macro="" textlink="">
      <xdr:nvSpPr>
        <xdr:cNvPr id="2" name="TextBox 1">
          <a:extLst>
            <a:ext uri="{FF2B5EF4-FFF2-40B4-BE49-F238E27FC236}">
              <a16:creationId xmlns:a16="http://schemas.microsoft.com/office/drawing/2014/main" id="{1780C48D-CB74-4363-9767-1A6A44656279}"/>
            </a:ext>
          </a:extLst>
        </xdr:cNvPr>
        <xdr:cNvSpPr txBox="1"/>
      </xdr:nvSpPr>
      <xdr:spPr>
        <a:xfrm>
          <a:off x="1661160" y="8724900"/>
          <a:ext cx="161163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213360</xdr:colOff>
      <xdr:row>47</xdr:row>
      <xdr:rowOff>22860</xdr:rowOff>
    </xdr:from>
    <xdr:to>
      <xdr:col>2</xdr:col>
      <xdr:colOff>944880</xdr:colOff>
      <xdr:row>47</xdr:row>
      <xdr:rowOff>335280</xdr:rowOff>
    </xdr:to>
    <xdr:sp macro="" textlink="">
      <xdr:nvSpPr>
        <xdr:cNvPr id="4" name="TextBox 3">
          <a:extLst>
            <a:ext uri="{FF2B5EF4-FFF2-40B4-BE49-F238E27FC236}">
              <a16:creationId xmlns:a16="http://schemas.microsoft.com/office/drawing/2014/main" id="{415A2C9F-1BF8-4696-B640-C20F76359330}"/>
            </a:ext>
          </a:extLst>
        </xdr:cNvPr>
        <xdr:cNvSpPr txBox="1"/>
      </xdr:nvSpPr>
      <xdr:spPr>
        <a:xfrm>
          <a:off x="1424940" y="6294120"/>
          <a:ext cx="1790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8608865741" createdVersion="3" refreshedVersion="8" minRefreshableVersion="3" recordCount="705" xr:uid="{EEEE5710-1A86-401A-B78B-852D2FEBE484}">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ount="5">
        <s v="Khách hàng VIP"/>
        <s v="Khách hàng Cần chú ý"/>
        <s v="Khách hàng Trung thành"/>
        <s v="Khách hàng Tiềm năng"/>
        <s v="Khách hàng Mới"/>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pivotCacheId="3582045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93358217595" createdVersion="3" refreshedVersion="8" minRefreshableVersion="3" recordCount="705" xr:uid="{27EF30AF-D9DD-4E39-B9DA-CAF7885D0A12}">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01204386574" backgroundQuery="1" createdVersion="8" refreshedVersion="8" minRefreshableVersion="3" recordCount="0" supportSubquery="1" supportAdvancedDrill="1" xr:uid="{CA32018F-99FF-4B21-97F4-E062851D17DE}">
  <cacheSource type="external" connectionId="1"/>
  <cacheFields count="3">
    <cacheField name="[DataSales].[Hàng].[Hàng]" caption="Hàng" numFmtId="0" hierarchy="2" level="1">
      <sharedItems count="10">
        <s v="Bánh gạo TE Happy Bites Chuối 50g x 12 hộp"/>
        <s v="Bánh gạo TE Happy Bites Việt Quất 50g x 12 hộp"/>
        <s v="HIMA DAILY (new) 6 lọ x 6 hộp"/>
        <s v="Khăn Napkin Fairy 320 x 100 tờ x 48 gói"/>
        <s v="Khăn Napkin TiOne nâu 100 tờ x 30 gói"/>
        <s v="Khăn Napkin Toply 100 tờ x 48 gói"/>
        <s v="Khăn ướt TE Villa 250g x 30 gói"/>
        <s v="Yến sào Finenest CĐ đỏ x 6 hộp"/>
        <s v="Yến sào Seunest CĐ vàng x 6 hộp"/>
        <s v="Yến sào Seunest KĐ xanh x 6 hộp"/>
      </sharedItems>
    </cacheField>
    <cacheField name="[Measures].[Sum of Doanh Thu]" caption="Sum of Doanh Thu" numFmtId="0" hierarchy="20" level="32767"/>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2"/>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012046180556" backgroundQuery="1" createdVersion="8" refreshedVersion="8" minRefreshableVersion="3" recordCount="0" supportSubquery="1" supportAdvancedDrill="1" xr:uid="{B780B686-981B-4CE7-87C8-1AE68374EE20}">
  <cacheSource type="external" connectionId="1"/>
  <cacheFields count="4">
    <cacheField name="[DataSales].[Hàng].[Hàng]" caption="Hàng" numFmtId="0" hierarchy="2" level="1">
      <sharedItems count="3">
        <s v="Khăn Napkin Toply 100 tờ x 48 gói"/>
        <s v="Yến sào Seunest CĐ vàng x 6 hộp"/>
        <s v="Yến sào Seunest KĐ xanh x 6 hộp"/>
      </sharedItems>
    </cacheField>
    <cacheField name="[Measures].[Sum of Lợi Nhuận]" caption="Sum of Lợi Nhuận" numFmtId="0" hierarchy="21" level="32767"/>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3"/>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01204652778" backgroundQuery="1" createdVersion="8" refreshedVersion="8" minRefreshableVersion="3" recordCount="0" supportSubquery="1" supportAdvancedDrill="1" xr:uid="{0890A05A-2F05-4338-A033-478FD89B67E9}">
  <cacheSource type="external" connectionId="1"/>
  <cacheFields count="3">
    <cacheField name="[DataSales].[Month].[Month]" caption="Month" numFmtId="0" hierarchy="17" level="1">
      <sharedItems containsSemiMixedTypes="0" containsString="0" containsNumber="1" containsInteger="1" minValue="10" maxValue="10" count="1">
        <n v="10"/>
      </sharedItems>
      <extLst>
        <ext xmlns:x15="http://schemas.microsoft.com/office/spreadsheetml/2010/11/main" uri="{4F2E5C28-24EA-4eb8-9CBF-B6C8F9C3D259}">
          <x15:cachedUniqueNames>
            <x15:cachedUniqueName index="0" name="[DataSales].[Month].&amp;[10]"/>
          </x15:cachedUniqueNames>
        </ext>
      </extLst>
    </cacheField>
    <cacheField name="[Measures].[Sum of Doanh Thu]" caption="Sum of Doanh Thu" numFmtId="0" hierarchy="20" level="32767"/>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2"/>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012046875003" backgroundQuery="1" createdVersion="8" refreshedVersion="8" minRefreshableVersion="3" recordCount="0" supportSubquery="1" supportAdvancedDrill="1" xr:uid="{4148571C-5756-490D-BE92-7615A6FD7444}">
  <cacheSource type="external" connectionId="1"/>
  <cacheFields count="6">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Measures].[Sum of SL Xuất]" caption="Sum of SL Xuất" numFmtId="0" hierarchy="32" level="32767"/>
    <cacheField name="[Measures].[Sum of SL Xuất KM]" caption="Sum of SL Xuất KM" numFmtId="0" hierarchy="33" level="32767"/>
    <cacheField name="[Measures].[Average of % SL Khuyến mãi]" caption="Average of % SL Khuyến mãi" numFmtId="0" hierarchy="27" level="32767"/>
    <cacheField name="[DataSales].[ĐVT].[ĐVT]" caption="ĐVT" numFmtId="0" hierarchy="3" level="1">
      <sharedItems count="17">
        <s v="Bao"/>
        <s v="Bịch"/>
        <s v="Bình"/>
        <s v="Block"/>
        <s v="Bộ"/>
        <s v="Cái"/>
        <s v="Cây"/>
        <s v="Chai"/>
        <s v="Cuộn"/>
        <s v="Dây"/>
        <s v="Gói"/>
        <s v="Hộp"/>
        <s v="Hủ"/>
        <s v="Lon"/>
        <s v="Thùng"/>
        <s v="Túi"/>
        <s v="Vỉ"/>
      </sharedItems>
    </cacheField>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fieldsUsage count="2">
        <fieldUsage x="-1"/>
        <fieldUsage x="4"/>
      </fieldsUsage>
    </cacheHierarchy>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5"/>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0208332" backgroundQuery="1" createdVersion="8" refreshedVersion="8" minRefreshableVersion="3" recordCount="0" supportSubquery="1" supportAdvancedDrill="1" xr:uid="{20A70549-587A-4573-B305-AC62E4B258F4}">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0671294" backgroundQuery="1" createdVersion="8" refreshedVersion="8" minRefreshableVersion="3" recordCount="0" supportSubquery="1" supportAdvancedDrill="1" xr:uid="{0239CA54-71BF-4A14-B2E7-BF9CE7F8184E}">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1134256" backgroundQuery="1" createdVersion="8" refreshedVersion="8" minRefreshableVersion="3" recordCount="0" supportSubquery="1" supportAdvancedDrill="1" xr:uid="{0CFD2117-BAAE-48DE-96FC-8FDF325E0E11}">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1481479" backgroundQuery="1" createdVersion="8" refreshedVersion="8" minRefreshableVersion="3" recordCount="0" supportSubquery="1" supportAdvancedDrill="1" xr:uid="{209A738B-D740-410A-B803-262CBBF50A1F}">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2175926" backgroundQuery="1" createdVersion="8" refreshedVersion="8" minRefreshableVersion="3" recordCount="0" supportSubquery="1" supportAdvancedDrill="1" xr:uid="{0521B232-B102-4657-9D18-193836FD8270}">
  <cacheSource type="external" connectionId="1"/>
  <cacheFields count="3">
    <cacheField name="[DataSales].[Khách hàng].[Khách hàng]" caption="Khách hàng" numFmtId="0" hierarchy="10" level="1">
      <sharedItems count="3">
        <s v="Mẹ &amp; Bé (Hồng Nhung) - M.Long"/>
        <s v="Minh Hiền (chị Ớ) - B.H.Trung"/>
        <s v="Thế Giới Con Cưng - HCL"/>
      </sharedItems>
    </cacheField>
    <cacheField name="[Measures].[Sum of Doanh Thu]" caption="Sum of Doanh Thu" numFmtId="0" hierarchy="20"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0"/>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2523149" backgroundQuery="1" createdVersion="8" refreshedVersion="8" minRefreshableVersion="3" recordCount="0" supportSubquery="1" supportAdvancedDrill="1" xr:uid="{07D30F85-ED70-4983-91B2-8A6B82A7CB65}">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2754626" backgroundQuery="1" createdVersion="8" refreshedVersion="8" minRefreshableVersion="3" recordCount="0" supportSubquery="1" supportAdvancedDrill="1" xr:uid="{021E30ED-AA60-47F1-9FDB-28F88745D1C1}">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3333334" backgroundQuery="1" createdVersion="8" refreshedVersion="8" minRefreshableVersion="3" recordCount="0" supportSubquery="1" supportAdvancedDrill="1" xr:uid="{B791D410-FF76-4538-ADF2-A6DECCF877F5}">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3912035" backgroundQuery="1" createdVersion="8" refreshedVersion="8" minRefreshableVersion="3" recordCount="0" supportSubquery="1" supportAdvancedDrill="1" xr:uid="{37639138-EDCB-4019-AB06-64F6B88882F7}">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4259258" backgroundQuery="1" createdVersion="8" refreshedVersion="8" minRefreshableVersion="3" recordCount="0" supportSubquery="1" supportAdvancedDrill="1" xr:uid="{1B202BD0-C843-4C16-AC3A-B542FB3401D4}">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472222" backgroundQuery="1" createdVersion="8" refreshedVersion="8" minRefreshableVersion="3" recordCount="0" supportSubquery="1" supportAdvancedDrill="1" xr:uid="{E3571BDD-BF80-4B58-80DC-67BC0451946D}">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5185182" backgroundQuery="1" createdVersion="8" refreshedVersion="8" minRefreshableVersion="3" recordCount="0" supportSubquery="1" supportAdvancedDrill="1" xr:uid="{E2CE9A27-BF09-43AB-8926-4F5EC987CCA1}">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5532405" backgroundQuery="1" createdVersion="8" refreshedVersion="8" minRefreshableVersion="3" recordCount="0" supportSubquery="1" supportAdvancedDrill="1" xr:uid="{4E6F26DC-BD47-4E3A-A769-5FC9BAF28B44}">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5879628" backgroundQuery="1" createdVersion="8" refreshedVersion="8" minRefreshableVersion="3" recordCount="0" supportSubquery="1" supportAdvancedDrill="1" xr:uid="{EC03C5CD-2A7D-48B7-9511-4849A5995829}">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6111113" backgroundQuery="1" createdVersion="8" refreshedVersion="8" minRefreshableVersion="3" recordCount="0" supportSubquery="1" supportAdvancedDrill="1" xr:uid="{A1835AB9-4D51-48DB-81A5-C5570951378A}">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26286458336" backgroundQuery="1" createdVersion="8" refreshedVersion="8" minRefreshableVersion="3" recordCount="0" supportSubquery="1" supportAdvancedDrill="1" xr:uid="{5A8EFAA4-7C43-48BD-908E-EBB7F202F50E}">
  <cacheSource type="external" connectionId="1"/>
  <cacheFields count="3">
    <cacheField name="[DataSales].[Khách hàng].[Khách hàng]" caption="Khách hàng" numFmtId="0" hierarchy="10" level="1">
      <sharedItems count="5">
        <s v="Căn tin BV Phổi( Chị Duyên) - BV phổi"/>
        <s v="Chú 7 Vân - B.H.Tây"/>
        <s v="Mẹ &amp; Bé (Hồng Nhung) - M.Long"/>
        <s v="Minh Hiền (chị Ớ) - B.H.Trung"/>
        <s v="Thế Giới Con Cưng - HCL"/>
      </sharedItems>
    </cacheField>
    <cacheField name="[Measures].[Sum of Doanh Thu]" caption="Sum of Doanh Thu" numFmtId="0" hierarchy="20"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0"/>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882395023145" backgroundQuery="1" createdVersion="3" refreshedVersion="8" minRefreshableVersion="3" recordCount="0" supportSubquery="1" supportAdvancedDrill="1" xr:uid="{E13F501D-6C98-4D13-AE10-ED511DC05F7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914637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x v="0"/>
    <n v="345600"/>
    <n v="0.33333333333333331"/>
    <n v="96"/>
    <n v="0"/>
    <n v="2023"/>
    <n v="9"/>
    <x v="0"/>
  </r>
  <r>
    <n v="2"/>
    <s v="TLM"/>
    <x v="1"/>
    <s v="Chai"/>
    <n v="800040"/>
    <n v="0"/>
    <n v="60"/>
    <n v="1100040"/>
    <n v="1100040"/>
    <d v="2023-09-01T00:00:00"/>
    <s v="Xuân Bình - M.Hiệp"/>
    <x v="0"/>
    <n v="300000"/>
    <n v="0.27271735573251882"/>
    <n v="60"/>
    <n v="0"/>
    <n v="2023"/>
    <n v="9"/>
    <x v="1"/>
  </r>
  <r>
    <n v="3"/>
    <s v="NG3600"/>
    <x v="2"/>
    <s v="Bình"/>
    <n v="365000"/>
    <n v="0"/>
    <n v="4"/>
    <n v="480000"/>
    <n v="480000"/>
    <d v="2023-09-01T00:00:00"/>
    <s v="Bé Bắp - N.Mỹ"/>
    <x v="1"/>
    <n v="115000"/>
    <n v="0.23958333333333329"/>
    <n v="4"/>
    <n v="0"/>
    <n v="2023"/>
    <n v="9"/>
    <x v="1"/>
  </r>
  <r>
    <n v="4"/>
    <s v="KV1002"/>
    <x v="3"/>
    <s v="Gói"/>
    <n v="1296000"/>
    <n v="0"/>
    <n v="180"/>
    <n v="1692000"/>
    <n v="1692000"/>
    <d v="2023-09-01T00:00:00"/>
    <s v="Căn tin BV Phổi( Chị Duyên) - BV phổi"/>
    <x v="0"/>
    <n v="396000"/>
    <n v="0.23404255319148939"/>
    <n v="180"/>
    <n v="0"/>
    <n v="2023"/>
    <n v="9"/>
    <x v="0"/>
  </r>
  <r>
    <n v="5"/>
    <s v="BCTEM32"/>
    <x v="4"/>
    <s v="Cây"/>
    <n v="46800"/>
    <n v="0"/>
    <n v="6"/>
    <n v="66000"/>
    <n v="66000"/>
    <d v="2023-09-01T00:00:00"/>
    <s v="MP Nhanh - M.Hiệp"/>
    <x v="0"/>
    <n v="19200"/>
    <n v="0.29090909090909089"/>
    <n v="6"/>
    <n v="0"/>
    <n v="2023"/>
    <n v="9"/>
    <x v="2"/>
  </r>
  <r>
    <n v="6"/>
    <s v="BCTEM35"/>
    <x v="5"/>
    <s v="Cây"/>
    <n v="46800"/>
    <n v="0"/>
    <n v="6"/>
    <n v="66000"/>
    <n v="66000"/>
    <d v="2023-09-01T00:00:00"/>
    <s v="MP Nhanh - M.Hiệp"/>
    <x v="0"/>
    <n v="19200"/>
    <n v="0.29090909090909089"/>
    <n v="6"/>
    <n v="0"/>
    <n v="2023"/>
    <n v="9"/>
    <x v="2"/>
  </r>
  <r>
    <n v="7"/>
    <s v="BCTEN36"/>
    <x v="6"/>
    <s v="Cây"/>
    <n v="46800"/>
    <n v="0"/>
    <n v="6"/>
    <n v="66000"/>
    <n v="66000"/>
    <d v="2023-09-01T00:00:00"/>
    <s v="MP Nhanh - M.Hiệp"/>
    <x v="0"/>
    <n v="19200"/>
    <n v="0.29090909090909089"/>
    <n v="6"/>
    <n v="0"/>
    <n v="2023"/>
    <n v="9"/>
    <x v="2"/>
  </r>
  <r>
    <n v="8"/>
    <s v="KU100"/>
    <x v="7"/>
    <s v="Gói"/>
    <n v="340000"/>
    <n v="5"/>
    <n v="20"/>
    <n v="480000"/>
    <n v="480000"/>
    <d v="2023-09-01T00:00:00"/>
    <s v="MP Nhanh - M.Hiệp"/>
    <x v="0"/>
    <n v="140000"/>
    <n v="0.29166666666666669"/>
    <n v="25"/>
    <n v="0.2"/>
    <n v="2023"/>
    <n v="9"/>
    <x v="3"/>
  </r>
  <r>
    <n v="10"/>
    <s v="KV320"/>
    <x v="8"/>
    <s v="Gói"/>
    <n v="528000"/>
    <n v="0"/>
    <n v="48"/>
    <n v="576000"/>
    <n v="576000"/>
    <d v="2023-09-04T00:00:00"/>
    <s v="Chị Nga - HCL"/>
    <x v="2"/>
    <n v="48000"/>
    <n v="8.3333333333333329E-2"/>
    <n v="48"/>
    <n v="0"/>
    <n v="2023"/>
    <n v="9"/>
    <x v="0"/>
  </r>
  <r>
    <n v="11"/>
    <s v="KV320"/>
    <x v="8"/>
    <s v="Gói"/>
    <n v="1056000"/>
    <n v="0"/>
    <n v="96"/>
    <n v="960000"/>
    <n v="960000"/>
    <d v="2023-09-04T00:00:00"/>
    <s v="Mỹ Nhân - N.Mỹ"/>
    <x v="2"/>
    <n v="-96000"/>
    <n v="-0.1"/>
    <n v="96"/>
    <n v="0"/>
    <n v="2023"/>
    <n v="9"/>
    <x v="0"/>
  </r>
  <r>
    <n v="12"/>
    <s v="KV100"/>
    <x v="0"/>
    <s v="Gói"/>
    <n v="345600"/>
    <n v="0"/>
    <n v="48"/>
    <n v="576000"/>
    <n v="576000"/>
    <d v="2023-09-04T00:00:00"/>
    <s v="Điện thoại Tuấn - N.Mỹ"/>
    <x v="1"/>
    <n v="230400"/>
    <n v="0.4"/>
    <n v="48"/>
    <n v="0"/>
    <n v="2023"/>
    <n v="9"/>
    <x v="0"/>
  </r>
  <r>
    <n v="16"/>
    <s v="A1K15"/>
    <x v="9"/>
    <s v="Hộp"/>
    <n v="120756"/>
    <n v="0"/>
    <n v="2"/>
    <n v="112000"/>
    <n v="112000"/>
    <d v="2023-09-04T00:00:00"/>
    <s v="TT Hải Hà - HCL"/>
    <x v="1"/>
    <n v="-8756"/>
    <n v="-7.8178571428571431E-2"/>
    <n v="2"/>
    <n v="0"/>
    <n v="2023"/>
    <n v="9"/>
    <x v="4"/>
  </r>
  <r>
    <n v="17"/>
    <s v="KDL01"/>
    <x v="10"/>
    <s v="Cây"/>
    <n v="39312"/>
    <n v="0"/>
    <n v="4"/>
    <n v="46000"/>
    <n v="46000"/>
    <d v="2023-09-04T00:00:00"/>
    <s v="TT Hải Hà - HCL"/>
    <x v="1"/>
    <n v="6688"/>
    <n v="0.1453913043478261"/>
    <n v="4"/>
    <n v="0"/>
    <n v="2023"/>
    <n v="9"/>
    <x v="0"/>
  </r>
  <r>
    <n v="18"/>
    <s v="TBTE20003"/>
    <x v="11"/>
    <s v="Hộp"/>
    <n v="231000"/>
    <n v="0"/>
    <n v="12"/>
    <n v="240000"/>
    <n v="240000"/>
    <d v="2023-09-04T00:00:00"/>
    <s v="TT Hải Hà - HCL"/>
    <x v="1"/>
    <n v="9000"/>
    <n v="3.7499999999999999E-2"/>
    <n v="12"/>
    <n v="0"/>
    <n v="2023"/>
    <n v="9"/>
    <x v="5"/>
  </r>
  <r>
    <n v="19"/>
    <s v="DCTD708"/>
    <x v="12"/>
    <s v="Vỉ"/>
    <n v="52800"/>
    <n v="0"/>
    <n v="2"/>
    <n v="72000"/>
    <n v="72000"/>
    <d v="2023-09-04T00:00:00"/>
    <s v="TH Trương Vy - A.Bình 2"/>
    <x v="1"/>
    <n v="19200"/>
    <n v="0.26666666666666672"/>
    <n v="2"/>
    <n v="0"/>
    <n v="2023"/>
    <n v="9"/>
    <x v="2"/>
  </r>
  <r>
    <n v="20"/>
    <s v="KU250"/>
    <x v="13"/>
    <s v="Gói"/>
    <n v="77000"/>
    <n v="0"/>
    <n v="10"/>
    <n v="100000"/>
    <n v="100000"/>
    <d v="2023-09-04T00:00:00"/>
    <s v="TH Trương Vy - A.Bình 2"/>
    <x v="1"/>
    <n v="23000"/>
    <n v="0.23"/>
    <n v="10"/>
    <n v="0"/>
    <n v="2023"/>
    <n v="9"/>
    <x v="3"/>
  </r>
  <r>
    <n v="21"/>
    <s v="KKDN300"/>
    <x v="14"/>
    <s v="Gói"/>
    <n v="792000"/>
    <n v="0"/>
    <n v="20"/>
    <n v="792000"/>
    <n v="792000"/>
    <d v="2023-09-04T00:00:00"/>
    <s v="Thế Giới Con Cưng - HCL"/>
    <x v="2"/>
    <n v="0"/>
    <n v="0"/>
    <n v="20"/>
    <n v="0"/>
    <n v="2023"/>
    <n v="9"/>
    <x v="0"/>
  </r>
  <r>
    <n v="24"/>
    <s v="KU1506"/>
    <x v="15"/>
    <s v="Gói"/>
    <n v="570000"/>
    <n v="0"/>
    <n v="60"/>
    <n v="1080000"/>
    <n v="1080000"/>
    <d v="2023-09-04T00:00:00"/>
    <s v="Chị Tuyết - HCL (N.Mỹ)"/>
    <x v="2"/>
    <n v="510000"/>
    <n v="0.47222222222222221"/>
    <n v="60"/>
    <n v="0"/>
    <n v="2023"/>
    <n v="9"/>
    <x v="3"/>
  </r>
  <r>
    <n v="25"/>
    <s v="KV1011"/>
    <x v="16"/>
    <s v="Gói"/>
    <n v="200010"/>
    <n v="0"/>
    <n v="30"/>
    <n v="240000"/>
    <n v="240000"/>
    <d v="2023-09-04T00:00:00"/>
    <s v="Chị Tuyết - HCL (N.Mỹ)"/>
    <x v="2"/>
    <n v="39990"/>
    <n v="0.166625"/>
    <n v="30"/>
    <n v="0"/>
    <n v="2023"/>
    <n v="9"/>
    <x v="0"/>
  </r>
  <r>
    <n v="27"/>
    <s v="HTF3000"/>
    <x v="17"/>
    <s v="Bình"/>
    <n v="340000"/>
    <n v="0"/>
    <n v="4"/>
    <n v="520000"/>
    <n v="520000"/>
    <d v="2023-09-05T00:00:00"/>
    <s v="TH Trương Vy - A.Bình 2"/>
    <x v="1"/>
    <n v="180000"/>
    <n v="0.34615384615384609"/>
    <n v="4"/>
    <n v="0"/>
    <n v="2023"/>
    <n v="9"/>
    <x v="1"/>
  </r>
  <r>
    <n v="28"/>
    <s v="KV1011"/>
    <x v="16"/>
    <s v="Gói"/>
    <n v="200010"/>
    <n v="0"/>
    <n v="30"/>
    <n v="220500"/>
    <n v="220500"/>
    <d v="2023-09-06T00:00:00"/>
    <s v="Thanh Nhàn - N.Mỹ"/>
    <x v="1"/>
    <n v="20490"/>
    <n v="9.292517006802721E-2"/>
    <n v="30"/>
    <n v="0"/>
    <n v="2023"/>
    <n v="9"/>
    <x v="0"/>
  </r>
  <r>
    <n v="29"/>
    <s v="CG50"/>
    <x v="18"/>
    <s v="Cái"/>
    <n v="165000"/>
    <n v="0"/>
    <n v="30"/>
    <n v="195000"/>
    <n v="195000"/>
    <d v="2023-09-07T00:00:00"/>
    <s v="Hồng Hạnh - P.Mỹ (cầu Trâu Trắng)"/>
    <x v="1"/>
    <n v="30000"/>
    <n v="0.15384615384615391"/>
    <n v="30"/>
    <n v="0"/>
    <n v="2023"/>
    <n v="9"/>
    <x v="4"/>
  </r>
  <r>
    <n v="30"/>
    <s v="CG501"/>
    <x v="19"/>
    <s v="Cái"/>
    <n v="165000"/>
    <n v="0"/>
    <n v="30"/>
    <n v="195000"/>
    <n v="195000"/>
    <d v="2023-09-07T00:00:00"/>
    <s v="Hồng Hạnh - P.Mỹ (cầu Trâu Trắng)"/>
    <x v="1"/>
    <n v="30000"/>
    <n v="0.15384615384615391"/>
    <n v="30"/>
    <n v="0"/>
    <n v="2023"/>
    <n v="9"/>
    <x v="4"/>
  </r>
  <r>
    <n v="31"/>
    <s v="NV004"/>
    <x v="20"/>
    <s v="Hộp"/>
    <n v="240000"/>
    <n v="0"/>
    <n v="1"/>
    <n v="250000"/>
    <n v="250000"/>
    <d v="2023-09-07T00:00:00"/>
    <s v="Hồng Hạnh - P.Mỹ (cầu Trâu Trắng)"/>
    <x v="1"/>
    <n v="10000"/>
    <n v="0.04"/>
    <n v="1"/>
    <n v="0"/>
    <n v="2023"/>
    <n v="9"/>
    <x v="6"/>
  </r>
  <r>
    <n v="32"/>
    <s v="NV101"/>
    <x v="21"/>
    <s v="Hộp"/>
    <n v="240000"/>
    <n v="0"/>
    <n v="1"/>
    <n v="250000"/>
    <n v="250000"/>
    <d v="2023-09-07T00:00:00"/>
    <s v="Hồng Hạnh - P.Mỹ (cầu Trâu Trắng)"/>
    <x v="1"/>
    <n v="10000"/>
    <n v="0.04"/>
    <n v="1"/>
    <n v="0"/>
    <n v="2023"/>
    <n v="9"/>
    <x v="6"/>
  </r>
  <r>
    <n v="35"/>
    <s v="HM601"/>
    <x v="22"/>
    <s v="Hộp"/>
    <n v="768000"/>
    <n v="1"/>
    <n v="4"/>
    <n v="960000"/>
    <n v="960000"/>
    <d v="2023-09-11T00:00:00"/>
    <s v="TT Hoàng Yến - M.Long"/>
    <x v="2"/>
    <n v="192000"/>
    <n v="0.2"/>
    <n v="5"/>
    <n v="0.2"/>
    <n v="2023"/>
    <n v="9"/>
    <x v="7"/>
  </r>
  <r>
    <n v="36"/>
    <s v="KV100"/>
    <x v="0"/>
    <s v="Gói"/>
    <n v="345600"/>
    <n v="4"/>
    <n v="48"/>
    <n v="576000"/>
    <n v="576000"/>
    <d v="2023-09-11T00:00:00"/>
    <s v="TT Hoàng Yến - M.Long"/>
    <x v="2"/>
    <n v="230400"/>
    <n v="0.4"/>
    <n v="52"/>
    <n v="7.6923076923076927E-2"/>
    <n v="2023"/>
    <n v="9"/>
    <x v="0"/>
  </r>
  <r>
    <n v="38"/>
    <s v="NG50002"/>
    <x v="23"/>
    <s v="Bình"/>
    <n v="920000"/>
    <n v="0"/>
    <n v="8"/>
    <n v="1800000"/>
    <n v="1800000"/>
    <d v="2023-09-11T00:00:00"/>
    <s v="Minh Hiền (chị Ớ) - B.H.Trung"/>
    <x v="0"/>
    <n v="880000"/>
    <n v="0.48888888888888887"/>
    <n v="8"/>
    <n v="0"/>
    <n v="2023"/>
    <n v="9"/>
    <x v="1"/>
  </r>
  <r>
    <n v="39"/>
    <s v="TNS1"/>
    <x v="24"/>
    <s v="Chai"/>
    <n v="190008"/>
    <n v="0"/>
    <n v="12"/>
    <n v="276000"/>
    <n v="276000"/>
    <d v="2023-09-11T00:00:00"/>
    <s v="Chị Xuyên - M.Long"/>
    <x v="2"/>
    <n v="85992"/>
    <n v="0.31156521739130433"/>
    <n v="12"/>
    <n v="0"/>
    <n v="2023"/>
    <n v="9"/>
    <x v="1"/>
  </r>
  <r>
    <n v="40"/>
    <s v="KV100"/>
    <x v="0"/>
    <s v="Gói"/>
    <n v="345600"/>
    <n v="4"/>
    <n v="48"/>
    <n v="532000"/>
    <n v="532000"/>
    <d v="2023-09-11T00:00:00"/>
    <s v="Chị Linh (bán bọc) - HCL"/>
    <x v="0"/>
    <n v="186400"/>
    <n v="0.35037593984962412"/>
    <n v="52"/>
    <n v="7.6923076923076927E-2"/>
    <n v="2023"/>
    <n v="9"/>
    <x v="0"/>
  </r>
  <r>
    <n v="41"/>
    <s v="TB10003"/>
    <x v="25"/>
    <s v="Túi"/>
    <n v="735000"/>
    <n v="24"/>
    <n v="120"/>
    <n v="750000"/>
    <n v="750000"/>
    <d v="2023-09-11T00:00:00"/>
    <s v="TT Ngọc Hạnh - Đ.Mối"/>
    <x v="2"/>
    <n v="15000"/>
    <n v="0.02"/>
    <n v="144"/>
    <n v="0.16666666666666671"/>
    <n v="2023"/>
    <n v="9"/>
    <x v="5"/>
  </r>
  <r>
    <n v="42"/>
    <s v="JA1KG"/>
    <x v="26"/>
    <s v="Chai"/>
    <n v="90000"/>
    <n v="2"/>
    <n v="12"/>
    <n v="132000"/>
    <n v="132000"/>
    <d v="2023-09-11T00:00:00"/>
    <s v="TH Trinh (Mỹ Trinh) - HCL (cuối chợ)"/>
    <x v="0"/>
    <n v="42000"/>
    <n v="0.31818181818181818"/>
    <n v="14"/>
    <n v="0.14285714285714279"/>
    <n v="2023"/>
    <n v="9"/>
    <x v="1"/>
  </r>
  <r>
    <n v="44"/>
    <s v="BT001"/>
    <x v="27"/>
    <s v="Cái"/>
    <n v="84000"/>
    <n v="0"/>
    <n v="6"/>
    <n v="84000"/>
    <n v="84000"/>
    <d v="2023-09-11T00:00:00"/>
    <s v="TT Nguyễn Thị Định - M.Xương"/>
    <x v="2"/>
    <n v="0"/>
    <n v="0"/>
    <n v="6"/>
    <n v="0"/>
    <n v="2023"/>
    <n v="9"/>
    <x v="5"/>
  </r>
  <r>
    <n v="45"/>
    <s v="GC605"/>
    <x v="28"/>
    <s v="Cây"/>
    <n v="290000"/>
    <n v="1"/>
    <n v="10"/>
    <n v="355000"/>
    <n v="355000"/>
    <d v="2023-09-11T00:00:00"/>
    <s v="TT Nguyễn Thị Định - M.Xương"/>
    <x v="2"/>
    <n v="65000"/>
    <n v="0.18309859154929581"/>
    <n v="11"/>
    <n v="9.0909090909090912E-2"/>
    <n v="2023"/>
    <n v="9"/>
    <x v="7"/>
  </r>
  <r>
    <n v="46"/>
    <s v="HTCTBC180"/>
    <x v="29"/>
    <s v="Hủ"/>
    <n v="52500"/>
    <n v="0"/>
    <n v="2"/>
    <n v="60000"/>
    <n v="60000"/>
    <d v="2023-09-11T00:00:00"/>
    <s v="TT Nguyễn Thị Định - M.Xương"/>
    <x v="2"/>
    <n v="7500"/>
    <n v="0.125"/>
    <n v="2"/>
    <n v="0"/>
    <n v="2023"/>
    <n v="9"/>
    <x v="1"/>
  </r>
  <r>
    <n v="47"/>
    <s v="KU102"/>
    <x v="30"/>
    <s v="Gói"/>
    <n v="120835"/>
    <n v="0"/>
    <n v="5"/>
    <n v="125000"/>
    <n v="125000"/>
    <d v="2023-09-11T00:00:00"/>
    <s v="TT Nguyễn Thị Định - M.Xương"/>
    <x v="2"/>
    <n v="4165"/>
    <n v="3.3320000000000002E-2"/>
    <n v="5"/>
    <n v="0"/>
    <n v="2023"/>
    <n v="9"/>
    <x v="3"/>
  </r>
  <r>
    <n v="48"/>
    <s v="KU250"/>
    <x v="13"/>
    <s v="Gói"/>
    <n v="77000"/>
    <n v="0"/>
    <n v="10"/>
    <n v="100000"/>
    <n v="100000"/>
    <d v="2023-09-11T00:00:00"/>
    <s v="TT Nguyễn Thị Định - M.Xương"/>
    <x v="2"/>
    <n v="23000"/>
    <n v="0.23"/>
    <n v="10"/>
    <n v="0"/>
    <n v="2023"/>
    <n v="9"/>
    <x v="3"/>
  </r>
  <r>
    <n v="49"/>
    <s v="TC1800"/>
    <x v="31"/>
    <s v="Chai"/>
    <n v="59000"/>
    <n v="0"/>
    <n v="2"/>
    <n v="80000"/>
    <n v="80000"/>
    <d v="2023-09-11T00:00:00"/>
    <s v="TT Nguyễn Thị Định - M.Xương"/>
    <x v="2"/>
    <n v="21000"/>
    <n v="0.26250000000000001"/>
    <n v="2"/>
    <n v="0"/>
    <n v="2023"/>
    <n v="9"/>
    <x v="1"/>
  </r>
  <r>
    <n v="50"/>
    <s v="TB20002"/>
    <x v="32"/>
    <s v="Hộp"/>
    <n v="388512"/>
    <n v="6"/>
    <n v="24"/>
    <n v="384000"/>
    <n v="384000"/>
    <d v="2023-09-11T00:00:00"/>
    <s v="TT Trung Tuấn - B.H.Tây"/>
    <x v="1"/>
    <n v="-4512"/>
    <n v="-1.175E-2"/>
    <n v="30"/>
    <n v="0.2"/>
    <n v="2023"/>
    <n v="9"/>
    <x v="5"/>
  </r>
  <r>
    <n v="51"/>
    <s v="TBTE20002"/>
    <x v="33"/>
    <s v="Hộp"/>
    <n v="178500"/>
    <n v="0"/>
    <n v="12"/>
    <n v="216000"/>
    <n v="216000"/>
    <d v="2023-09-11T00:00:00"/>
    <s v="TT Trung Tuấn - B.H.Tây"/>
    <x v="1"/>
    <n v="37500"/>
    <n v="0.1736111111111111"/>
    <n v="12"/>
    <n v="0"/>
    <n v="2023"/>
    <n v="9"/>
    <x v="5"/>
  </r>
  <r>
    <n v="54"/>
    <s v="HM10"/>
    <x v="34"/>
    <s v="Hộp"/>
    <n v="95000"/>
    <n v="0"/>
    <n v="1"/>
    <n v="218000"/>
    <n v="218000"/>
    <d v="2023-09-11T00:00:00"/>
    <s v="Vương Quốc Sữa - B.H.Trung"/>
    <x v="0"/>
    <n v="123000"/>
    <n v="0.56422018348623848"/>
    <n v="1"/>
    <n v="0"/>
    <n v="2023"/>
    <n v="9"/>
    <x v="7"/>
  </r>
  <r>
    <n v="55"/>
    <s v="HM603"/>
    <x v="35"/>
    <s v="Hộp"/>
    <n v="100000"/>
    <n v="1"/>
    <n v="1"/>
    <n v="218000"/>
    <n v="218000"/>
    <d v="2023-09-11T00:00:00"/>
    <s v="Vương Quốc Sữa - B.H.Trung"/>
    <x v="0"/>
    <n v="118000"/>
    <n v="0.54128440366972475"/>
    <n v="2"/>
    <n v="0.5"/>
    <n v="2023"/>
    <n v="9"/>
    <x v="7"/>
  </r>
  <r>
    <n v="56"/>
    <s v="HM608"/>
    <x v="36"/>
    <s v="Hộp"/>
    <n v="100000"/>
    <n v="0"/>
    <n v="1"/>
    <n v="218000"/>
    <n v="218000"/>
    <d v="2023-09-11T00:00:00"/>
    <s v="Vương Quốc Sữa - B.H.Trung"/>
    <x v="0"/>
    <n v="118000"/>
    <n v="0.54128440366972475"/>
    <n v="1"/>
    <n v="0"/>
    <n v="2023"/>
    <n v="9"/>
    <x v="7"/>
  </r>
  <r>
    <n v="57"/>
    <s v="HM610"/>
    <x v="37"/>
    <s v="Hộp"/>
    <n v="100000"/>
    <n v="0"/>
    <n v="1"/>
    <n v="218000"/>
    <n v="218000"/>
    <d v="2023-09-11T00:00:00"/>
    <s v="Vương Quốc Sữa - B.H.Trung"/>
    <x v="0"/>
    <n v="118000"/>
    <n v="0.54128440366972475"/>
    <n v="1"/>
    <n v="0"/>
    <n v="2023"/>
    <n v="9"/>
    <x v="7"/>
  </r>
  <r>
    <n v="58"/>
    <s v="KU100"/>
    <x v="7"/>
    <s v="Gói"/>
    <n v="102000"/>
    <n v="0"/>
    <n v="6"/>
    <n v="144000"/>
    <n v="144000"/>
    <d v="2023-09-11T00:00:00"/>
    <s v="Vương Quốc Sữa - B.H.Trung"/>
    <x v="0"/>
    <n v="42000"/>
    <n v="0.29166666666666669"/>
    <n v="6"/>
    <n v="0"/>
    <n v="2023"/>
    <n v="9"/>
    <x v="3"/>
  </r>
  <r>
    <n v="59"/>
    <s v="KU1506"/>
    <x v="15"/>
    <s v="Gói"/>
    <n v="285000"/>
    <n v="0"/>
    <n v="30"/>
    <n v="420000"/>
    <n v="420000"/>
    <d v="2023-09-11T00:00:00"/>
    <s v="Chị Oanh - M.Long"/>
    <x v="2"/>
    <n v="135000"/>
    <n v="0.32142857142857151"/>
    <n v="30"/>
    <n v="0"/>
    <n v="2023"/>
    <n v="9"/>
    <x v="3"/>
  </r>
  <r>
    <n v="60"/>
    <s v="KU801"/>
    <x v="38"/>
    <s v="Gói"/>
    <n v="80000"/>
    <n v="0"/>
    <n v="20"/>
    <n v="130000"/>
    <n v="130000"/>
    <d v="2023-09-11T00:00:00"/>
    <s v="Chị Oanh - M.Long"/>
    <x v="2"/>
    <n v="50000"/>
    <n v="0.38461538461538458"/>
    <n v="20"/>
    <n v="0"/>
    <n v="2023"/>
    <n v="9"/>
    <x v="3"/>
  </r>
  <r>
    <n v="61"/>
    <s v="KV1007"/>
    <x v="39"/>
    <s v="Gói"/>
    <n v="270000"/>
    <n v="0"/>
    <n v="40"/>
    <n v="300000"/>
    <n v="300000"/>
    <d v="2023-09-11T00:00:00"/>
    <s v="Chị Oanh - M.Long"/>
    <x v="2"/>
    <n v="30000"/>
    <n v="0.1"/>
    <n v="40"/>
    <n v="0"/>
    <n v="2023"/>
    <n v="9"/>
    <x v="0"/>
  </r>
  <r>
    <n v="62"/>
    <s v="JA2KG"/>
    <x v="40"/>
    <s v="Chai"/>
    <n v="90000"/>
    <n v="0"/>
    <n v="6"/>
    <n v="144000"/>
    <n v="144000"/>
    <d v="2023-09-11T00:00:00"/>
    <s v="Thiên Phú - M.Long"/>
    <x v="1"/>
    <n v="54000"/>
    <n v="0.375"/>
    <n v="6"/>
    <n v="0"/>
    <n v="2023"/>
    <n v="9"/>
    <x v="1"/>
  </r>
  <r>
    <n v="66"/>
    <s v="KU100"/>
    <x v="7"/>
    <s v="Gói"/>
    <n v="340000"/>
    <n v="0"/>
    <n v="20"/>
    <n v="500000"/>
    <n v="500000"/>
    <d v="2023-09-12T00:00:00"/>
    <s v="Sữa tả Hoàng Trúc - HCL (T.Mỹ)"/>
    <x v="0"/>
    <n v="160000"/>
    <n v="0.32"/>
    <n v="20"/>
    <n v="0"/>
    <n v="2023"/>
    <n v="9"/>
    <x v="3"/>
  </r>
  <r>
    <n v="68"/>
    <s v="KTN3001"/>
    <x v="41"/>
    <s v="Hộp"/>
    <n v="43500"/>
    <n v="0"/>
    <n v="3"/>
    <n v="42000"/>
    <n v="42000"/>
    <d v="2023-09-12T00:00:00"/>
    <s v="Su Trường - T.H.Trung"/>
    <x v="3"/>
    <n v="-1500"/>
    <n v="-3.5714285714285712E-2"/>
    <n v="3"/>
    <n v="0"/>
    <n v="2023"/>
    <n v="9"/>
    <x v="4"/>
  </r>
  <r>
    <n v="69"/>
    <s v="KTN3002"/>
    <x v="42"/>
    <s v="Hộp"/>
    <n v="58000"/>
    <n v="0"/>
    <n v="4"/>
    <n v="56000"/>
    <n v="56000"/>
    <d v="2023-09-12T00:00:00"/>
    <s v="Su Trường - T.H.Trung"/>
    <x v="3"/>
    <n v="-2000"/>
    <n v="-3.5714285714285712E-2"/>
    <n v="4"/>
    <n v="0"/>
    <n v="2023"/>
    <n v="9"/>
    <x v="4"/>
  </r>
  <r>
    <n v="70"/>
    <s v="KTN3003"/>
    <x v="43"/>
    <s v="Hộp"/>
    <n v="43500"/>
    <n v="0"/>
    <n v="3"/>
    <n v="42000"/>
    <n v="42000"/>
    <d v="2023-09-12T00:00:00"/>
    <s v="Su Trường - T.H.Trung"/>
    <x v="3"/>
    <n v="-1500"/>
    <n v="-3.5714285714285712E-2"/>
    <n v="3"/>
    <n v="0"/>
    <n v="2023"/>
    <n v="9"/>
    <x v="4"/>
  </r>
  <r>
    <n v="71"/>
    <s v="A1K15"/>
    <x v="9"/>
    <s v="Hộp"/>
    <n v="362268"/>
    <n v="1"/>
    <n v="6"/>
    <n v="340000"/>
    <n v="340000"/>
    <d v="2023-09-14T00:00:00"/>
    <s v="TT Đông Nghi - P.Mỹ"/>
    <x v="1"/>
    <n v="-22268"/>
    <n v="-6.5494117647058828E-2"/>
    <n v="7"/>
    <n v="0.14285714285714279"/>
    <n v="2023"/>
    <n v="9"/>
    <x v="4"/>
  </r>
  <r>
    <n v="73"/>
    <s v="BG32001"/>
    <x v="44"/>
    <s v="Gói"/>
    <n v="305000"/>
    <n v="0"/>
    <n v="4"/>
    <n v="424000"/>
    <n v="424000"/>
    <d v="2023-09-14T00:00:00"/>
    <s v="Anh Nghiệp (Cậu 2 Nhựt) - Ngã 4"/>
    <x v="1"/>
    <n v="119000"/>
    <n v="0.28066037735849059"/>
    <n v="4"/>
    <n v="0"/>
    <n v="2023"/>
    <n v="9"/>
    <x v="1"/>
  </r>
  <r>
    <n v="74"/>
    <s v="LLDORCOTITAN"/>
    <x v="45"/>
    <s v="Hộp"/>
    <n v="294000"/>
    <n v="1"/>
    <n v="6"/>
    <n v="310000"/>
    <n v="310000"/>
    <d v="2023-09-14T00:00:00"/>
    <s v="Anh Nghiệp (Cậu 2 Nhựt) - Ngã 4"/>
    <x v="1"/>
    <n v="16000"/>
    <n v="5.1612903225806452E-2"/>
    <n v="7"/>
    <n v="0.14285714285714279"/>
    <n v="2023"/>
    <n v="9"/>
    <x v="2"/>
  </r>
  <r>
    <n v="75"/>
    <s v="KV1009"/>
    <x v="46"/>
    <s v="Gói"/>
    <n v="144000"/>
    <n v="0"/>
    <n v="24"/>
    <n v="192000"/>
    <n v="192000"/>
    <d v="2023-09-14T00:00:00"/>
    <s v="Thanh Tâm - Ngã 4"/>
    <x v="2"/>
    <n v="48000"/>
    <n v="0.25"/>
    <n v="24"/>
    <n v="0"/>
    <n v="2023"/>
    <n v="9"/>
    <x v="0"/>
  </r>
  <r>
    <n v="79"/>
    <s v="BSOGI121"/>
    <x v="47"/>
    <s v="Hủ"/>
    <n v="63000"/>
    <n v="0"/>
    <n v="1"/>
    <n v="69000"/>
    <n v="69000"/>
    <d v="2023-09-14T00:00:00"/>
    <s v="Thế giới sữa Tony - T.Nghĩa"/>
    <x v="2"/>
    <n v="6000"/>
    <n v="8.6956521739130432E-2"/>
    <n v="1"/>
    <n v="0"/>
    <n v="2023"/>
    <n v="9"/>
    <x v="8"/>
  </r>
  <r>
    <n v="80"/>
    <s v="CG26"/>
    <x v="48"/>
    <s v="Cái"/>
    <n v="110000"/>
    <n v="0"/>
    <n v="20"/>
    <n v="130000"/>
    <n v="130000"/>
    <d v="2023-09-14T00:00:00"/>
    <s v="Thế giới sữa Tony - T.Nghĩa"/>
    <x v="2"/>
    <n v="20000"/>
    <n v="0.15384615384615391"/>
    <n v="20"/>
    <n v="0"/>
    <n v="2023"/>
    <n v="9"/>
    <x v="4"/>
  </r>
  <r>
    <n v="81"/>
    <s v="CG50"/>
    <x v="18"/>
    <s v="Cái"/>
    <n v="165000"/>
    <n v="0"/>
    <n v="30"/>
    <n v="195000"/>
    <n v="195000"/>
    <d v="2023-09-14T00:00:00"/>
    <s v="Thế giới sữa Tony - T.Nghĩa"/>
    <x v="2"/>
    <n v="30000"/>
    <n v="0.15384615384615391"/>
    <n v="30"/>
    <n v="0"/>
    <n v="2023"/>
    <n v="9"/>
    <x v="4"/>
  </r>
  <r>
    <n v="82"/>
    <s v="CG501"/>
    <x v="19"/>
    <s v="Cái"/>
    <n v="165000"/>
    <n v="0"/>
    <n v="30"/>
    <n v="195000"/>
    <n v="195000"/>
    <d v="2023-09-14T00:00:00"/>
    <s v="Thế giới sữa Tony - T.Nghĩa"/>
    <x v="2"/>
    <n v="30000"/>
    <n v="0.15384615384615391"/>
    <n v="30"/>
    <n v="0"/>
    <n v="2023"/>
    <n v="9"/>
    <x v="4"/>
  </r>
  <r>
    <n v="84"/>
    <s v="SD1000"/>
    <x v="49"/>
    <s v="Lon"/>
    <n v="820800"/>
    <n v="0"/>
    <n v="24"/>
    <n v="840000"/>
    <n v="840000"/>
    <d v="2023-09-14T00:00:00"/>
    <s v="Thế giới sữa Tony - T.Nghĩa"/>
    <x v="2"/>
    <n v="19200"/>
    <n v="2.2857142857142861E-2"/>
    <n v="24"/>
    <n v="0"/>
    <n v="2023"/>
    <n v="9"/>
    <x v="4"/>
  </r>
  <r>
    <n v="85"/>
    <s v="CC16"/>
    <x v="50"/>
    <s v="Dây"/>
    <n v="138000"/>
    <n v="0"/>
    <n v="6"/>
    <n v="162000"/>
    <n v="162000"/>
    <d v="2023-09-14T00:00:00"/>
    <s v="5 Phụng - T.Nghĩa"/>
    <x v="2"/>
    <n v="24000"/>
    <n v="0.14814814814814811"/>
    <n v="6"/>
    <n v="0"/>
    <n v="2023"/>
    <n v="9"/>
    <x v="4"/>
  </r>
  <r>
    <n v="86"/>
    <s v="KTN3001"/>
    <x v="41"/>
    <s v="Hộp"/>
    <n v="72500"/>
    <n v="0"/>
    <n v="5"/>
    <n v="70000"/>
    <n v="70000"/>
    <d v="2023-09-14T00:00:00"/>
    <s v="5 Phụng - T.Nghĩa"/>
    <x v="2"/>
    <n v="-2500"/>
    <n v="-3.5714285714285712E-2"/>
    <n v="5"/>
    <n v="0"/>
    <n v="2023"/>
    <n v="9"/>
    <x v="4"/>
  </r>
  <r>
    <n v="87"/>
    <s v="KTN3002"/>
    <x v="42"/>
    <s v="Hộp"/>
    <n v="72500"/>
    <n v="0"/>
    <n v="5"/>
    <n v="70000"/>
    <n v="70000"/>
    <d v="2023-09-14T00:00:00"/>
    <s v="5 Phụng - T.Nghĩa"/>
    <x v="2"/>
    <n v="-2500"/>
    <n v="-3.5714285714285712E-2"/>
    <n v="5"/>
    <n v="0"/>
    <n v="2023"/>
    <n v="9"/>
    <x v="4"/>
  </r>
  <r>
    <n v="88"/>
    <s v="KTN3003"/>
    <x v="43"/>
    <s v="Hộp"/>
    <n v="72500"/>
    <n v="0"/>
    <n v="5"/>
    <n v="70000"/>
    <n v="70000"/>
    <d v="2023-09-14T00:00:00"/>
    <s v="5 Phụng - T.Nghĩa"/>
    <x v="2"/>
    <n v="-2500"/>
    <n v="-3.5714285714285712E-2"/>
    <n v="5"/>
    <n v="0"/>
    <n v="2023"/>
    <n v="9"/>
    <x v="4"/>
  </r>
  <r>
    <n v="89"/>
    <s v="SD1000"/>
    <x v="49"/>
    <s v="Lon"/>
    <n v="171000"/>
    <n v="0"/>
    <n v="5"/>
    <n v="175000"/>
    <n v="175000"/>
    <d v="2023-09-14T00:00:00"/>
    <s v="5 Phụng - T.Nghĩa"/>
    <x v="2"/>
    <n v="4000"/>
    <n v="2.2857142857142861E-2"/>
    <n v="5"/>
    <n v="0"/>
    <n v="2023"/>
    <n v="9"/>
    <x v="4"/>
  </r>
  <r>
    <n v="90"/>
    <s v="KDL1301"/>
    <x v="51"/>
    <s v="Gói"/>
    <n v="42000"/>
    <n v="1"/>
    <n v="12"/>
    <n v="72000"/>
    <n v="72000"/>
    <d v="2023-09-14T00:00:00"/>
    <s v="Tường Sang - T.Nghĩa"/>
    <x v="1"/>
    <n v="30000"/>
    <n v="0.41666666666666669"/>
    <n v="13"/>
    <n v="7.6923076923076927E-2"/>
    <n v="2023"/>
    <n v="9"/>
    <x v="0"/>
  </r>
  <r>
    <n v="91"/>
    <s v="KR500"/>
    <x v="52"/>
    <s v="Gói"/>
    <n v="70400"/>
    <n v="2"/>
    <n v="8"/>
    <n v="136000"/>
    <n v="136000"/>
    <d v="2023-09-14T00:00:00"/>
    <s v="Tường Sang - T.Nghĩa"/>
    <x v="1"/>
    <n v="65600"/>
    <n v="0.4823529411764706"/>
    <n v="10"/>
    <n v="0.2"/>
    <n v="2023"/>
    <n v="9"/>
    <x v="0"/>
  </r>
  <r>
    <n v="92"/>
    <s v="SRT500"/>
    <x v="53"/>
    <s v="Chai"/>
    <n v="77500"/>
    <n v="1"/>
    <n v="5"/>
    <n v="175000"/>
    <n v="175000"/>
    <d v="2023-09-14T00:00:00"/>
    <s v="Tường Sang - T.Nghĩa"/>
    <x v="1"/>
    <n v="97500"/>
    <n v="0.55714285714285716"/>
    <n v="6"/>
    <n v="0.16666666666666671"/>
    <n v="2023"/>
    <n v="9"/>
    <x v="1"/>
  </r>
  <r>
    <n v="93"/>
    <s v="CC16"/>
    <x v="50"/>
    <s v="Dây"/>
    <n v="46000"/>
    <n v="0"/>
    <n v="2"/>
    <n v="56000"/>
    <n v="56000"/>
    <d v="2023-09-14T00:00:00"/>
    <s v="An Nhiên - T.Nghĩa"/>
    <x v="2"/>
    <n v="10000"/>
    <n v="0.1785714285714286"/>
    <n v="2"/>
    <n v="0"/>
    <n v="2023"/>
    <n v="9"/>
    <x v="4"/>
  </r>
  <r>
    <n v="94"/>
    <s v="CG50"/>
    <x v="18"/>
    <s v="Cái"/>
    <n v="110000"/>
    <n v="0"/>
    <n v="20"/>
    <n v="130000"/>
    <n v="130000"/>
    <d v="2023-09-14T00:00:00"/>
    <s v="An Nhiên - T.Nghĩa"/>
    <x v="2"/>
    <n v="20000"/>
    <n v="0.15384615384615391"/>
    <n v="20"/>
    <n v="0"/>
    <n v="2023"/>
    <n v="9"/>
    <x v="4"/>
  </r>
  <r>
    <n v="95"/>
    <s v="SD1000"/>
    <x v="49"/>
    <s v="Lon"/>
    <n v="171000"/>
    <n v="0"/>
    <n v="5"/>
    <n v="175000"/>
    <n v="175000"/>
    <d v="2023-09-14T00:00:00"/>
    <s v="An Nhiên - T.Nghĩa"/>
    <x v="2"/>
    <n v="4000"/>
    <n v="2.2857142857142861E-2"/>
    <n v="5"/>
    <n v="0"/>
    <n v="2023"/>
    <n v="9"/>
    <x v="4"/>
  </r>
  <r>
    <n v="96"/>
    <s v="TBND500"/>
    <x v="54"/>
    <s v="Thùng"/>
    <n v="163485"/>
    <n v="0"/>
    <n v="1"/>
    <n v="175000"/>
    <n v="175000"/>
    <d v="2023-09-14T00:00:00"/>
    <s v="An Nhiên - T.Nghĩa"/>
    <x v="2"/>
    <n v="11515"/>
    <n v="6.5799999999999997E-2"/>
    <n v="1"/>
    <n v="0"/>
    <n v="2023"/>
    <n v="9"/>
    <x v="9"/>
  </r>
  <r>
    <n v="99"/>
    <s v="JA350G"/>
    <x v="55"/>
    <s v="Chai"/>
    <n v="90000"/>
    <n v="0"/>
    <n v="30"/>
    <n v="165000"/>
    <n v="165000"/>
    <d v="2023-09-15T00:00:00"/>
    <s v="Đạt Hường - P.Thịnh"/>
    <x v="1"/>
    <n v="75000"/>
    <n v="0.45454545454545447"/>
    <n v="30"/>
    <n v="0"/>
    <n v="2023"/>
    <n v="9"/>
    <x v="1"/>
  </r>
  <r>
    <n v="100"/>
    <s v="JA500G"/>
    <x v="56"/>
    <s v="Chai"/>
    <n v="90000"/>
    <n v="0"/>
    <n v="24"/>
    <n v="168000"/>
    <n v="168000"/>
    <d v="2023-09-15T00:00:00"/>
    <s v="Đạt Hường - P.Thịnh"/>
    <x v="1"/>
    <n v="78000"/>
    <n v="0.4642857142857143"/>
    <n v="24"/>
    <n v="0"/>
    <n v="2023"/>
    <n v="9"/>
    <x v="1"/>
  </r>
  <r>
    <n v="101"/>
    <s v="HTBSN80"/>
    <x v="57"/>
    <s v="Lon"/>
    <n v="55440"/>
    <n v="0"/>
    <n v="2"/>
    <n v="64000"/>
    <n v="64000"/>
    <d v="2023-09-16T00:00:00"/>
    <s v="Mỹ Hạnh - HCL"/>
    <x v="2"/>
    <n v="8560"/>
    <n v="0.13375000000000001"/>
    <n v="2"/>
    <n v="0"/>
    <n v="2023"/>
    <n v="9"/>
    <x v="8"/>
  </r>
  <r>
    <n v="102"/>
    <s v="HTBSN90"/>
    <x v="58"/>
    <s v="Lon"/>
    <n v="55440"/>
    <n v="0"/>
    <n v="2"/>
    <n v="64000"/>
    <n v="64000"/>
    <d v="2023-09-16T00:00:00"/>
    <s v="Mỹ Hạnh - HCL"/>
    <x v="2"/>
    <n v="8560"/>
    <n v="0.13375000000000001"/>
    <n v="2"/>
    <n v="0"/>
    <n v="2023"/>
    <n v="9"/>
    <x v="8"/>
  </r>
  <r>
    <n v="103"/>
    <s v="HTBSN902"/>
    <x v="59"/>
    <s v="Lon"/>
    <n v="55440"/>
    <n v="0"/>
    <n v="2"/>
    <n v="64000"/>
    <n v="64000"/>
    <d v="2023-09-16T00:00:00"/>
    <s v="Mỹ Hạnh - HCL"/>
    <x v="2"/>
    <n v="8560"/>
    <n v="0.13375000000000001"/>
    <n v="2"/>
    <n v="0"/>
    <n v="2023"/>
    <n v="9"/>
    <x v="8"/>
  </r>
  <r>
    <n v="104"/>
    <s v="HTBSN903"/>
    <x v="60"/>
    <s v="Lon"/>
    <n v="83160"/>
    <n v="0"/>
    <n v="3"/>
    <n v="96000"/>
    <n v="96000"/>
    <d v="2023-09-16T00:00:00"/>
    <s v="Mỹ Hạnh - HCL"/>
    <x v="2"/>
    <n v="12840"/>
    <n v="0.13375000000000001"/>
    <n v="3"/>
    <n v="0"/>
    <n v="2023"/>
    <n v="9"/>
    <x v="8"/>
  </r>
  <r>
    <n v="105"/>
    <s v="HTBSN904"/>
    <x v="61"/>
    <s v="Lon"/>
    <n v="83160"/>
    <n v="0"/>
    <n v="3"/>
    <n v="96000"/>
    <n v="96000"/>
    <d v="2023-09-16T00:00:00"/>
    <s v="Mỹ Hạnh - HCL"/>
    <x v="2"/>
    <n v="12840"/>
    <n v="0.13375000000000001"/>
    <n v="3"/>
    <n v="0"/>
    <n v="2023"/>
    <n v="9"/>
    <x v="8"/>
  </r>
  <r>
    <n v="106"/>
    <s v="KV1001"/>
    <x v="62"/>
    <s v="Gói"/>
    <n v="450000"/>
    <n v="0"/>
    <n v="60"/>
    <n v="480000"/>
    <n v="480000"/>
    <d v="2023-09-16T00:00:00"/>
    <s v="Mỹ Hạnh - HCL"/>
    <x v="2"/>
    <n v="30000"/>
    <n v="6.25E-2"/>
    <n v="60"/>
    <n v="0"/>
    <n v="2023"/>
    <n v="9"/>
    <x v="0"/>
  </r>
  <r>
    <n v="107"/>
    <s v="NSSK555"/>
    <x v="63"/>
    <s v="Thùng"/>
    <n v="390000"/>
    <n v="0"/>
    <n v="5"/>
    <n v="390000"/>
    <n v="390000"/>
    <d v="2023-09-16T00:00:00"/>
    <s v="Mỹ Hạnh - HCL"/>
    <x v="2"/>
    <n v="0"/>
    <n v="0"/>
    <n v="5"/>
    <n v="0"/>
    <n v="2023"/>
    <n v="9"/>
    <x v="9"/>
  </r>
  <r>
    <n v="108"/>
    <s v="KU100"/>
    <x v="7"/>
    <s v="Gói"/>
    <n v="340000"/>
    <n v="0"/>
    <n v="20"/>
    <n v="500000"/>
    <n v="500000"/>
    <d v="2023-09-16T00:00:00"/>
    <s v="TT Hải Châu - T.H.Trung"/>
    <x v="1"/>
    <n v="160000"/>
    <n v="0.32"/>
    <n v="20"/>
    <n v="0"/>
    <n v="2023"/>
    <n v="9"/>
    <x v="3"/>
  </r>
  <r>
    <n v="109"/>
    <s v="BTT160"/>
    <x v="64"/>
    <s v="Cây"/>
    <n v="144000"/>
    <n v="0"/>
    <n v="6"/>
    <n v="180000"/>
    <n v="180000"/>
    <d v="2023-09-16T00:00:00"/>
    <s v="TT Ngọc Trinh - B.H.Trung"/>
    <x v="2"/>
    <n v="36000"/>
    <n v="0.2"/>
    <n v="6"/>
    <n v="0"/>
    <n v="2023"/>
    <n v="9"/>
    <x v="5"/>
  </r>
  <r>
    <n v="110"/>
    <s v="KDL01"/>
    <x v="10"/>
    <s v="Cây"/>
    <n v="98280"/>
    <n v="0"/>
    <n v="10"/>
    <n v="115000"/>
    <n v="115000"/>
    <d v="2023-09-16T00:00:00"/>
    <s v="TT Ngọc Trinh - B.H.Trung"/>
    <x v="2"/>
    <n v="16720"/>
    <n v="0.1453913043478261"/>
    <n v="10"/>
    <n v="0"/>
    <n v="2023"/>
    <n v="9"/>
    <x v="0"/>
  </r>
  <r>
    <n v="111"/>
    <s v="TBTE1001"/>
    <x v="65"/>
    <s v="Túi"/>
    <n v="126000"/>
    <n v="4"/>
    <n v="24"/>
    <n v="168000"/>
    <n v="168000"/>
    <d v="2023-09-16T00:00:00"/>
    <s v="TT Ngọc Trinh - B.H.Trung"/>
    <x v="2"/>
    <n v="42000"/>
    <n v="0.25"/>
    <n v="28"/>
    <n v="0.14285714285714279"/>
    <n v="2023"/>
    <n v="9"/>
    <x v="5"/>
  </r>
  <r>
    <n v="112"/>
    <s v="GC106"/>
    <x v="66"/>
    <s v="Cây"/>
    <n v="180000"/>
    <n v="0"/>
    <n v="10"/>
    <n v="220000"/>
    <n v="220000"/>
    <d v="2023-09-16T00:00:00"/>
    <s v="Chị Thắm (Hồng Thắm) - B.H.Tây"/>
    <x v="0"/>
    <n v="40000"/>
    <n v="0.1818181818181818"/>
    <n v="10"/>
    <n v="0"/>
    <n v="2023"/>
    <n v="9"/>
    <x v="7"/>
  </r>
  <r>
    <n v="113"/>
    <s v="GC617"/>
    <x v="67"/>
    <s v="Cây"/>
    <n v="265716"/>
    <n v="0"/>
    <n v="12"/>
    <n v="360000"/>
    <n v="360000"/>
    <d v="2023-09-16T00:00:00"/>
    <s v="Chị Thắm (Hồng Thắm) - B.H.Tây"/>
    <x v="0"/>
    <n v="94284"/>
    <n v="0.26190000000000002"/>
    <n v="12"/>
    <n v="0"/>
    <n v="2023"/>
    <n v="9"/>
    <x v="7"/>
  </r>
  <r>
    <n v="114"/>
    <s v="GC617"/>
    <x v="67"/>
    <s v="Cây"/>
    <n v="265716"/>
    <n v="0"/>
    <n v="12"/>
    <n v="360000"/>
    <n v="360000"/>
    <d v="2023-09-16T00:00:00"/>
    <s v="4 Điều - M.Trắng"/>
    <x v="1"/>
    <n v="94284"/>
    <n v="0.26190000000000002"/>
    <n v="12"/>
    <n v="0"/>
    <n v="2023"/>
    <n v="9"/>
    <x v="7"/>
  </r>
  <r>
    <n v="115"/>
    <s v="KTN3001"/>
    <x v="41"/>
    <s v="Hộp"/>
    <n v="43500"/>
    <n v="0"/>
    <n v="3"/>
    <n v="42000"/>
    <n v="42000"/>
    <d v="2023-09-16T00:00:00"/>
    <s v="TT Hữu Nghị - M.Trắng"/>
    <x v="1"/>
    <n v="-1500"/>
    <n v="-3.5714285714285712E-2"/>
    <n v="3"/>
    <n v="0"/>
    <n v="2023"/>
    <n v="9"/>
    <x v="4"/>
  </r>
  <r>
    <n v="116"/>
    <s v="KTN3002"/>
    <x v="42"/>
    <s v="Hộp"/>
    <n v="58000"/>
    <n v="0"/>
    <n v="4"/>
    <n v="56000"/>
    <n v="56000"/>
    <d v="2023-09-16T00:00:00"/>
    <s v="TT Hữu Nghị - M.Trắng"/>
    <x v="1"/>
    <n v="-2000"/>
    <n v="-3.5714285714285712E-2"/>
    <n v="4"/>
    <n v="0"/>
    <n v="2023"/>
    <n v="9"/>
    <x v="4"/>
  </r>
  <r>
    <n v="117"/>
    <s v="KTN3003"/>
    <x v="43"/>
    <s v="Hộp"/>
    <n v="43500"/>
    <n v="0"/>
    <n v="3"/>
    <n v="42000"/>
    <n v="42000"/>
    <d v="2023-09-16T00:00:00"/>
    <s v="TT Hữu Nghị - M.Trắng"/>
    <x v="1"/>
    <n v="-1500"/>
    <n v="-3.5714285714285712E-2"/>
    <n v="3"/>
    <n v="0"/>
    <n v="2023"/>
    <n v="9"/>
    <x v="4"/>
  </r>
  <r>
    <n v="118"/>
    <s v="KV1009"/>
    <x v="46"/>
    <s v="Gói"/>
    <n v="288000"/>
    <n v="0"/>
    <n v="48"/>
    <n v="360000"/>
    <n v="360000"/>
    <d v="2023-09-16T00:00:00"/>
    <s v="Chị Đào - T.H.Trung"/>
    <x v="0"/>
    <n v="72000"/>
    <n v="0.2"/>
    <n v="48"/>
    <n v="0"/>
    <n v="2023"/>
    <n v="9"/>
    <x v="0"/>
  </r>
  <r>
    <n v="119"/>
    <s v="HM607"/>
    <x v="68"/>
    <s v="Hộp"/>
    <n v="300000"/>
    <n v="0"/>
    <n v="3"/>
    <n v="654000"/>
    <n v="654000"/>
    <d v="2023-09-16T00:00:00"/>
    <s v="TH Ngân (chị Ngân) - T.H.Trung"/>
    <x v="2"/>
    <n v="354000"/>
    <n v="0.54128440366972475"/>
    <n v="3"/>
    <n v="0"/>
    <n v="2023"/>
    <n v="9"/>
    <x v="7"/>
  </r>
  <r>
    <n v="120"/>
    <s v="HM608"/>
    <x v="36"/>
    <s v="Hộp"/>
    <n v="300000"/>
    <n v="0"/>
    <n v="3"/>
    <n v="654000"/>
    <n v="654000"/>
    <d v="2023-09-16T00:00:00"/>
    <s v="TH Ngân (chị Ngân) - T.H.Trung"/>
    <x v="2"/>
    <n v="354000"/>
    <n v="0.54128440366972475"/>
    <n v="3"/>
    <n v="0"/>
    <n v="2023"/>
    <n v="9"/>
    <x v="7"/>
  </r>
  <r>
    <n v="122"/>
    <s v="KV100"/>
    <x v="0"/>
    <s v="Gói"/>
    <n v="345600"/>
    <n v="5"/>
    <n v="48"/>
    <n v="521000"/>
    <n v="521000"/>
    <d v="2023-09-16T00:00:00"/>
    <s v="Chị Hạnh - M.Trắng"/>
    <x v="1"/>
    <n v="175400"/>
    <n v="0.3366602687140115"/>
    <n v="53"/>
    <n v="9.4339622641509441E-2"/>
    <n v="2023"/>
    <n v="9"/>
    <x v="0"/>
  </r>
  <r>
    <n v="123"/>
    <s v="GC617"/>
    <x v="67"/>
    <s v="Cây"/>
    <n v="265716"/>
    <n v="1"/>
    <n v="12"/>
    <n v="377000"/>
    <n v="377000"/>
    <d v="2023-09-16T00:00:00"/>
    <s v="Kim Quyên - M.Trắng"/>
    <x v="1"/>
    <n v="111284"/>
    <n v="0.29518302387267897"/>
    <n v="13"/>
    <n v="7.6923076923076927E-2"/>
    <n v="2023"/>
    <n v="9"/>
    <x v="7"/>
  </r>
  <r>
    <n v="124"/>
    <s v="XM6007"/>
    <x v="69"/>
    <s v="Chai"/>
    <n v="216000"/>
    <n v="0"/>
    <n v="12"/>
    <n v="264000"/>
    <n v="264000"/>
    <d v="2023-09-16T00:00:00"/>
    <s v="Kim Quyên - M.Trắng"/>
    <x v="1"/>
    <n v="48000"/>
    <n v="0.1818181818181818"/>
    <n v="12"/>
    <n v="0"/>
    <n v="2023"/>
    <n v="9"/>
    <x v="1"/>
  </r>
  <r>
    <n v="125"/>
    <s v="GC6010"/>
    <x v="70"/>
    <s v="Cuộn"/>
    <n v="267000"/>
    <n v="2"/>
    <n v="10"/>
    <n v="270000"/>
    <n v="270000"/>
    <d v="2023-09-16T00:00:00"/>
    <s v="Như Ý - M.Trắng"/>
    <x v="2"/>
    <n v="3000"/>
    <n v="1.111111111111111E-2"/>
    <n v="12"/>
    <n v="0.16666666666666671"/>
    <n v="2023"/>
    <n v="9"/>
    <x v="7"/>
  </r>
  <r>
    <n v="126"/>
    <s v="KV100"/>
    <x v="0"/>
    <s v="Gói"/>
    <n v="345600"/>
    <n v="5"/>
    <n v="48"/>
    <n v="521000"/>
    <n v="521000"/>
    <d v="2023-09-16T00:00:00"/>
    <s v="Như Ý - M.Trắng"/>
    <x v="2"/>
    <n v="175400"/>
    <n v="0.3366602687140115"/>
    <n v="53"/>
    <n v="9.4339622641509441E-2"/>
    <n v="2023"/>
    <n v="9"/>
    <x v="0"/>
  </r>
  <r>
    <n v="127"/>
    <s v="KV100"/>
    <x v="0"/>
    <s v="Gói"/>
    <n v="345600"/>
    <n v="5"/>
    <n v="48"/>
    <n v="521000"/>
    <n v="521000"/>
    <d v="2023-09-16T00:00:00"/>
    <s v="Uốn tóc Kim Phụng - M.Trắng"/>
    <x v="1"/>
    <n v="175400"/>
    <n v="0.3366602687140115"/>
    <n v="53"/>
    <n v="9.4339622641509441E-2"/>
    <n v="2023"/>
    <n v="9"/>
    <x v="0"/>
  </r>
  <r>
    <n v="128"/>
    <s v="CC16"/>
    <x v="50"/>
    <s v="Dây"/>
    <n v="138000"/>
    <n v="0"/>
    <n v="6"/>
    <n v="162000"/>
    <n v="162000"/>
    <d v="2023-09-16T00:00:00"/>
    <s v="Chú 7 Vân - B.H.Tây"/>
    <x v="0"/>
    <n v="24000"/>
    <n v="0.14814814814814811"/>
    <n v="6"/>
    <n v="0"/>
    <n v="2023"/>
    <n v="9"/>
    <x v="4"/>
  </r>
  <r>
    <n v="129"/>
    <s v="HM600"/>
    <x v="71"/>
    <s v="Hộp"/>
    <n v="1215000"/>
    <n v="0"/>
    <n v="6"/>
    <n v="1620000"/>
    <n v="1620000"/>
    <d v="2023-09-16T00:00:00"/>
    <s v="Chú 7 Vân - B.H.Tây"/>
    <x v="0"/>
    <n v="405000"/>
    <n v="0.25"/>
    <n v="6"/>
    <n v="0"/>
    <n v="2023"/>
    <n v="9"/>
    <x v="7"/>
  </r>
  <r>
    <n v="130"/>
    <s v="HM601"/>
    <x v="22"/>
    <s v="Hộp"/>
    <n v="1152000"/>
    <n v="0"/>
    <n v="6"/>
    <n v="1440000"/>
    <n v="1440000"/>
    <d v="2023-09-16T00:00:00"/>
    <s v="Chú 7 Vân - B.H.Tây"/>
    <x v="0"/>
    <n v="288000"/>
    <n v="0.2"/>
    <n v="6"/>
    <n v="0"/>
    <n v="2023"/>
    <n v="9"/>
    <x v="7"/>
  </r>
  <r>
    <n v="133"/>
    <s v="HM609"/>
    <x v="72"/>
    <s v="Hộp"/>
    <n v="900000"/>
    <n v="0"/>
    <n v="6"/>
    <n v="1308000"/>
    <n v="1308000"/>
    <d v="2023-09-16T00:00:00"/>
    <s v="Chú 7 Vân - B.H.Tây"/>
    <x v="0"/>
    <n v="408000"/>
    <n v="0.31192660550458717"/>
    <n v="6"/>
    <n v="0"/>
    <n v="2023"/>
    <n v="9"/>
    <x v="7"/>
  </r>
  <r>
    <n v="134"/>
    <s v="HM610"/>
    <x v="37"/>
    <s v="Hộp"/>
    <n v="600000"/>
    <n v="0"/>
    <n v="6"/>
    <n v="1308000"/>
    <n v="1308000"/>
    <d v="2023-09-16T00:00:00"/>
    <s v="Chú 7 Vân - B.H.Tây"/>
    <x v="0"/>
    <n v="708000"/>
    <n v="0.54128440366972475"/>
    <n v="6"/>
    <n v="0"/>
    <n v="2023"/>
    <n v="9"/>
    <x v="7"/>
  </r>
  <r>
    <n v="136"/>
    <s v="KV1009"/>
    <x v="46"/>
    <s v="Gói"/>
    <n v="1440000"/>
    <n v="0"/>
    <n v="240"/>
    <n v="1920000"/>
    <n v="1920000"/>
    <d v="2023-09-16T00:00:00"/>
    <s v="Chú 7 Vân - B.H.Tây"/>
    <x v="0"/>
    <n v="480000"/>
    <n v="0.25"/>
    <n v="240"/>
    <n v="0"/>
    <n v="2023"/>
    <n v="9"/>
    <x v="0"/>
  </r>
  <r>
    <n v="137"/>
    <s v="KV100"/>
    <x v="0"/>
    <s v="Gói"/>
    <n v="345600"/>
    <n v="5"/>
    <n v="48"/>
    <n v="526000"/>
    <n v="526000"/>
    <d v="2023-09-16T00:00:00"/>
    <s v="6 Trạng - M.Trắng"/>
    <x v="1"/>
    <n v="180400"/>
    <n v="0.34296577946768059"/>
    <n v="53"/>
    <n v="9.4339622641509441E-2"/>
    <n v="2023"/>
    <n v="9"/>
    <x v="0"/>
  </r>
  <r>
    <n v="138"/>
    <s v="NG3600"/>
    <x v="2"/>
    <s v="Bình"/>
    <n v="182500"/>
    <n v="0"/>
    <n v="2"/>
    <n v="260000"/>
    <n v="260000"/>
    <d v="2023-09-16T00:00:00"/>
    <s v="6 Trạng - M.Trắng"/>
    <x v="1"/>
    <n v="77500"/>
    <n v="0.29807692307692307"/>
    <n v="2"/>
    <n v="0"/>
    <n v="2023"/>
    <n v="9"/>
    <x v="1"/>
  </r>
  <r>
    <n v="139"/>
    <s v="NG36002"/>
    <x v="73"/>
    <s v="Bình"/>
    <n v="182500"/>
    <n v="0"/>
    <n v="2"/>
    <n v="260000"/>
    <n v="260000"/>
    <d v="2023-09-16T00:00:00"/>
    <s v="6 Trạng - M.Trắng"/>
    <x v="1"/>
    <n v="77500"/>
    <n v="0.29807692307692307"/>
    <n v="2"/>
    <n v="0"/>
    <n v="2023"/>
    <n v="9"/>
    <x v="1"/>
  </r>
  <r>
    <n v="140"/>
    <s v="KV1009"/>
    <x v="46"/>
    <s v="Gói"/>
    <n v="288000"/>
    <n v="0"/>
    <n v="48"/>
    <n v="360000"/>
    <n v="360000"/>
    <d v="2023-09-16T00:00:00"/>
    <s v="Chị Thủy (đồ nhựa) - T.H.Trung"/>
    <x v="1"/>
    <n v="72000"/>
    <n v="0.2"/>
    <n v="48"/>
    <n v="0"/>
    <n v="2023"/>
    <n v="9"/>
    <x v="0"/>
  </r>
  <r>
    <n v="141"/>
    <s v="GC603"/>
    <x v="74"/>
    <s v="Cây"/>
    <n v="300000"/>
    <n v="1"/>
    <n v="12"/>
    <n v="409000"/>
    <n v="409000"/>
    <d v="2023-09-16T00:00:00"/>
    <s v="TT Kim Dung - M.Hiệp"/>
    <x v="0"/>
    <n v="109000"/>
    <n v="0.2665036674816626"/>
    <n v="13"/>
    <n v="7.6923076923076927E-2"/>
    <n v="2023"/>
    <n v="9"/>
    <x v="7"/>
  </r>
  <r>
    <n v="142"/>
    <s v="KU80"/>
    <x v="75"/>
    <s v="Gói"/>
    <n v="111000"/>
    <n v="0"/>
    <n v="6"/>
    <n v="162000"/>
    <n v="162000"/>
    <d v="2023-09-16T00:00:00"/>
    <s v="TT Kim Dung - M.Hiệp"/>
    <x v="0"/>
    <n v="51000"/>
    <n v="0.31481481481481483"/>
    <n v="6"/>
    <n v="0"/>
    <n v="2023"/>
    <n v="9"/>
    <x v="3"/>
  </r>
  <r>
    <n v="143"/>
    <s v="NLSDN280"/>
    <x v="76"/>
    <s v="Thùng"/>
    <n v="162000"/>
    <n v="0"/>
    <n v="1"/>
    <n v="180000"/>
    <n v="180000"/>
    <d v="2023-09-16T00:00:00"/>
    <s v="TT Kim Dung - M.Hiệp"/>
    <x v="0"/>
    <n v="18000"/>
    <n v="0.1"/>
    <n v="1"/>
    <n v="0"/>
    <n v="2023"/>
    <n v="9"/>
    <x v="9"/>
  </r>
  <r>
    <n v="144"/>
    <s v="TC301"/>
    <x v="77"/>
    <s v="Hộp"/>
    <n v="110000"/>
    <n v="0"/>
    <n v="10"/>
    <n v="160000"/>
    <n v="160000"/>
    <d v="2023-09-16T00:00:00"/>
    <s v="TT Kim Dung - M.Hiệp"/>
    <x v="0"/>
    <n v="50000"/>
    <n v="0.3125"/>
    <n v="10"/>
    <n v="0"/>
    <n v="2023"/>
    <n v="9"/>
    <x v="1"/>
  </r>
  <r>
    <n v="146"/>
    <s v="KU1506"/>
    <x v="15"/>
    <s v="Gói"/>
    <n v="855000"/>
    <n v="0"/>
    <n v="90"/>
    <n v="1620000"/>
    <n v="1620000"/>
    <d v="2023-09-16T00:00:00"/>
    <s v="Thế Giới Con Cưng - HCL"/>
    <x v="2"/>
    <n v="765000"/>
    <n v="0.47222222222222221"/>
    <n v="90"/>
    <n v="0"/>
    <n v="2023"/>
    <n v="9"/>
    <x v="3"/>
  </r>
  <r>
    <n v="147"/>
    <s v="KV1009"/>
    <x v="46"/>
    <s v="Gói"/>
    <n v="288000"/>
    <n v="0"/>
    <n v="48"/>
    <n v="408000"/>
    <n v="408000"/>
    <d v="2023-09-16T00:00:00"/>
    <s v="Trinh Nữ - M.Trắng"/>
    <x v="2"/>
    <n v="120000"/>
    <n v="0.29411764705882348"/>
    <n v="48"/>
    <n v="0"/>
    <n v="2023"/>
    <n v="9"/>
    <x v="0"/>
  </r>
  <r>
    <n v="148"/>
    <s v="SD1000"/>
    <x v="49"/>
    <s v="Lon"/>
    <n v="820800"/>
    <n v="0"/>
    <n v="24"/>
    <n v="840000"/>
    <n v="840000"/>
    <d v="2023-09-16T00:00:00"/>
    <s v="Trinh Nữ - M.Trắng"/>
    <x v="2"/>
    <n v="19200"/>
    <n v="2.2857142857142861E-2"/>
    <n v="24"/>
    <n v="0"/>
    <n v="2023"/>
    <n v="9"/>
    <x v="4"/>
  </r>
  <r>
    <n v="149"/>
    <s v="A1K15"/>
    <x v="9"/>
    <s v="Hộp"/>
    <n v="362268"/>
    <n v="1"/>
    <n v="6"/>
    <n v="340000"/>
    <n v="340000"/>
    <d v="2023-09-16T00:00:00"/>
    <s v="TT Bảo Hạnh - M.Trắng"/>
    <x v="1"/>
    <n v="-22268"/>
    <n v="-6.5494117647058828E-2"/>
    <n v="7"/>
    <n v="0.14285714285714279"/>
    <n v="2023"/>
    <n v="9"/>
    <x v="4"/>
  </r>
  <r>
    <n v="150"/>
    <s v="BSOGI12"/>
    <x v="78"/>
    <s v="Hủ"/>
    <n v="63000"/>
    <n v="0"/>
    <n v="1"/>
    <n v="70000"/>
    <n v="70000"/>
    <d v="2023-09-16T00:00:00"/>
    <s v="Ngọc Khánh ( Mỹ Khánh ) - M.Trắng"/>
    <x v="1"/>
    <n v="7000"/>
    <n v="0.1"/>
    <n v="1"/>
    <n v="0"/>
    <n v="2023"/>
    <n v="9"/>
    <x v="8"/>
  </r>
  <r>
    <n v="151"/>
    <s v="BSOGI121"/>
    <x v="47"/>
    <s v="Hủ"/>
    <n v="63000"/>
    <n v="0"/>
    <n v="1"/>
    <n v="70000"/>
    <n v="70000"/>
    <d v="2023-09-16T00:00:00"/>
    <s v="Ngọc Khánh ( Mỹ Khánh ) - M.Trắng"/>
    <x v="1"/>
    <n v="7000"/>
    <n v="0.1"/>
    <n v="1"/>
    <n v="0"/>
    <n v="2023"/>
    <n v="9"/>
    <x v="8"/>
  </r>
  <r>
    <n v="152"/>
    <s v="CG501"/>
    <x v="19"/>
    <s v="Cái"/>
    <n v="165000"/>
    <n v="0"/>
    <n v="30"/>
    <n v="195000"/>
    <n v="195000"/>
    <d v="2023-09-16T00:00:00"/>
    <s v="Ngọc Khánh ( Mỹ Khánh ) - M.Trắng"/>
    <x v="1"/>
    <n v="30000"/>
    <n v="0.15384615384615391"/>
    <n v="30"/>
    <n v="0"/>
    <n v="2023"/>
    <n v="9"/>
    <x v="4"/>
  </r>
  <r>
    <n v="153"/>
    <s v="HM605"/>
    <x v="79"/>
    <s v="Hộp"/>
    <n v="900000"/>
    <n v="0"/>
    <n v="6"/>
    <n v="1500000"/>
    <n v="1500000"/>
    <d v="2023-09-16T00:00:00"/>
    <s v="Ngọc Khánh ( Mỹ Khánh ) - M.Trắng"/>
    <x v="1"/>
    <n v="600000"/>
    <n v="0.4"/>
    <n v="6"/>
    <n v="0"/>
    <n v="2023"/>
    <n v="9"/>
    <x v="7"/>
  </r>
  <r>
    <n v="156"/>
    <s v="HM610"/>
    <x v="37"/>
    <s v="Hộp"/>
    <n v="600000"/>
    <n v="0"/>
    <n v="6"/>
    <n v="1308000"/>
    <n v="1308000"/>
    <d v="2023-09-16T00:00:00"/>
    <s v="Ngọc Khánh ( Mỹ Khánh ) - M.Trắng"/>
    <x v="1"/>
    <n v="708000"/>
    <n v="0.54128440366972475"/>
    <n v="6"/>
    <n v="0"/>
    <n v="2023"/>
    <n v="9"/>
    <x v="7"/>
  </r>
  <r>
    <n v="157"/>
    <s v="HM611"/>
    <x v="80"/>
    <s v="Hộp"/>
    <n v="660000"/>
    <n v="0"/>
    <n v="6"/>
    <n v="1368000"/>
    <n v="1368000"/>
    <d v="2023-09-16T00:00:00"/>
    <s v="Ngọc Khánh ( Mỹ Khánh ) - M.Trắng"/>
    <x v="1"/>
    <n v="708000"/>
    <n v="0.51754385964912286"/>
    <n v="6"/>
    <n v="0"/>
    <n v="2023"/>
    <n v="9"/>
    <x v="7"/>
  </r>
  <r>
    <n v="158"/>
    <s v="TB10003"/>
    <x v="25"/>
    <s v="Túi"/>
    <n v="147000"/>
    <n v="5"/>
    <n v="24"/>
    <n v="180000"/>
    <n v="180000"/>
    <d v="2023-09-16T00:00:00"/>
    <s v="Ngọc Khánh ( Mỹ Khánh ) - M.Trắng"/>
    <x v="1"/>
    <n v="33000"/>
    <n v="0.18333333333333329"/>
    <n v="29"/>
    <n v="0.17241379310344829"/>
    <n v="2023"/>
    <n v="9"/>
    <x v="5"/>
  </r>
  <r>
    <n v="160"/>
    <s v="XM6007"/>
    <x v="69"/>
    <s v="Chai"/>
    <n v="540000"/>
    <n v="0"/>
    <n v="30"/>
    <n v="630000"/>
    <n v="630000"/>
    <d v="2023-09-16T00:00:00"/>
    <s v="Ngọc Khánh ( Mỹ Khánh ) - M.Trắng"/>
    <x v="1"/>
    <n v="90000"/>
    <n v="0.14285714285714279"/>
    <n v="30"/>
    <n v="0"/>
    <n v="2023"/>
    <n v="9"/>
    <x v="1"/>
  </r>
  <r>
    <n v="161"/>
    <s v="SD1000"/>
    <x v="49"/>
    <s v="Lon"/>
    <n v="820800"/>
    <n v="0"/>
    <n v="24"/>
    <n v="816000"/>
    <n v="816000"/>
    <d v="2023-09-16T00:00:00"/>
    <s v="Thảo Vy - HCL"/>
    <x v="1"/>
    <n v="-4800"/>
    <n v="-5.8823529411764714E-3"/>
    <n v="24"/>
    <n v="0"/>
    <n v="2023"/>
    <n v="9"/>
    <x v="4"/>
  </r>
  <r>
    <n v="162"/>
    <s v="KTN3001"/>
    <x v="41"/>
    <s v="Hộp"/>
    <n v="58000"/>
    <n v="0"/>
    <n v="4"/>
    <n v="56000"/>
    <n v="56000"/>
    <d v="2023-09-16T00:00:00"/>
    <s v="Tuấn Kiệt - M.Long"/>
    <x v="0"/>
    <n v="-2000"/>
    <n v="-3.5714285714285712E-2"/>
    <n v="4"/>
    <n v="0"/>
    <n v="2023"/>
    <n v="9"/>
    <x v="4"/>
  </r>
  <r>
    <n v="163"/>
    <s v="KTN3002"/>
    <x v="42"/>
    <s v="Hộp"/>
    <n v="58000"/>
    <n v="0"/>
    <n v="4"/>
    <n v="56000"/>
    <n v="56000"/>
    <d v="2023-09-16T00:00:00"/>
    <s v="Tuấn Kiệt - M.Long"/>
    <x v="0"/>
    <n v="-2000"/>
    <n v="-3.5714285714285712E-2"/>
    <n v="4"/>
    <n v="0"/>
    <n v="2023"/>
    <n v="9"/>
    <x v="4"/>
  </r>
  <r>
    <n v="164"/>
    <s v="KTN3003"/>
    <x v="43"/>
    <s v="Hộp"/>
    <n v="58000"/>
    <n v="0"/>
    <n v="4"/>
    <n v="56000"/>
    <n v="56000"/>
    <d v="2023-09-16T00:00:00"/>
    <s v="Tuấn Kiệt - M.Long"/>
    <x v="0"/>
    <n v="-2000"/>
    <n v="-3.5714285714285712E-2"/>
    <n v="4"/>
    <n v="0"/>
    <n v="2023"/>
    <n v="9"/>
    <x v="4"/>
  </r>
  <r>
    <n v="165"/>
    <s v="TBME500"/>
    <x v="81"/>
    <s v="Thùng"/>
    <n v="163485"/>
    <n v="0"/>
    <n v="1"/>
    <n v="175000"/>
    <n v="175000"/>
    <d v="2023-09-16T00:00:00"/>
    <s v="Tuấn Kiệt - M.Long"/>
    <x v="0"/>
    <n v="11515"/>
    <n v="6.5799999999999997E-2"/>
    <n v="1"/>
    <n v="0"/>
    <n v="2023"/>
    <n v="9"/>
    <x v="9"/>
  </r>
  <r>
    <n v="166"/>
    <s v="GC32"/>
    <x v="82"/>
    <s v="Bịch"/>
    <n v="504000"/>
    <n v="2"/>
    <n v="12"/>
    <n v="473000"/>
    <n v="473000"/>
    <d v="2023-09-21T00:00:00"/>
    <s v="Thông Thảo - P.Mỹ (QL30)"/>
    <x v="0"/>
    <n v="-31000"/>
    <n v="-6.5539112050739964E-2"/>
    <n v="14"/>
    <n v="0.14285714285714279"/>
    <n v="2023"/>
    <n v="9"/>
    <x v="7"/>
  </r>
  <r>
    <n v="167"/>
    <s v="GC606"/>
    <x v="83"/>
    <s v="Cây"/>
    <n v="620016"/>
    <n v="4"/>
    <n v="24"/>
    <n v="762000"/>
    <n v="762000"/>
    <d v="2023-09-23T00:00:00"/>
    <s v="TT Hoàng Yến - M.Long"/>
    <x v="2"/>
    <n v="141984"/>
    <n v="0.18633070866141729"/>
    <n v="28"/>
    <n v="0.14285714285714279"/>
    <n v="2023"/>
    <n v="9"/>
    <x v="7"/>
  </r>
  <r>
    <n v="168"/>
    <s v="SBOMGROW900"/>
    <x v="84"/>
    <s v="Lon"/>
    <n v="637200"/>
    <n v="0"/>
    <n v="3"/>
    <n v="716400"/>
    <n v="716400"/>
    <d v="2023-09-23T00:00:00"/>
    <s v="TT Hoàng Yến - M.Long"/>
    <x v="2"/>
    <n v="79200"/>
    <n v="0.1105527638190955"/>
    <n v="3"/>
    <n v="0"/>
    <n v="2023"/>
    <n v="9"/>
    <x v="10"/>
  </r>
  <r>
    <n v="169"/>
    <s v="GC1202"/>
    <x v="85"/>
    <s v="Cây"/>
    <n v="467508"/>
    <n v="1"/>
    <n v="12"/>
    <n v="444000"/>
    <n v="444000"/>
    <d v="2023-09-23T00:00:00"/>
    <s v="Mỹ Hạnh - HCL"/>
    <x v="2"/>
    <n v="-23508"/>
    <n v="-5.2945945945945948E-2"/>
    <n v="13"/>
    <n v="7.6923076923076927E-2"/>
    <n v="2023"/>
    <n v="9"/>
    <x v="7"/>
  </r>
  <r>
    <n v="170"/>
    <s v="GC606"/>
    <x v="83"/>
    <s v="Cây"/>
    <n v="620016"/>
    <n v="4"/>
    <n v="24"/>
    <n v="762000"/>
    <n v="762000"/>
    <d v="2023-09-23T00:00:00"/>
    <s v="Chị Xuyên - M.Long"/>
    <x v="2"/>
    <n v="141984"/>
    <n v="0.18633070866141729"/>
    <n v="28"/>
    <n v="0.14285714285714279"/>
    <n v="2023"/>
    <n v="9"/>
    <x v="7"/>
  </r>
  <r>
    <n v="171"/>
    <s v="A1K15"/>
    <x v="9"/>
    <s v="Hộp"/>
    <n v="301890"/>
    <n v="0"/>
    <n v="5"/>
    <n v="260000"/>
    <n v="260000"/>
    <d v="2023-09-23T00:00:00"/>
    <s v="TT Minh Huệ - B.H.Trung"/>
    <x v="1"/>
    <n v="-41890"/>
    <n v="-0.1611153846153846"/>
    <n v="5"/>
    <n v="0"/>
    <n v="2023"/>
    <n v="9"/>
    <x v="4"/>
  </r>
  <r>
    <n v="172"/>
    <s v="KDL01"/>
    <x v="10"/>
    <s v="Cây"/>
    <n v="98280"/>
    <n v="0"/>
    <n v="10"/>
    <n v="115000"/>
    <n v="115000"/>
    <d v="2023-09-23T00:00:00"/>
    <s v="Hoàng Huyên - M.Long"/>
    <x v="2"/>
    <n v="16720"/>
    <n v="0.1453913043478261"/>
    <n v="10"/>
    <n v="0"/>
    <n v="2023"/>
    <n v="9"/>
    <x v="0"/>
  </r>
  <r>
    <n v="173"/>
    <s v="KV100"/>
    <x v="0"/>
    <s v="Gói"/>
    <n v="1728000"/>
    <n v="0"/>
    <n v="240"/>
    <n v="2880000"/>
    <n v="2880000"/>
    <d v="2023-09-23T00:00:00"/>
    <s v="Hoàng Huyên - M.Long"/>
    <x v="2"/>
    <n v="1152000"/>
    <n v="0.4"/>
    <n v="240"/>
    <n v="0"/>
    <n v="2023"/>
    <n v="9"/>
    <x v="0"/>
  </r>
  <r>
    <n v="174"/>
    <s v="TBTE1001"/>
    <x v="65"/>
    <s v="Túi"/>
    <n v="378000"/>
    <n v="12"/>
    <n v="72"/>
    <n v="432000"/>
    <n v="432000"/>
    <d v="2023-09-23T00:00:00"/>
    <s v="TT Ngọc Hạnh - Đ.Mối"/>
    <x v="2"/>
    <n v="54000"/>
    <n v="0.125"/>
    <n v="84"/>
    <n v="0.14285714285714279"/>
    <n v="2023"/>
    <n v="9"/>
    <x v="5"/>
  </r>
  <r>
    <n v="175"/>
    <s v="A1Y600"/>
    <x v="86"/>
    <s v="Hộp"/>
    <n v="3000000"/>
    <n v="6"/>
    <n v="12"/>
    <n v="3360000"/>
    <n v="3360000"/>
    <d v="2023-09-23T00:00:00"/>
    <s v="Kim Hường - B.H.Tây"/>
    <x v="4"/>
    <n v="360000"/>
    <n v="0.1071428571428571"/>
    <n v="18"/>
    <n v="0.33333333333333331"/>
    <n v="2023"/>
    <n v="9"/>
    <x v="4"/>
  </r>
  <r>
    <n v="177"/>
    <s v="KV320"/>
    <x v="8"/>
    <s v="Gói"/>
    <n v="1056000"/>
    <n v="0"/>
    <n v="96"/>
    <n v="912000"/>
    <n v="912000"/>
    <d v="2023-09-23T00:00:00"/>
    <s v="Mỹ Nhân - N.Mỹ"/>
    <x v="2"/>
    <n v="-144000"/>
    <n v="-0.15789473684210531"/>
    <n v="96"/>
    <n v="0"/>
    <n v="2023"/>
    <n v="9"/>
    <x v="0"/>
  </r>
  <r>
    <n v="178"/>
    <s v="GC606"/>
    <x v="83"/>
    <s v="Cây"/>
    <n v="310008"/>
    <n v="1"/>
    <n v="12"/>
    <n v="410000"/>
    <n v="410000"/>
    <d v="2023-09-23T00:00:00"/>
    <s v="Chị Đào - T.H.Trung"/>
    <x v="0"/>
    <n v="99992"/>
    <n v="0.24388292682926829"/>
    <n v="13"/>
    <n v="7.6923076923076927E-2"/>
    <n v="2023"/>
    <n v="9"/>
    <x v="7"/>
  </r>
  <r>
    <n v="179"/>
    <s v="BCN189"/>
    <x v="87"/>
    <s v="Cây"/>
    <n v="144000"/>
    <n v="0"/>
    <n v="30"/>
    <n v="210000"/>
    <n v="210000"/>
    <d v="2023-09-23T00:00:00"/>
    <s v="TT Đông Nguyên - M.Long"/>
    <x v="0"/>
    <n v="66000"/>
    <n v="0.31428571428571428"/>
    <n v="30"/>
    <n v="0"/>
    <n v="2023"/>
    <n v="9"/>
    <x v="2"/>
  </r>
  <r>
    <n v="180"/>
    <s v="BCX6"/>
    <x v="88"/>
    <s v="Cây"/>
    <n v="40000"/>
    <n v="0"/>
    <n v="20"/>
    <n v="140000"/>
    <n v="140000"/>
    <d v="2023-09-23T00:00:00"/>
    <s v="TT Đông Nguyên - M.Long"/>
    <x v="0"/>
    <n v="100000"/>
    <n v="0.7142857142857143"/>
    <n v="20"/>
    <n v="0"/>
    <n v="2023"/>
    <n v="9"/>
    <x v="2"/>
  </r>
  <r>
    <n v="181"/>
    <s v="GC106"/>
    <x v="66"/>
    <s v="Cây"/>
    <n v="180000"/>
    <n v="0"/>
    <n v="10"/>
    <n v="220000"/>
    <n v="220000"/>
    <d v="2023-09-23T00:00:00"/>
    <s v="Ngọc Như - M.Long"/>
    <x v="0"/>
    <n v="40000"/>
    <n v="0.1818181818181818"/>
    <n v="10"/>
    <n v="0"/>
    <n v="2023"/>
    <n v="9"/>
    <x v="7"/>
  </r>
  <r>
    <n v="182"/>
    <s v="GC612"/>
    <x v="89"/>
    <s v="Cây"/>
    <n v="265008"/>
    <n v="0"/>
    <n v="12"/>
    <n v="360000"/>
    <n v="360000"/>
    <d v="2023-09-23T00:00:00"/>
    <s v="Ngọc Như - M.Long"/>
    <x v="0"/>
    <n v="94992"/>
    <n v="0.26386666666666669"/>
    <n v="12"/>
    <n v="0"/>
    <n v="2023"/>
    <n v="9"/>
    <x v="7"/>
  </r>
  <r>
    <n v="183"/>
    <s v="KV1011"/>
    <x v="16"/>
    <s v="Gói"/>
    <n v="200010"/>
    <n v="0"/>
    <n v="30"/>
    <n v="210000"/>
    <n v="210000"/>
    <d v="2023-09-23T00:00:00"/>
    <s v="Ngọc Như - M.Long"/>
    <x v="0"/>
    <n v="9990"/>
    <n v="4.757142857142857E-2"/>
    <n v="30"/>
    <n v="0"/>
    <n v="2023"/>
    <n v="9"/>
    <x v="0"/>
  </r>
  <r>
    <n v="184"/>
    <s v="KV100"/>
    <x v="0"/>
    <s v="Gói"/>
    <n v="345600"/>
    <n v="4"/>
    <n v="48"/>
    <n v="532000"/>
    <n v="532000"/>
    <d v="2023-09-23T00:00:00"/>
    <s v="TH Trinh (Mỹ Trinh) - HCL (cuối chợ)"/>
    <x v="0"/>
    <n v="186400"/>
    <n v="0.35037593984962412"/>
    <n v="52"/>
    <n v="7.6923076923076927E-2"/>
    <n v="2023"/>
    <n v="9"/>
    <x v="0"/>
  </r>
  <r>
    <n v="185"/>
    <s v="TC1000"/>
    <x v="90"/>
    <s v="Chai"/>
    <n v="131112"/>
    <n v="1"/>
    <n v="8"/>
    <n v="178000"/>
    <n v="178000"/>
    <d v="2023-09-23T00:00:00"/>
    <s v="Chị Thủy (đồ nhựa) - T.H.Trung"/>
    <x v="1"/>
    <n v="46888"/>
    <n v="0.26341573033707871"/>
    <n v="9"/>
    <n v="0.1111111111111111"/>
    <n v="2023"/>
    <n v="9"/>
    <x v="1"/>
  </r>
  <r>
    <n v="187"/>
    <s v="HM610"/>
    <x v="37"/>
    <s v="Hộp"/>
    <n v="600000"/>
    <n v="0"/>
    <n v="6"/>
    <n v="1308000"/>
    <n v="1308000"/>
    <d v="2023-09-23T00:00:00"/>
    <s v="Tố Quyên - T.H.Trung"/>
    <x v="2"/>
    <n v="708000"/>
    <n v="0.54128440366972475"/>
    <n v="6"/>
    <n v="0"/>
    <n v="2023"/>
    <n v="9"/>
    <x v="7"/>
  </r>
  <r>
    <n v="188"/>
    <s v="TNS1"/>
    <x v="24"/>
    <s v="Chai"/>
    <n v="190008"/>
    <n v="0"/>
    <n v="12"/>
    <n v="312000"/>
    <n v="312000"/>
    <d v="2023-09-23T00:00:00"/>
    <s v="Tuyết Lài ( Chị Lài) - B.H.Trung"/>
    <x v="1"/>
    <n v="121992"/>
    <n v="0.39100000000000001"/>
    <n v="12"/>
    <n v="0"/>
    <n v="2023"/>
    <n v="9"/>
    <x v="1"/>
  </r>
  <r>
    <n v="189"/>
    <s v="KV1001"/>
    <x v="62"/>
    <s v="Gói"/>
    <n v="225000"/>
    <n v="0"/>
    <n v="30"/>
    <n v="330000"/>
    <n v="330000"/>
    <d v="2023-09-23T00:00:00"/>
    <s v="Thế Giới Con Cưng - HCL"/>
    <x v="2"/>
    <n v="105000"/>
    <n v="0.31818181818181818"/>
    <n v="30"/>
    <n v="0"/>
    <n v="2023"/>
    <n v="9"/>
    <x v="0"/>
  </r>
  <r>
    <n v="191"/>
    <s v="VMS002"/>
    <x v="91"/>
    <s v="Túi"/>
    <n v="232810"/>
    <n v="0"/>
    <n v="10"/>
    <n v="325000"/>
    <n v="325000"/>
    <d v="2023-09-23T00:00:00"/>
    <s v="Thế Giới Con Cưng - HCL"/>
    <x v="2"/>
    <n v="92190"/>
    <n v="0.28366153846153852"/>
    <n v="10"/>
    <n v="0"/>
    <n v="2023"/>
    <n v="9"/>
    <x v="4"/>
  </r>
  <r>
    <n v="192"/>
    <s v="TC1000"/>
    <x v="90"/>
    <s v="Chai"/>
    <n v="131112"/>
    <n v="1"/>
    <n v="8"/>
    <n v="178000"/>
    <n v="178000"/>
    <d v="2023-09-23T00:00:00"/>
    <s v="Dung Vũ (đồ nhựa) - T.H.Trung"/>
    <x v="1"/>
    <n v="46888"/>
    <n v="0.26341573033707871"/>
    <n v="9"/>
    <n v="0.1111111111111111"/>
    <n v="2023"/>
    <n v="9"/>
    <x v="1"/>
  </r>
  <r>
    <n v="193"/>
    <s v="KV1011"/>
    <x v="16"/>
    <s v="Gói"/>
    <n v="200010"/>
    <n v="0"/>
    <n v="30"/>
    <n v="240000"/>
    <n v="240000"/>
    <d v="2023-09-23T00:00:00"/>
    <s v="Chị Tuyết - HCL (N.Mỹ)"/>
    <x v="2"/>
    <n v="39990"/>
    <n v="0.166625"/>
    <n v="30"/>
    <n v="0"/>
    <n v="2023"/>
    <n v="9"/>
    <x v="0"/>
  </r>
  <r>
    <n v="197"/>
    <s v="NRC400"/>
    <x v="92"/>
    <s v="Chai"/>
    <n v="950880"/>
    <n v="0"/>
    <n v="120"/>
    <n v="1380000"/>
    <n v="1380000"/>
    <d v="2023-09-27T00:00:00"/>
    <s v="Gas Hồng Ngọc - M.Hội"/>
    <x v="1"/>
    <n v="429120"/>
    <n v="0.31095652173913041"/>
    <n v="120"/>
    <n v="0"/>
    <n v="2023"/>
    <n v="9"/>
    <x v="1"/>
  </r>
  <r>
    <n v="198"/>
    <s v="HTBD12"/>
    <x v="93"/>
    <s v="Hộp"/>
    <n v="42084"/>
    <n v="0"/>
    <n v="1"/>
    <n v="48000"/>
    <n v="48000"/>
    <d v="2023-09-28T00:00:00"/>
    <s v="Thế giới sữa Tony - T.Nghĩa"/>
    <x v="2"/>
    <n v="5916"/>
    <n v="0.12325"/>
    <n v="1"/>
    <n v="0"/>
    <n v="2023"/>
    <n v="9"/>
    <x v="8"/>
  </r>
  <r>
    <n v="199"/>
    <s v="HTBD121"/>
    <x v="94"/>
    <s v="Hộp"/>
    <n v="42084"/>
    <n v="0"/>
    <n v="1"/>
    <n v="48000"/>
    <n v="48000"/>
    <d v="2023-09-28T00:00:00"/>
    <s v="Thế giới sữa Tony - T.Nghĩa"/>
    <x v="2"/>
    <n v="5916"/>
    <n v="0.12325"/>
    <n v="1"/>
    <n v="0"/>
    <n v="2023"/>
    <n v="9"/>
    <x v="8"/>
  </r>
  <r>
    <n v="201"/>
    <s v="KGC10"/>
    <x v="95"/>
    <s v="Gói"/>
    <n v="90000"/>
    <n v="0"/>
    <n v="25"/>
    <n v="100000"/>
    <n v="100000"/>
    <d v="2023-09-28T00:00:00"/>
    <s v="Chị Nhung - T.Nghĩa"/>
    <x v="2"/>
    <n v="10000"/>
    <n v="0.1"/>
    <n v="25"/>
    <n v="0"/>
    <n v="2023"/>
    <n v="9"/>
    <x v="4"/>
  </r>
  <r>
    <n v="202"/>
    <s v="KGLC10"/>
    <x v="96"/>
    <s v="Gói"/>
    <n v="90000"/>
    <n v="0"/>
    <n v="25"/>
    <n v="100000"/>
    <n v="100000"/>
    <d v="2023-09-28T00:00:00"/>
    <s v="Chị Nhung - T.Nghĩa"/>
    <x v="2"/>
    <n v="10000"/>
    <n v="0.1"/>
    <n v="25"/>
    <n v="0"/>
    <n v="2023"/>
    <n v="9"/>
    <x v="4"/>
  </r>
  <r>
    <n v="203"/>
    <s v="KL100"/>
    <x v="97"/>
    <s v="Túi"/>
    <n v="22000"/>
    <n v="0"/>
    <n v="5"/>
    <n v="30000"/>
    <n v="30000"/>
    <d v="2023-09-28T00:00:00"/>
    <s v="Chị Nhung - T.Nghĩa"/>
    <x v="2"/>
    <n v="8000"/>
    <n v="0.26666666666666672"/>
    <n v="5"/>
    <n v="0"/>
    <n v="2023"/>
    <n v="9"/>
    <x v="0"/>
  </r>
  <r>
    <n v="204"/>
    <s v="KTN802"/>
    <x v="98"/>
    <s v="Gói"/>
    <n v="105000"/>
    <n v="0"/>
    <n v="20"/>
    <n v="140000"/>
    <n v="140000"/>
    <d v="2023-09-28T00:00:00"/>
    <s v="Chị Nhung - T.Nghĩa"/>
    <x v="2"/>
    <n v="35000"/>
    <n v="0.25"/>
    <n v="20"/>
    <n v="0"/>
    <n v="2023"/>
    <n v="9"/>
    <x v="4"/>
  </r>
  <r>
    <n v="205"/>
    <s v="KU801"/>
    <x v="38"/>
    <s v="Gói"/>
    <n v="40000"/>
    <n v="0"/>
    <n v="10"/>
    <n v="65000"/>
    <n v="65000"/>
    <d v="2023-09-28T00:00:00"/>
    <s v="Chị Nhung - T.Nghĩa"/>
    <x v="2"/>
    <n v="25000"/>
    <n v="0.38461538461538458"/>
    <n v="10"/>
    <n v="0"/>
    <n v="2023"/>
    <n v="9"/>
    <x v="3"/>
  </r>
  <r>
    <n v="206"/>
    <s v="KU802"/>
    <x v="99"/>
    <s v="Gói"/>
    <n v="55000"/>
    <n v="0"/>
    <n v="10"/>
    <n v="65000"/>
    <n v="65000"/>
    <d v="2023-09-28T00:00:00"/>
    <s v="Chị Nhung - T.Nghĩa"/>
    <x v="2"/>
    <n v="10000"/>
    <n v="0.15384615384615391"/>
    <n v="10"/>
    <n v="0"/>
    <n v="2023"/>
    <n v="9"/>
    <x v="3"/>
  </r>
  <r>
    <n v="207"/>
    <s v="NG5000"/>
    <x v="100"/>
    <s v="Bình"/>
    <n v="115000"/>
    <n v="0"/>
    <n v="1"/>
    <n v="168000"/>
    <n v="168000"/>
    <d v="2023-09-28T00:00:00"/>
    <s v="Chị Nhung - T.Nghĩa"/>
    <x v="2"/>
    <n v="53000"/>
    <n v="0.31547619047619052"/>
    <n v="1"/>
    <n v="0"/>
    <n v="2023"/>
    <n v="9"/>
    <x v="1"/>
  </r>
  <r>
    <n v="208"/>
    <s v="NG50002"/>
    <x v="23"/>
    <s v="Bình"/>
    <n v="115000"/>
    <n v="0"/>
    <n v="1"/>
    <n v="168000"/>
    <n v="168000"/>
    <d v="2023-09-28T00:00:00"/>
    <s v="Chị Nhung - T.Nghĩa"/>
    <x v="2"/>
    <n v="53000"/>
    <n v="0.31547619047619052"/>
    <n v="1"/>
    <n v="0"/>
    <n v="2023"/>
    <n v="9"/>
    <x v="1"/>
  </r>
  <r>
    <n v="209"/>
    <s v="NGT3600"/>
    <x v="101"/>
    <s v="Túi"/>
    <n v="74000"/>
    <n v="0"/>
    <n v="1"/>
    <n v="108000"/>
    <n v="108000"/>
    <d v="2023-09-28T00:00:00"/>
    <s v="Chị Nhung - T.Nghĩa"/>
    <x v="2"/>
    <n v="34000"/>
    <n v="0.31481481481481483"/>
    <n v="1"/>
    <n v="0"/>
    <n v="2023"/>
    <n v="9"/>
    <x v="1"/>
  </r>
  <r>
    <n v="210"/>
    <s v="NGT36001"/>
    <x v="102"/>
    <s v="Túi"/>
    <n v="74000"/>
    <n v="0"/>
    <n v="1"/>
    <n v="108000"/>
    <n v="108000"/>
    <d v="2023-09-28T00:00:00"/>
    <s v="Chị Nhung - T.Nghĩa"/>
    <x v="2"/>
    <n v="34000"/>
    <n v="0.31481481481481483"/>
    <n v="1"/>
    <n v="0"/>
    <n v="2023"/>
    <n v="9"/>
    <x v="1"/>
  </r>
  <r>
    <n v="211"/>
    <s v="KU802"/>
    <x v="99"/>
    <s v="Gói"/>
    <n v="55000"/>
    <n v="0"/>
    <n v="10"/>
    <n v="60000"/>
    <n v="60000"/>
    <d v="2023-09-28T00:00:00"/>
    <s v="Ngọc Huyền - Gáo Giồng"/>
    <x v="1"/>
    <n v="5000"/>
    <n v="8.3333333333333329E-2"/>
    <n v="10"/>
    <n v="0"/>
    <n v="2023"/>
    <n v="9"/>
    <x v="3"/>
  </r>
  <r>
    <n v="212"/>
    <s v="KV1007"/>
    <x v="39"/>
    <s v="Gói"/>
    <n v="67500"/>
    <n v="0"/>
    <n v="10"/>
    <n v="75000"/>
    <n v="75000"/>
    <d v="2023-09-28T00:00:00"/>
    <s v="Ngọc Huyền - Gáo Giồng"/>
    <x v="1"/>
    <n v="7500"/>
    <n v="0.1"/>
    <n v="10"/>
    <n v="0"/>
    <n v="2023"/>
    <n v="9"/>
    <x v="0"/>
  </r>
  <r>
    <n v="213"/>
    <s v="KV1011"/>
    <x v="16"/>
    <s v="Gói"/>
    <n v="66670"/>
    <n v="0"/>
    <n v="10"/>
    <n v="75000"/>
    <n v="75000"/>
    <d v="2023-09-28T00:00:00"/>
    <s v="Ngọc Huyền - Gáo Giồng"/>
    <x v="1"/>
    <n v="8330"/>
    <n v="0.1110666666666667"/>
    <n v="10"/>
    <n v="0"/>
    <n v="2023"/>
    <n v="9"/>
    <x v="0"/>
  </r>
  <r>
    <n v="214"/>
    <s v="CG50"/>
    <x v="18"/>
    <s v="Cái"/>
    <n v="82500"/>
    <n v="0"/>
    <n v="15"/>
    <n v="97500"/>
    <n v="97500"/>
    <d v="2023-09-28T00:00:00"/>
    <s v="Ngọc Thắm - T.Nghĩa"/>
    <x v="2"/>
    <n v="15000"/>
    <n v="0.15384615384615391"/>
    <n v="15"/>
    <n v="0"/>
    <n v="2023"/>
    <n v="9"/>
    <x v="4"/>
  </r>
  <r>
    <n v="215"/>
    <s v="CG501"/>
    <x v="19"/>
    <s v="Cái"/>
    <n v="82500"/>
    <n v="0"/>
    <n v="15"/>
    <n v="97500"/>
    <n v="97500"/>
    <d v="2023-09-28T00:00:00"/>
    <s v="Ngọc Thắm - T.Nghĩa"/>
    <x v="2"/>
    <n v="15000"/>
    <n v="0.15384615384615391"/>
    <n v="15"/>
    <n v="0"/>
    <n v="2023"/>
    <n v="9"/>
    <x v="4"/>
  </r>
  <r>
    <n v="216"/>
    <s v="DCKAKA"/>
    <x v="103"/>
    <s v="Vỉ"/>
    <n v="24000"/>
    <n v="0"/>
    <n v="1"/>
    <n v="30000"/>
    <n v="30000"/>
    <d v="2023-09-28T00:00:00"/>
    <s v="Ngọc Thắm - T.Nghĩa"/>
    <x v="2"/>
    <n v="6000"/>
    <n v="0.2"/>
    <n v="1"/>
    <n v="0"/>
    <n v="2023"/>
    <n v="9"/>
    <x v="2"/>
  </r>
  <r>
    <n v="217"/>
    <s v="KV1007"/>
    <x v="39"/>
    <s v="Gói"/>
    <n v="270000"/>
    <n v="0"/>
    <n v="40"/>
    <n v="280000"/>
    <n v="280000"/>
    <d v="2023-09-28T00:00:00"/>
    <s v="Lợi Thủy - Gáo Giồng"/>
    <x v="1"/>
    <n v="10000"/>
    <n v="3.5714285714285712E-2"/>
    <n v="40"/>
    <n v="0"/>
    <n v="2023"/>
    <n v="9"/>
    <x v="0"/>
  </r>
  <r>
    <n v="218"/>
    <s v="XM6007"/>
    <x v="69"/>
    <s v="Chai"/>
    <n v="90000"/>
    <n v="0"/>
    <n v="5"/>
    <n v="95000"/>
    <n v="95000"/>
    <d v="2023-09-28T00:00:00"/>
    <s v="Lợi Thủy - Gáo Giồng"/>
    <x v="1"/>
    <n v="5000"/>
    <n v="5.2631578947368418E-2"/>
    <n v="5"/>
    <n v="0"/>
    <n v="2023"/>
    <n v="9"/>
    <x v="1"/>
  </r>
  <r>
    <n v="219"/>
    <s v="DCKAKA"/>
    <x v="103"/>
    <s v="Vỉ"/>
    <n v="24000"/>
    <n v="0"/>
    <n v="1"/>
    <n v="30000"/>
    <n v="30000"/>
    <d v="2023-09-28T00:00:00"/>
    <s v="Thu Trang - T.Nghĩa"/>
    <x v="1"/>
    <n v="6000"/>
    <n v="0.2"/>
    <n v="1"/>
    <n v="0"/>
    <n v="2023"/>
    <n v="9"/>
    <x v="2"/>
  </r>
  <r>
    <n v="220"/>
    <s v="DCTD708"/>
    <x v="12"/>
    <s v="Vỉ"/>
    <n v="26400"/>
    <n v="0"/>
    <n v="1"/>
    <n v="36000"/>
    <n v="36000"/>
    <d v="2023-09-28T00:00:00"/>
    <s v="Thu Trang - T.Nghĩa"/>
    <x v="1"/>
    <n v="9600"/>
    <n v="0.26666666666666672"/>
    <n v="1"/>
    <n v="0"/>
    <n v="2023"/>
    <n v="9"/>
    <x v="2"/>
  </r>
  <r>
    <n v="221"/>
    <s v="HM607"/>
    <x v="68"/>
    <s v="Hộp"/>
    <n v="100000"/>
    <n v="1"/>
    <n v="1"/>
    <n v="108000"/>
    <n v="108000"/>
    <d v="2023-09-29T00:00:00"/>
    <s v="Chị Bích - T.Linh"/>
    <x v="0"/>
    <n v="8000"/>
    <n v="7.407407407407407E-2"/>
    <n v="2"/>
    <n v="0.5"/>
    <n v="2023"/>
    <n v="9"/>
    <x v="7"/>
  </r>
  <r>
    <n v="222"/>
    <s v="HM608"/>
    <x v="36"/>
    <s v="Hộp"/>
    <n v="100000"/>
    <n v="1"/>
    <n v="1"/>
    <n v="108000"/>
    <n v="108000"/>
    <d v="2023-09-29T00:00:00"/>
    <s v="Chị Bích - T.Linh"/>
    <x v="0"/>
    <n v="8000"/>
    <n v="7.407407407407407E-2"/>
    <n v="2"/>
    <n v="0.5"/>
    <n v="2023"/>
    <n v="9"/>
    <x v="7"/>
  </r>
  <r>
    <n v="223"/>
    <s v="HM610"/>
    <x v="37"/>
    <s v="Hộp"/>
    <n v="100000"/>
    <n v="1"/>
    <n v="1"/>
    <n v="108000"/>
    <n v="108000"/>
    <d v="2023-09-29T00:00:00"/>
    <s v="Chị Bích - T.Linh"/>
    <x v="0"/>
    <n v="8000"/>
    <n v="7.407407407407407E-2"/>
    <n v="2"/>
    <n v="0.5"/>
    <n v="2023"/>
    <n v="9"/>
    <x v="7"/>
  </r>
  <r>
    <n v="224"/>
    <s v="GC603"/>
    <x v="74"/>
    <s v="Cây"/>
    <n v="300000"/>
    <n v="1"/>
    <n v="12"/>
    <n v="410000"/>
    <n v="410000"/>
    <d v="2023-09-29T00:00:00"/>
    <s v="Ánh Tuyết (Tuyết Thành) - T.Linh"/>
    <x v="1"/>
    <n v="110000"/>
    <n v="0.26829268292682928"/>
    <n v="13"/>
    <n v="7.6923076923076927E-2"/>
    <n v="2023"/>
    <n v="9"/>
    <x v="7"/>
  </r>
  <r>
    <n v="225"/>
    <s v="GC612"/>
    <x v="89"/>
    <s v="Cây"/>
    <n v="265008"/>
    <n v="0"/>
    <n v="12"/>
    <n v="360000"/>
    <n v="360000"/>
    <d v="2023-09-29T00:00:00"/>
    <s v="Căn tin BV Phổi( Chị Duyên) - BV phổi"/>
    <x v="0"/>
    <n v="94992"/>
    <n v="0.26386666666666669"/>
    <n v="12"/>
    <n v="0"/>
    <n v="2023"/>
    <n v="9"/>
    <x v="7"/>
  </r>
  <r>
    <n v="226"/>
    <s v="KV1002"/>
    <x v="3"/>
    <s v="Gói"/>
    <n v="1296000"/>
    <n v="0"/>
    <n v="180"/>
    <n v="1692000"/>
    <n v="1692000"/>
    <d v="2023-09-29T00:00:00"/>
    <s v="Căn tin BV Phổi( Chị Duyên) - BV phổi"/>
    <x v="0"/>
    <n v="396000"/>
    <n v="0.23404255319148939"/>
    <n v="180"/>
    <n v="0"/>
    <n v="2023"/>
    <n v="9"/>
    <x v="0"/>
  </r>
  <r>
    <n v="227"/>
    <s v="HM607"/>
    <x v="68"/>
    <s v="Hộp"/>
    <n v="600000"/>
    <n v="6"/>
    <n v="6"/>
    <n v="648000"/>
    <n v="648000"/>
    <d v="2023-09-29T00:00:00"/>
    <s v="Tuấn Quyên - P.Thịnh"/>
    <x v="2"/>
    <n v="48000"/>
    <n v="7.407407407407407E-2"/>
    <n v="12"/>
    <n v="0.5"/>
    <n v="2023"/>
    <n v="9"/>
    <x v="7"/>
  </r>
  <r>
    <n v="228"/>
    <s v="HM608"/>
    <x v="36"/>
    <s v="Hộp"/>
    <n v="600000"/>
    <n v="6"/>
    <n v="6"/>
    <n v="648000"/>
    <n v="648000"/>
    <d v="2023-09-29T00:00:00"/>
    <s v="Tuấn Quyên - P.Thịnh"/>
    <x v="2"/>
    <n v="48000"/>
    <n v="7.407407407407407E-2"/>
    <n v="12"/>
    <n v="0.5"/>
    <n v="2023"/>
    <n v="9"/>
    <x v="7"/>
  </r>
  <r>
    <n v="229"/>
    <s v="HM610"/>
    <x v="37"/>
    <s v="Hộp"/>
    <n v="600000"/>
    <n v="6"/>
    <n v="6"/>
    <n v="648000"/>
    <n v="648000"/>
    <d v="2023-09-29T00:00:00"/>
    <s v="Tuấn Quyên - P.Thịnh"/>
    <x v="2"/>
    <n v="48000"/>
    <n v="7.407407407407407E-2"/>
    <n v="12"/>
    <n v="0.5"/>
    <n v="2023"/>
    <n v="9"/>
    <x v="7"/>
  </r>
  <r>
    <n v="230"/>
    <s v="HM608"/>
    <x v="36"/>
    <s v="Hộp"/>
    <n v="600000"/>
    <n v="6"/>
    <n v="6"/>
    <n v="648000"/>
    <n v="648000"/>
    <d v="2023-09-29T00:00:00"/>
    <s v="Đạt Hường - P.Thịnh"/>
    <x v="1"/>
    <n v="48000"/>
    <n v="7.407407407407407E-2"/>
    <n v="12"/>
    <n v="0.5"/>
    <n v="2023"/>
    <n v="9"/>
    <x v="7"/>
  </r>
  <r>
    <n v="232"/>
    <s v="HM608"/>
    <x v="36"/>
    <s v="Hộp"/>
    <n v="600000"/>
    <n v="0"/>
    <n v="6"/>
    <n v="1308000"/>
    <n v="1308000"/>
    <d v="2023-09-29T00:00:00"/>
    <s v="Chị Thúy - Gáo Giồng"/>
    <x v="1"/>
    <n v="708000"/>
    <n v="0.54128440366972475"/>
    <n v="6"/>
    <n v="0"/>
    <n v="2023"/>
    <n v="9"/>
    <x v="7"/>
  </r>
  <r>
    <n v="234"/>
    <s v="HM614"/>
    <x v="104"/>
    <s v="Hộp"/>
    <n v="260000"/>
    <n v="0"/>
    <n v="2"/>
    <n v="560000"/>
    <n v="560000"/>
    <d v="2023-09-30T00:00:00"/>
    <s v="Minh Hiền (chị Ớ) - B.H.Trung"/>
    <x v="0"/>
    <n v="300000"/>
    <n v="0.5357142857142857"/>
    <n v="2"/>
    <n v="0"/>
    <n v="2023"/>
    <n v="9"/>
    <x v="7"/>
  </r>
  <r>
    <n v="235"/>
    <s v="TB20001"/>
    <x v="105"/>
    <s v="Hộp"/>
    <n v="399000"/>
    <n v="6"/>
    <n v="24"/>
    <n v="461000"/>
    <n v="461000"/>
    <d v="2023-09-30T00:00:00"/>
    <s v="Chị Nga - HCL"/>
    <x v="2"/>
    <n v="62000"/>
    <n v="0.13449023861171369"/>
    <n v="30"/>
    <n v="0.2"/>
    <n v="2023"/>
    <n v="9"/>
    <x v="5"/>
  </r>
  <r>
    <n v="236"/>
    <s v="TBTE20002"/>
    <x v="33"/>
    <s v="Hộp"/>
    <n v="178500"/>
    <n v="0"/>
    <n v="12"/>
    <n v="216000"/>
    <n v="216000"/>
    <d v="2023-09-30T00:00:00"/>
    <s v="Chị Nga - HCL"/>
    <x v="2"/>
    <n v="37500"/>
    <n v="0.1736111111111111"/>
    <n v="12"/>
    <n v="0"/>
    <n v="2023"/>
    <n v="9"/>
    <x v="5"/>
  </r>
  <r>
    <n v="237"/>
    <s v="NRC38001"/>
    <x v="106"/>
    <s v="Bình"/>
    <n v="90000"/>
    <n v="1"/>
    <n v="3"/>
    <n v="180000"/>
    <n v="180000"/>
    <d v="2023-09-30T00:00:00"/>
    <s v="Tuyết Lan - B.H.Tây"/>
    <x v="1"/>
    <n v="90000"/>
    <n v="0.5"/>
    <n v="4"/>
    <n v="0.25"/>
    <n v="2023"/>
    <n v="9"/>
    <x v="1"/>
  </r>
  <r>
    <n v="238"/>
    <s v="GC109"/>
    <x v="107"/>
    <s v="Cây"/>
    <n v="186500"/>
    <n v="1"/>
    <n v="5"/>
    <n v="195000"/>
    <n v="195000"/>
    <d v="2023-09-30T00:00:00"/>
    <s v="TT Kim Thoa - M.Long"/>
    <x v="2"/>
    <n v="8500"/>
    <n v="4.3589743589743588E-2"/>
    <n v="6"/>
    <n v="0.16666666666666671"/>
    <n v="2023"/>
    <n v="9"/>
    <x v="7"/>
  </r>
  <r>
    <n v="239"/>
    <s v="HTKDR16001"/>
    <x v="108"/>
    <s v="Cây"/>
    <n v="110004"/>
    <n v="0"/>
    <n v="6"/>
    <n v="144000"/>
    <n v="144000"/>
    <d v="2023-09-30T00:00:00"/>
    <s v="TT Kim Thoa - M.Long"/>
    <x v="2"/>
    <n v="33996"/>
    <n v="0.23608333333333331"/>
    <n v="6"/>
    <n v="0"/>
    <n v="2023"/>
    <n v="9"/>
    <x v="2"/>
  </r>
  <r>
    <n v="240"/>
    <s v="KDL01"/>
    <x v="10"/>
    <s v="Cây"/>
    <n v="9828"/>
    <n v="0"/>
    <n v="1"/>
    <n v="11500"/>
    <n v="11500"/>
    <d v="2023-09-30T00:00:00"/>
    <s v="TT Kim Thoa - M.Long"/>
    <x v="2"/>
    <n v="1672"/>
    <n v="0.1453913043478261"/>
    <n v="1"/>
    <n v="0"/>
    <n v="2023"/>
    <n v="9"/>
    <x v="0"/>
  </r>
  <r>
    <n v="241"/>
    <s v="TC301"/>
    <x v="77"/>
    <s v="Hộp"/>
    <n v="220000"/>
    <n v="0"/>
    <n v="20"/>
    <n v="280000"/>
    <n v="280000"/>
    <d v="2023-09-30T00:00:00"/>
    <s v="TT Đông Nguyên - M.Long"/>
    <x v="0"/>
    <n v="60000"/>
    <n v="0.2142857142857143"/>
    <n v="20"/>
    <n v="0"/>
    <n v="2023"/>
    <n v="9"/>
    <x v="1"/>
  </r>
  <r>
    <n v="242"/>
    <s v="GC100"/>
    <x v="109"/>
    <s v="Bao"/>
    <n v="171000"/>
    <n v="0"/>
    <n v="3"/>
    <n v="210000"/>
    <n v="210000"/>
    <d v="2023-09-30T00:00:00"/>
    <s v="Ngọc Như - M.Long"/>
    <x v="0"/>
    <n v="39000"/>
    <n v="0.18571428571428569"/>
    <n v="3"/>
    <n v="0"/>
    <n v="2023"/>
    <n v="9"/>
    <x v="7"/>
  </r>
  <r>
    <n v="243"/>
    <s v="JA2KG"/>
    <x v="40"/>
    <s v="Chai"/>
    <n v="90000"/>
    <n v="0"/>
    <n v="6"/>
    <n v="138000"/>
    <n v="138000"/>
    <d v="2023-09-30T00:00:00"/>
    <s v="Ngọc Như - M.Long"/>
    <x v="0"/>
    <n v="48000"/>
    <n v="0.34782608695652167"/>
    <n v="6"/>
    <n v="0"/>
    <n v="2023"/>
    <n v="9"/>
    <x v="1"/>
  </r>
  <r>
    <n v="244"/>
    <s v="KU80"/>
    <x v="75"/>
    <s v="Gói"/>
    <n v="185000"/>
    <n v="0"/>
    <n v="10"/>
    <n v="260000"/>
    <n v="260000"/>
    <d v="2023-09-30T00:00:00"/>
    <s v="Ngọc Như - M.Long"/>
    <x v="0"/>
    <n v="75000"/>
    <n v="0.28846153846153838"/>
    <n v="10"/>
    <n v="0"/>
    <n v="2023"/>
    <n v="9"/>
    <x v="3"/>
  </r>
  <r>
    <n v="245"/>
    <s v="BCOCEAN"/>
    <x v="110"/>
    <s v="Cây"/>
    <n v="2304000"/>
    <n v="0"/>
    <n v="48"/>
    <n v="1920000"/>
    <n v="1920000"/>
    <d v="2023-09-30T00:00:00"/>
    <s v="MP Nhanh - M.Hiệp"/>
    <x v="0"/>
    <n v="-384000"/>
    <n v="-0.2"/>
    <n v="48"/>
    <n v="0"/>
    <n v="2023"/>
    <n v="9"/>
    <x v="2"/>
  </r>
  <r>
    <n v="247"/>
    <s v="KV1001"/>
    <x v="62"/>
    <s v="Gói"/>
    <n v="225000"/>
    <n v="0"/>
    <n v="30"/>
    <n v="330000"/>
    <n v="330000"/>
    <d v="2023-09-30T00:00:00"/>
    <s v="Tuyết Lài ( Chị Lài) - B.H.Trung"/>
    <x v="1"/>
    <n v="105000"/>
    <n v="0.31818181818181818"/>
    <n v="30"/>
    <n v="0"/>
    <n v="2023"/>
    <n v="9"/>
    <x v="0"/>
  </r>
  <r>
    <n v="249"/>
    <s v="BCTEELEPHAN"/>
    <x v="111"/>
    <s v="Cây"/>
    <n v="540000"/>
    <n v="4"/>
    <n v="12"/>
    <n v="540000"/>
    <n v="540000"/>
    <d v="2023-09-30T00:00:00"/>
    <s v="Thế Giới Con Cưng - HCL"/>
    <x v="2"/>
    <n v="0"/>
    <n v="0"/>
    <n v="16"/>
    <n v="0.25"/>
    <n v="2023"/>
    <n v="9"/>
    <x v="2"/>
  </r>
  <r>
    <n v="250"/>
    <s v="BCTEPANDA"/>
    <x v="112"/>
    <s v="Cây"/>
    <n v="1152000"/>
    <n v="3"/>
    <n v="36"/>
    <n v="1070000"/>
    <n v="1070000"/>
    <d v="2023-09-30T00:00:00"/>
    <s v="Thế Giới Con Cưng - HCL"/>
    <x v="2"/>
    <n v="-82000"/>
    <n v="-7.6635514018691592E-2"/>
    <n v="39"/>
    <n v="7.6923076923076927E-2"/>
    <n v="2023"/>
    <n v="9"/>
    <x v="2"/>
  </r>
  <r>
    <n v="252"/>
    <s v="TBTE20003"/>
    <x v="11"/>
    <s v="Hộp"/>
    <n v="231000"/>
    <n v="2"/>
    <n v="12"/>
    <n v="288000"/>
    <n v="288000"/>
    <d v="2023-09-30T00:00:00"/>
    <s v="Thế Giới Con Cưng - HCL"/>
    <x v="2"/>
    <n v="57000"/>
    <n v="0.19791666666666671"/>
    <n v="14"/>
    <n v="0.14285714285714279"/>
    <n v="2023"/>
    <n v="9"/>
    <x v="5"/>
  </r>
  <r>
    <n v="253"/>
    <s v="NLREDBULL1"/>
    <x v="113"/>
    <s v="Block"/>
    <n v="242000"/>
    <n v="0"/>
    <n v="1"/>
    <n v="247000"/>
    <n v="247000"/>
    <d v="2023-09-30T00:00:00"/>
    <s v="Tuấn Kiệt - M.Long"/>
    <x v="0"/>
    <n v="5000"/>
    <n v="2.0242914979757089E-2"/>
    <n v="1"/>
    <n v="0"/>
    <n v="2023"/>
    <n v="9"/>
    <x v="9"/>
  </r>
  <r>
    <n v="255"/>
    <s v="HTBTE50"/>
    <x v="114"/>
    <s v="Hộp"/>
    <n v="271800"/>
    <n v="0"/>
    <n v="6"/>
    <n v="276000"/>
    <n v="276000"/>
    <d v="2023-10-02T00:00:00"/>
    <s v="TT Đông Nguyên - M.Long"/>
    <x v="0"/>
    <n v="4200"/>
    <n v="1.521739130434783E-2"/>
    <n v="6"/>
    <n v="0"/>
    <n v="2023"/>
    <n v="10"/>
    <x v="8"/>
  </r>
  <r>
    <n v="256"/>
    <s v="HTBTE50"/>
    <x v="114"/>
    <s v="Hộp"/>
    <n v="453000"/>
    <n v="0"/>
    <n v="10"/>
    <n v="460000"/>
    <n v="460000"/>
    <d v="2023-10-02T00:00:00"/>
    <s v="CH sữa tả Quý Ngọc - B.H.Trung"/>
    <x v="2"/>
    <n v="7000"/>
    <n v="1.521739130434783E-2"/>
    <n v="10"/>
    <n v="0"/>
    <n v="2023"/>
    <n v="10"/>
    <x v="8"/>
  </r>
  <r>
    <n v="257"/>
    <s v="HTBTE50"/>
    <x v="114"/>
    <s v="Hộp"/>
    <n v="1087200"/>
    <n v="4"/>
    <n v="24"/>
    <n v="1004000"/>
    <n v="1004000"/>
    <d v="2023-10-02T00:00:00"/>
    <s v="Mẹ &amp; Bé ( Mẹ Yêu Con) - M.Hiệp"/>
    <x v="1"/>
    <n v="-83200"/>
    <n v="-8.2868525896414344E-2"/>
    <n v="28"/>
    <n v="0.14285714285714279"/>
    <n v="2023"/>
    <n v="10"/>
    <x v="8"/>
  </r>
  <r>
    <n v="258"/>
    <s v="KU250"/>
    <x v="13"/>
    <s v="Gói"/>
    <n v="77000"/>
    <n v="0"/>
    <n v="10"/>
    <n v="100000"/>
    <n v="100000"/>
    <d v="2023-10-03T00:00:00"/>
    <s v="Chị Thủy (đồ nhựa) - T.H.Trung"/>
    <x v="1"/>
    <n v="23000"/>
    <n v="0.23"/>
    <n v="10"/>
    <n v="0"/>
    <n v="2023"/>
    <n v="10"/>
    <x v="3"/>
  </r>
  <r>
    <n v="259"/>
    <s v="HM608"/>
    <x v="36"/>
    <s v="Hộp"/>
    <n v="1200000"/>
    <n v="12"/>
    <n v="12"/>
    <n v="1308000"/>
    <n v="1308000"/>
    <d v="2023-10-03T00:00:00"/>
    <s v="Chị Lan - T.H.Trung"/>
    <x v="1"/>
    <n v="108000"/>
    <n v="8.2568807339449546E-2"/>
    <n v="24"/>
    <n v="0.5"/>
    <n v="2023"/>
    <n v="10"/>
    <x v="7"/>
  </r>
  <r>
    <n v="260"/>
    <s v="GC32"/>
    <x v="82"/>
    <s v="Bịch"/>
    <n v="420000"/>
    <n v="2"/>
    <n v="10"/>
    <n v="384000"/>
    <n v="384000"/>
    <d v="2023-10-05T00:00:00"/>
    <s v="Thu Thủy - P.Mỹ (cầu Trâu Trắng)"/>
    <x v="0"/>
    <n v="-36000"/>
    <n v="-9.375E-2"/>
    <n v="12"/>
    <n v="0.16666666666666671"/>
    <n v="2023"/>
    <n v="10"/>
    <x v="7"/>
  </r>
  <r>
    <n v="261"/>
    <s v="KV320"/>
    <x v="8"/>
    <s v="Gói"/>
    <n v="2112000"/>
    <n v="48"/>
    <n v="192"/>
    <n v="2256000"/>
    <n v="2256000"/>
    <d v="2023-10-05T00:00:00"/>
    <s v="Thu Thủy - P.Mỹ (cầu Trâu Trắng)"/>
    <x v="0"/>
    <n v="144000"/>
    <n v="6.3829787234042548E-2"/>
    <n v="240"/>
    <n v="0.2"/>
    <n v="2023"/>
    <n v="10"/>
    <x v="0"/>
  </r>
  <r>
    <n v="263"/>
    <s v="KR1000"/>
    <x v="115"/>
    <s v="Gói"/>
    <n v="412911"/>
    <n v="1"/>
    <n v="9"/>
    <n v="421200"/>
    <n v="421200"/>
    <d v="2023-10-05T00:00:00"/>
    <s v="Hồng Hạnh - P.Mỹ (cầu Trâu Trắng)"/>
    <x v="1"/>
    <n v="8289"/>
    <n v="1.9679487179487181E-2"/>
    <n v="10"/>
    <n v="0.1"/>
    <n v="2023"/>
    <n v="10"/>
    <x v="0"/>
  </r>
  <r>
    <n v="264"/>
    <s v="KTN80"/>
    <x v="116"/>
    <s v="Gói"/>
    <n v="26250"/>
    <n v="0"/>
    <n v="5"/>
    <n v="35000"/>
    <n v="35000"/>
    <d v="2023-10-05T00:00:00"/>
    <s v="TH An ( Lê Đà) - Ngã 4"/>
    <x v="1"/>
    <n v="8750"/>
    <n v="0.25"/>
    <n v="5"/>
    <n v="0"/>
    <n v="2023"/>
    <n v="10"/>
    <x v="4"/>
  </r>
  <r>
    <n v="265"/>
    <s v="KTN801"/>
    <x v="117"/>
    <s v="Gói"/>
    <n v="26250"/>
    <n v="0"/>
    <n v="5"/>
    <n v="35000"/>
    <n v="35000"/>
    <d v="2023-10-05T00:00:00"/>
    <s v="TH An ( Lê Đà) - Ngã 4"/>
    <x v="1"/>
    <n v="8750"/>
    <n v="0.25"/>
    <n v="5"/>
    <n v="0"/>
    <n v="2023"/>
    <n v="10"/>
    <x v="4"/>
  </r>
  <r>
    <n v="266"/>
    <s v="KTN802"/>
    <x v="98"/>
    <s v="Gói"/>
    <n v="26250"/>
    <n v="0"/>
    <n v="5"/>
    <n v="35000"/>
    <n v="35000"/>
    <d v="2023-10-05T00:00:00"/>
    <s v="TH An ( Lê Đà) - Ngã 4"/>
    <x v="1"/>
    <n v="8750"/>
    <n v="0.25"/>
    <n v="5"/>
    <n v="0"/>
    <n v="2023"/>
    <n v="10"/>
    <x v="4"/>
  </r>
  <r>
    <n v="267"/>
    <s v="HTBTE50"/>
    <x v="114"/>
    <s v="Hộp"/>
    <n v="181200"/>
    <n v="1"/>
    <n v="4"/>
    <n v="154000"/>
    <n v="154000"/>
    <d v="2023-10-05T00:00:00"/>
    <s v="Thế giới sữa Tony - T.Nghĩa"/>
    <x v="2"/>
    <n v="-27200"/>
    <n v="-0.1766233766233766"/>
    <n v="5"/>
    <n v="0.2"/>
    <n v="2023"/>
    <n v="10"/>
    <x v="8"/>
  </r>
  <r>
    <n v="268"/>
    <s v="HTBTE501"/>
    <x v="118"/>
    <s v="Hộp"/>
    <n v="181200"/>
    <n v="0"/>
    <n v="4"/>
    <n v="200000"/>
    <n v="200000"/>
    <d v="2023-10-05T00:00:00"/>
    <s v="Thế giới sữa Tony - T.Nghĩa"/>
    <x v="2"/>
    <n v="18800"/>
    <n v="9.4E-2"/>
    <n v="4"/>
    <n v="0"/>
    <n v="2023"/>
    <n v="10"/>
    <x v="8"/>
  </r>
  <r>
    <n v="269"/>
    <s v="HTBTE502"/>
    <x v="119"/>
    <s v="Hộp"/>
    <n v="181200"/>
    <n v="0"/>
    <n v="4"/>
    <n v="200000"/>
    <n v="200000"/>
    <d v="2023-10-05T00:00:00"/>
    <s v="Thế giới sữa Tony - T.Nghĩa"/>
    <x v="2"/>
    <n v="18800"/>
    <n v="9.4E-2"/>
    <n v="4"/>
    <n v="0"/>
    <n v="2023"/>
    <n v="10"/>
    <x v="8"/>
  </r>
  <r>
    <n v="270"/>
    <s v="NLREDBULL1"/>
    <x v="113"/>
    <s v="Block"/>
    <n v="484000"/>
    <n v="0"/>
    <n v="2"/>
    <n v="498000"/>
    <n v="498000"/>
    <d v="2023-10-05T00:00:00"/>
    <s v="Thế giới sữa Tony - T.Nghĩa"/>
    <x v="2"/>
    <n v="14000"/>
    <n v="2.811244979919679E-2"/>
    <n v="2"/>
    <n v="0"/>
    <n v="2023"/>
    <n v="10"/>
    <x v="9"/>
  </r>
  <r>
    <n v="271"/>
    <s v="HTK151"/>
    <x v="120"/>
    <s v="Dây"/>
    <n v="75000"/>
    <n v="0"/>
    <n v="2"/>
    <n v="82000"/>
    <n v="82000"/>
    <d v="2023-10-05T00:00:00"/>
    <s v="Chị Nhung - T.Nghĩa"/>
    <x v="2"/>
    <n v="7000"/>
    <n v="8.5365853658536592E-2"/>
    <n v="2"/>
    <n v="0"/>
    <n v="2023"/>
    <n v="10"/>
    <x v="4"/>
  </r>
  <r>
    <n v="272"/>
    <s v="KTN80"/>
    <x v="116"/>
    <s v="Gói"/>
    <n v="0"/>
    <n v="0"/>
    <n v="0"/>
    <n v="-70000"/>
    <n v="-70000"/>
    <d v="2023-10-05T00:00:00"/>
    <s v="Chị Nhung - T.Nghĩa"/>
    <x v="2"/>
    <n v="-70000"/>
    <n v="1"/>
    <n v="0"/>
    <n v="0"/>
    <n v="2023"/>
    <n v="10"/>
    <x v="4"/>
  </r>
  <r>
    <n v="274"/>
    <s v="KV1001"/>
    <x v="62"/>
    <s v="Gói"/>
    <n v="75000"/>
    <n v="1"/>
    <n v="10"/>
    <n v="110000"/>
    <n v="110000"/>
    <d v="2023-10-05T00:00:00"/>
    <s v="Chị Nhung - T.Nghĩa"/>
    <x v="2"/>
    <n v="35000"/>
    <n v="0.31818181818181818"/>
    <n v="11"/>
    <n v="9.0909090909090912E-2"/>
    <n v="2023"/>
    <n v="10"/>
    <x v="0"/>
  </r>
  <r>
    <n v="275"/>
    <s v="SBOMGROW900"/>
    <x v="84"/>
    <s v="Lon"/>
    <n v="424800"/>
    <n v="0"/>
    <n v="2"/>
    <n v="477600"/>
    <n v="477600"/>
    <d v="2023-10-06T00:00:00"/>
    <s v="TT Hoàng Yến - M.Long"/>
    <x v="2"/>
    <n v="52800"/>
    <n v="0.1105527638190955"/>
    <n v="2"/>
    <n v="0"/>
    <n v="2023"/>
    <n v="10"/>
    <x v="10"/>
  </r>
  <r>
    <n v="276"/>
    <s v="GC32"/>
    <x v="82"/>
    <s v="Bịch"/>
    <n v="420000"/>
    <n v="2"/>
    <n v="10"/>
    <n v="460000"/>
    <n v="460000"/>
    <d v="2023-10-06T00:00:00"/>
    <s v="Trúc Ly - Ba Sao"/>
    <x v="1"/>
    <n v="40000"/>
    <n v="8.6956521739130432E-2"/>
    <n v="12"/>
    <n v="0.16666666666666671"/>
    <n v="2023"/>
    <n v="10"/>
    <x v="7"/>
  </r>
  <r>
    <n v="277"/>
    <s v="TC50"/>
    <x v="121"/>
    <s v="Gói"/>
    <n v="138000"/>
    <n v="0"/>
    <n v="12"/>
    <n v="168000"/>
    <n v="168000"/>
    <d v="2023-10-06T00:00:00"/>
    <s v="TT Ngọc Cát Tường - N.V.Tiếp"/>
    <x v="1"/>
    <n v="30000"/>
    <n v="0.1785714285714286"/>
    <n v="12"/>
    <n v="0"/>
    <n v="2023"/>
    <n v="10"/>
    <x v="1"/>
  </r>
  <r>
    <n v="278"/>
    <s v="HTBTE50"/>
    <x v="114"/>
    <s v="Hộp"/>
    <n v="181200"/>
    <n v="0"/>
    <n v="4"/>
    <n v="184000"/>
    <n v="184000"/>
    <d v="2023-10-07T00:00:00"/>
    <s v="Mỹ Hạnh - HCL"/>
    <x v="2"/>
    <n v="2800"/>
    <n v="1.521739130434783E-2"/>
    <n v="4"/>
    <n v="0"/>
    <n v="2023"/>
    <n v="10"/>
    <x v="8"/>
  </r>
  <r>
    <n v="279"/>
    <s v="HTBTE501"/>
    <x v="118"/>
    <s v="Hộp"/>
    <n v="181200"/>
    <n v="0"/>
    <n v="4"/>
    <n v="184000"/>
    <n v="184000"/>
    <d v="2023-10-07T00:00:00"/>
    <s v="Mỹ Hạnh - HCL"/>
    <x v="2"/>
    <n v="2800"/>
    <n v="1.521739130434783E-2"/>
    <n v="4"/>
    <n v="0"/>
    <n v="2023"/>
    <n v="10"/>
    <x v="8"/>
  </r>
  <r>
    <n v="280"/>
    <s v="HTBTE502"/>
    <x v="119"/>
    <s v="Hộp"/>
    <n v="45300"/>
    <n v="0"/>
    <n v="1"/>
    <n v="46000"/>
    <n v="46000"/>
    <d v="2023-10-07T00:00:00"/>
    <s v="Mỹ Hạnh - HCL"/>
    <x v="2"/>
    <n v="700"/>
    <n v="1.521739130434783E-2"/>
    <n v="1"/>
    <n v="0"/>
    <n v="2023"/>
    <n v="10"/>
    <x v="8"/>
  </r>
  <r>
    <n v="281"/>
    <s v="KV100"/>
    <x v="0"/>
    <s v="Gói"/>
    <n v="345600"/>
    <n v="4"/>
    <n v="48"/>
    <n v="536000"/>
    <n v="536000"/>
    <d v="2023-10-07T00:00:00"/>
    <s v="Chị Nga - HCL"/>
    <x v="2"/>
    <n v="190400"/>
    <n v="0.35522388059701487"/>
    <n v="52"/>
    <n v="7.6923076923076927E-2"/>
    <n v="2023"/>
    <n v="10"/>
    <x v="0"/>
  </r>
  <r>
    <n v="282"/>
    <s v="KV100"/>
    <x v="0"/>
    <s v="Gói"/>
    <n v="345600"/>
    <n v="0"/>
    <n v="48"/>
    <n v="518400"/>
    <n v="518400"/>
    <d v="2023-10-07T00:00:00"/>
    <s v="Xuân Bình - M.Hiệp"/>
    <x v="0"/>
    <n v="172800"/>
    <n v="0.33333333333333331"/>
    <n v="48"/>
    <n v="0"/>
    <n v="2023"/>
    <n v="10"/>
    <x v="0"/>
  </r>
  <r>
    <n v="283"/>
    <s v="TB20001"/>
    <x v="105"/>
    <s v="Hộp"/>
    <n v="199500"/>
    <n v="2"/>
    <n v="12"/>
    <n v="288000"/>
    <n v="288000"/>
    <d v="2023-10-07T00:00:00"/>
    <s v="TT Ngọc Hạnh - Đ.Mối"/>
    <x v="2"/>
    <n v="88500"/>
    <n v="0.30729166666666669"/>
    <n v="14"/>
    <n v="0.14285714285714279"/>
    <n v="2023"/>
    <n v="10"/>
    <x v="5"/>
  </r>
  <r>
    <n v="284"/>
    <s v="TB20002"/>
    <x v="32"/>
    <s v="Hộp"/>
    <n v="194256"/>
    <n v="2"/>
    <n v="12"/>
    <n v="240000"/>
    <n v="240000"/>
    <d v="2023-10-07T00:00:00"/>
    <s v="TT Ngọc Hạnh - Đ.Mối"/>
    <x v="2"/>
    <n v="45744"/>
    <n v="0.19059999999999999"/>
    <n v="14"/>
    <n v="0.14285714285714279"/>
    <n v="2023"/>
    <n v="10"/>
    <x v="5"/>
  </r>
  <r>
    <n v="285"/>
    <s v="TBTE20003"/>
    <x v="11"/>
    <s v="Hộp"/>
    <n v="231000"/>
    <n v="2"/>
    <n v="12"/>
    <n v="288000"/>
    <n v="288000"/>
    <d v="2023-10-07T00:00:00"/>
    <s v="TT Ngọc Hạnh - Đ.Mối"/>
    <x v="2"/>
    <n v="57000"/>
    <n v="0.19791666666666671"/>
    <n v="14"/>
    <n v="0.14285714285714279"/>
    <n v="2023"/>
    <n v="10"/>
    <x v="5"/>
  </r>
  <r>
    <n v="286"/>
    <s v="GC106"/>
    <x v="66"/>
    <s v="Cây"/>
    <n v="180000"/>
    <n v="0"/>
    <n v="10"/>
    <n v="220000"/>
    <n v="220000"/>
    <d v="2023-10-07T00:00:00"/>
    <s v="Chị Thắm (Hồng Thắm) - B.H.Tây"/>
    <x v="0"/>
    <n v="40000"/>
    <n v="0.1818181818181818"/>
    <n v="10"/>
    <n v="0"/>
    <n v="2023"/>
    <n v="10"/>
    <x v="7"/>
  </r>
  <r>
    <n v="287"/>
    <s v="NGT3600"/>
    <x v="101"/>
    <s v="Túi"/>
    <n v="148000"/>
    <n v="0"/>
    <n v="2"/>
    <n v="270000"/>
    <n v="270000"/>
    <d v="2023-10-07T00:00:00"/>
    <s v="Chị Thắm (Hồng Thắm) - B.H.Tây"/>
    <x v="0"/>
    <n v="122000"/>
    <n v="0.45185185185185178"/>
    <n v="2"/>
    <n v="0"/>
    <n v="2023"/>
    <n v="10"/>
    <x v="1"/>
  </r>
  <r>
    <n v="288"/>
    <s v="NGT36001"/>
    <x v="102"/>
    <s v="Túi"/>
    <n v="148000"/>
    <n v="1"/>
    <n v="2"/>
    <n v="162000"/>
    <n v="162000"/>
    <d v="2023-10-07T00:00:00"/>
    <s v="Chị Thắm (Hồng Thắm) - B.H.Tây"/>
    <x v="0"/>
    <n v="14000"/>
    <n v="8.6419753086419748E-2"/>
    <n v="3"/>
    <n v="0.33333333333333331"/>
    <n v="2023"/>
    <n v="10"/>
    <x v="1"/>
  </r>
  <r>
    <n v="290"/>
    <s v="NG3600"/>
    <x v="2"/>
    <s v="Bình"/>
    <n v="730000"/>
    <n v="0"/>
    <n v="8"/>
    <n v="960000"/>
    <n v="960000"/>
    <d v="2023-10-07T00:00:00"/>
    <s v="Mỹ Nhân - N.Mỹ"/>
    <x v="2"/>
    <n v="230000"/>
    <n v="0.23958333333333329"/>
    <n v="8"/>
    <n v="0"/>
    <n v="2023"/>
    <n v="10"/>
    <x v="1"/>
  </r>
  <r>
    <n v="291"/>
    <s v="KR1001"/>
    <x v="122"/>
    <s v="Gói"/>
    <n v="480000"/>
    <n v="2"/>
    <n v="10"/>
    <n v="434000"/>
    <n v="434000"/>
    <d v="2023-10-07T00:00:00"/>
    <s v="Thanh Nhã - M.Long"/>
    <x v="4"/>
    <n v="-46000"/>
    <n v="-0.10599078341013821"/>
    <n v="12"/>
    <n v="0.16666666666666671"/>
    <n v="2023"/>
    <n v="10"/>
    <x v="0"/>
  </r>
  <r>
    <n v="292"/>
    <s v="GC605"/>
    <x v="28"/>
    <s v="Cây"/>
    <n v="580000"/>
    <n v="2"/>
    <n v="20"/>
    <n v="709000"/>
    <n v="709000"/>
    <d v="2023-10-07T00:00:00"/>
    <s v="TH Trinh (Mỹ Trinh) - HCL (cuối chợ)"/>
    <x v="0"/>
    <n v="129000"/>
    <n v="0.18194640338504939"/>
    <n v="22"/>
    <n v="9.0909090909090912E-2"/>
    <n v="2023"/>
    <n v="10"/>
    <x v="7"/>
  </r>
  <r>
    <n v="293"/>
    <s v="HTF3000"/>
    <x v="17"/>
    <s v="Bình"/>
    <n v="340000"/>
    <n v="0"/>
    <n v="4"/>
    <n v="520000"/>
    <n v="520000"/>
    <d v="2023-10-07T00:00:00"/>
    <s v="TH Trương Vy - A.Bình 2"/>
    <x v="1"/>
    <n v="180000"/>
    <n v="0.34615384615384609"/>
    <n v="4"/>
    <n v="0"/>
    <n v="2023"/>
    <n v="10"/>
    <x v="1"/>
  </r>
  <r>
    <n v="294"/>
    <s v="BCN189"/>
    <x v="87"/>
    <s v="Cây"/>
    <n v="144000"/>
    <n v="0"/>
    <n v="30"/>
    <n v="210000"/>
    <n v="210000"/>
    <d v="2023-10-07T00:00:00"/>
    <s v="Trường An - Đ.Mối"/>
    <x v="1"/>
    <n v="66000"/>
    <n v="0.31428571428571428"/>
    <n v="30"/>
    <n v="0"/>
    <n v="2023"/>
    <n v="10"/>
    <x v="2"/>
  </r>
  <r>
    <n v="295"/>
    <s v="KU80"/>
    <x v="75"/>
    <s v="Gói"/>
    <n v="222000"/>
    <n v="3"/>
    <n v="12"/>
    <n v="288000"/>
    <n v="288000"/>
    <d v="2023-10-07T00:00:00"/>
    <s v="Trường An - Đ.Mối"/>
    <x v="1"/>
    <n v="66000"/>
    <n v="0.22916666666666671"/>
    <n v="15"/>
    <n v="0.2"/>
    <n v="2023"/>
    <n v="10"/>
    <x v="3"/>
  </r>
  <r>
    <n v="296"/>
    <s v="KB01"/>
    <x v="123"/>
    <s v="Cây"/>
    <n v="48000"/>
    <n v="0"/>
    <n v="6"/>
    <n v="51000"/>
    <n v="51000"/>
    <d v="2023-10-07T00:00:00"/>
    <s v="TT Kim Dung - M.Hiệp"/>
    <x v="0"/>
    <n v="3000"/>
    <n v="5.8823529411764712E-2"/>
    <n v="6"/>
    <n v="0"/>
    <n v="2023"/>
    <n v="10"/>
    <x v="0"/>
  </r>
  <r>
    <n v="299"/>
    <s v="KU801"/>
    <x v="38"/>
    <s v="Gói"/>
    <n v="40000"/>
    <n v="0"/>
    <n v="10"/>
    <n v="70000"/>
    <n v="70000"/>
    <d v="2023-10-07T00:00:00"/>
    <s v="TT Kim Dung - M.Hiệp"/>
    <x v="0"/>
    <n v="30000"/>
    <n v="0.42857142857142849"/>
    <n v="10"/>
    <n v="0"/>
    <n v="2023"/>
    <n v="10"/>
    <x v="3"/>
  </r>
  <r>
    <n v="300"/>
    <s v="BCTE005"/>
    <x v="124"/>
    <s v="Cây"/>
    <n v="120000"/>
    <n v="0"/>
    <n v="12"/>
    <n v="168000"/>
    <n v="168000"/>
    <d v="2023-10-07T00:00:00"/>
    <s v="Thế Giới Con Cưng - HCL"/>
    <x v="2"/>
    <n v="48000"/>
    <n v="0.2857142857142857"/>
    <n v="12"/>
    <n v="0"/>
    <n v="2023"/>
    <n v="10"/>
    <x v="2"/>
  </r>
  <r>
    <n v="301"/>
    <s v="HTBTE50"/>
    <x v="114"/>
    <s v="Hộp"/>
    <n v="362400"/>
    <n v="3"/>
    <n v="8"/>
    <n v="400000"/>
    <n v="400000"/>
    <d v="2023-10-07T00:00:00"/>
    <s v="Thế Giới Con Cưng - HCL"/>
    <x v="2"/>
    <n v="37600"/>
    <n v="9.4E-2"/>
    <n v="11"/>
    <n v="0.27272727272727271"/>
    <n v="2023"/>
    <n v="10"/>
    <x v="8"/>
  </r>
  <r>
    <n v="302"/>
    <s v="HTBTE501"/>
    <x v="118"/>
    <s v="Hộp"/>
    <n v="362400"/>
    <n v="0"/>
    <n v="8"/>
    <n v="267000"/>
    <n v="267000"/>
    <d v="2023-10-07T00:00:00"/>
    <s v="Thế Giới Con Cưng - HCL"/>
    <x v="2"/>
    <n v="-95400"/>
    <n v="-0.35730337078651692"/>
    <n v="8"/>
    <n v="0"/>
    <n v="2023"/>
    <n v="10"/>
    <x v="8"/>
  </r>
  <r>
    <n v="303"/>
    <s v="HTBTE502"/>
    <x v="119"/>
    <s v="Hộp"/>
    <n v="362400"/>
    <n v="0"/>
    <n v="8"/>
    <n v="400000"/>
    <n v="400000"/>
    <d v="2023-10-07T00:00:00"/>
    <s v="Thế Giới Con Cưng - HCL"/>
    <x v="2"/>
    <n v="37600"/>
    <n v="9.4E-2"/>
    <n v="8"/>
    <n v="0"/>
    <n v="2023"/>
    <n v="10"/>
    <x v="8"/>
  </r>
  <r>
    <n v="304"/>
    <s v="KDR001"/>
    <x v="125"/>
    <s v="Bộ"/>
    <n v="279996"/>
    <n v="2"/>
    <n v="12"/>
    <n v="288000"/>
    <n v="288000"/>
    <d v="2023-10-07T00:00:00"/>
    <s v="Thế Giới Con Cưng - HCL"/>
    <x v="2"/>
    <n v="8004"/>
    <n v="2.7791666666666669E-2"/>
    <n v="14"/>
    <n v="0.14285714285714279"/>
    <n v="2023"/>
    <n v="10"/>
    <x v="2"/>
  </r>
  <r>
    <n v="305"/>
    <s v="KKDN300"/>
    <x v="14"/>
    <s v="Gói"/>
    <n v="1069200"/>
    <n v="3"/>
    <n v="27"/>
    <n v="1070000"/>
    <n v="1070000"/>
    <d v="2023-10-07T00:00:00"/>
    <s v="Thế Giới Con Cưng - HCL"/>
    <x v="2"/>
    <n v="800"/>
    <n v="7.4766355140186912E-4"/>
    <n v="30"/>
    <n v="0.1"/>
    <n v="2023"/>
    <n v="10"/>
    <x v="0"/>
  </r>
  <r>
    <n v="308"/>
    <s v="HM608"/>
    <x v="36"/>
    <s v="Hộp"/>
    <n v="300000"/>
    <n v="3"/>
    <n v="3"/>
    <n v="327000"/>
    <n v="327000"/>
    <d v="2023-10-07T00:00:00"/>
    <s v="Cô 7 - X.Quýt"/>
    <x v="1"/>
    <n v="27000"/>
    <n v="8.2568807339449546E-2"/>
    <n v="6"/>
    <n v="0.5"/>
    <n v="2023"/>
    <n v="10"/>
    <x v="7"/>
  </r>
  <r>
    <n v="309"/>
    <s v="KV1007"/>
    <x v="39"/>
    <s v="Gói"/>
    <n v="270000"/>
    <n v="0"/>
    <n v="40"/>
    <n v="320000"/>
    <n v="320000"/>
    <d v="2023-10-07T00:00:00"/>
    <s v="Chị Thùy - X.Quýt"/>
    <x v="1"/>
    <n v="50000"/>
    <n v="0.15625"/>
    <n v="40"/>
    <n v="0"/>
    <n v="2023"/>
    <n v="10"/>
    <x v="0"/>
  </r>
  <r>
    <n v="310"/>
    <s v="KR1000"/>
    <x v="115"/>
    <s v="Gói"/>
    <n v="1835160"/>
    <n v="5"/>
    <n v="40"/>
    <n v="1849000"/>
    <n v="1849000"/>
    <d v="2023-10-13T00:00:00"/>
    <s v="Thanh Trang - HCL"/>
    <x v="2"/>
    <n v="13840"/>
    <n v="7.4851270957274202E-3"/>
    <n v="45"/>
    <n v="0.1111111111111111"/>
    <n v="2023"/>
    <n v="10"/>
    <x v="0"/>
  </r>
  <r>
    <n v="311"/>
    <s v="HTBTE30"/>
    <x v="126"/>
    <s v="Hộp"/>
    <n v="633600"/>
    <n v="0"/>
    <n v="12"/>
    <n v="720000"/>
    <n v="720000"/>
    <d v="2023-10-13T00:00:00"/>
    <s v="TT Minh Phương - T.H.Trung"/>
    <x v="1"/>
    <n v="86400"/>
    <n v="0.12"/>
    <n v="12"/>
    <n v="0"/>
    <n v="2023"/>
    <n v="10"/>
    <x v="8"/>
  </r>
  <r>
    <n v="312"/>
    <s v="HTBTE301"/>
    <x v="127"/>
    <s v="Hộp"/>
    <n v="633600"/>
    <n v="3"/>
    <n v="12"/>
    <n v="560000"/>
    <n v="560000"/>
    <d v="2023-10-13T00:00:00"/>
    <s v="TT Minh Phương - T.H.Trung"/>
    <x v="1"/>
    <n v="-73600"/>
    <n v="-0.13142857142857139"/>
    <n v="15"/>
    <n v="0.2"/>
    <n v="2023"/>
    <n v="10"/>
    <x v="8"/>
  </r>
  <r>
    <n v="313"/>
    <s v="HTBTE50"/>
    <x v="114"/>
    <s v="Hộp"/>
    <n v="362400"/>
    <n v="3"/>
    <n v="8"/>
    <n v="267000"/>
    <n v="267000"/>
    <d v="2023-10-13T00:00:00"/>
    <s v="TT Minh Phương - T.H.Trung"/>
    <x v="1"/>
    <n v="-95400"/>
    <n v="-0.35730337078651692"/>
    <n v="11"/>
    <n v="0.27272727272727271"/>
    <n v="2023"/>
    <n v="10"/>
    <x v="8"/>
  </r>
  <r>
    <n v="314"/>
    <s v="HTBTE501"/>
    <x v="118"/>
    <s v="Hộp"/>
    <n v="362400"/>
    <n v="0"/>
    <n v="8"/>
    <n v="400000"/>
    <n v="400000"/>
    <d v="2023-10-13T00:00:00"/>
    <s v="TT Minh Phương - T.H.Trung"/>
    <x v="1"/>
    <n v="37600"/>
    <n v="9.4E-2"/>
    <n v="8"/>
    <n v="0"/>
    <n v="2023"/>
    <n v="10"/>
    <x v="8"/>
  </r>
  <r>
    <n v="315"/>
    <s v="HTBTE502"/>
    <x v="119"/>
    <s v="Hộp"/>
    <n v="362400"/>
    <n v="0"/>
    <n v="8"/>
    <n v="400000"/>
    <n v="400000"/>
    <d v="2023-10-13T00:00:00"/>
    <s v="TT Minh Phương - T.H.Trung"/>
    <x v="1"/>
    <n v="37600"/>
    <n v="9.4E-2"/>
    <n v="8"/>
    <n v="0"/>
    <n v="2023"/>
    <n v="10"/>
    <x v="8"/>
  </r>
  <r>
    <n v="317"/>
    <s v="KU50001"/>
    <x v="128"/>
    <s v="Gói"/>
    <n v="300000"/>
    <n v="0"/>
    <n v="20"/>
    <n v="540000"/>
    <n v="540000"/>
    <d v="2023-10-13T00:00:00"/>
    <s v="5 Phụng - T.Nghĩa"/>
    <x v="2"/>
    <n v="240000"/>
    <n v="0.44444444444444442"/>
    <n v="20"/>
    <n v="0"/>
    <n v="2023"/>
    <n v="10"/>
    <x v="3"/>
  </r>
  <r>
    <n v="318"/>
    <s v="CG50"/>
    <x v="18"/>
    <s v="Cái"/>
    <n v="82500"/>
    <n v="0"/>
    <n v="15"/>
    <n v="97500"/>
    <n v="97500"/>
    <d v="2023-10-13T00:00:00"/>
    <s v="An Nhiên - T.Nghĩa"/>
    <x v="2"/>
    <n v="15000"/>
    <n v="0.15384615384615391"/>
    <n v="15"/>
    <n v="0"/>
    <n v="2023"/>
    <n v="10"/>
    <x v="4"/>
  </r>
  <r>
    <n v="319"/>
    <s v="CG501"/>
    <x v="19"/>
    <s v="Cái"/>
    <n v="82500"/>
    <n v="0"/>
    <n v="15"/>
    <n v="97500"/>
    <n v="97500"/>
    <d v="2023-10-13T00:00:00"/>
    <s v="An Nhiên - T.Nghĩa"/>
    <x v="2"/>
    <n v="15000"/>
    <n v="0.15384615384615391"/>
    <n v="15"/>
    <n v="0"/>
    <n v="2023"/>
    <n v="10"/>
    <x v="4"/>
  </r>
  <r>
    <n v="320"/>
    <s v="HTBD12"/>
    <x v="93"/>
    <s v="Hộp"/>
    <n v="42084"/>
    <n v="0"/>
    <n v="1"/>
    <n v="48000"/>
    <n v="48000"/>
    <d v="2023-10-13T00:00:00"/>
    <s v="An Nhiên - T.Nghĩa"/>
    <x v="2"/>
    <n v="5916"/>
    <n v="0.12325"/>
    <n v="1"/>
    <n v="0"/>
    <n v="2023"/>
    <n v="10"/>
    <x v="8"/>
  </r>
  <r>
    <n v="321"/>
    <s v="HTBD121"/>
    <x v="94"/>
    <s v="Hộp"/>
    <n v="42084"/>
    <n v="0"/>
    <n v="1"/>
    <n v="48000"/>
    <n v="48000"/>
    <d v="2023-10-13T00:00:00"/>
    <s v="An Nhiên - T.Nghĩa"/>
    <x v="2"/>
    <n v="5916"/>
    <n v="0.12325"/>
    <n v="1"/>
    <n v="0"/>
    <n v="2023"/>
    <n v="10"/>
    <x v="8"/>
  </r>
  <r>
    <n v="322"/>
    <s v="HTBD12"/>
    <x v="93"/>
    <s v="Hộp"/>
    <n v="42084"/>
    <n v="0"/>
    <n v="1"/>
    <n v="48000"/>
    <n v="48000"/>
    <d v="2023-10-13T00:00:00"/>
    <s v="Ngọc Thắm - T.Nghĩa"/>
    <x v="2"/>
    <n v="5916"/>
    <n v="0.12325"/>
    <n v="1"/>
    <n v="0"/>
    <n v="2023"/>
    <n v="10"/>
    <x v="8"/>
  </r>
  <r>
    <n v="323"/>
    <s v="HTBD121"/>
    <x v="94"/>
    <s v="Hộp"/>
    <n v="42084"/>
    <n v="0"/>
    <n v="1"/>
    <n v="48000"/>
    <n v="48000"/>
    <d v="2023-10-13T00:00:00"/>
    <s v="Ngọc Thắm - T.Nghĩa"/>
    <x v="2"/>
    <n v="5916"/>
    <n v="0.12325"/>
    <n v="1"/>
    <n v="0"/>
    <n v="2023"/>
    <n v="10"/>
    <x v="8"/>
  </r>
  <r>
    <n v="324"/>
    <s v="JA500G"/>
    <x v="56"/>
    <s v="Chai"/>
    <n v="90000"/>
    <n v="2"/>
    <n v="24"/>
    <n v="168000"/>
    <n v="168000"/>
    <d v="2023-10-13T00:00:00"/>
    <s v="Ngọc Thắm - T.Nghĩa"/>
    <x v="2"/>
    <n v="78000"/>
    <n v="0.4642857142857143"/>
    <n v="26"/>
    <n v="7.6923076923076927E-2"/>
    <n v="2023"/>
    <n v="10"/>
    <x v="1"/>
  </r>
  <r>
    <n v="325"/>
    <s v="KTN80"/>
    <x v="116"/>
    <s v="Gói"/>
    <n v="36750"/>
    <n v="0"/>
    <n v="7"/>
    <n v="49000"/>
    <n v="49000"/>
    <d v="2023-10-13T00:00:00"/>
    <s v="Ngọc Thắm - T.Nghĩa"/>
    <x v="2"/>
    <n v="12250"/>
    <n v="0.25"/>
    <n v="7"/>
    <n v="0"/>
    <n v="2023"/>
    <n v="10"/>
    <x v="4"/>
  </r>
  <r>
    <n v="326"/>
    <s v="KTN801"/>
    <x v="117"/>
    <s v="Gói"/>
    <n v="36750"/>
    <n v="0"/>
    <n v="7"/>
    <n v="49000"/>
    <n v="49000"/>
    <d v="2023-10-13T00:00:00"/>
    <s v="Ngọc Thắm - T.Nghĩa"/>
    <x v="2"/>
    <n v="12250"/>
    <n v="0.25"/>
    <n v="7"/>
    <n v="0"/>
    <n v="2023"/>
    <n v="10"/>
    <x v="4"/>
  </r>
  <r>
    <n v="327"/>
    <s v="KTN802"/>
    <x v="98"/>
    <s v="Gói"/>
    <n v="31500"/>
    <n v="0"/>
    <n v="6"/>
    <n v="42000"/>
    <n v="42000"/>
    <d v="2023-10-13T00:00:00"/>
    <s v="Ngọc Thắm - T.Nghĩa"/>
    <x v="2"/>
    <n v="10500"/>
    <n v="0.25"/>
    <n v="6"/>
    <n v="0"/>
    <n v="2023"/>
    <n v="10"/>
    <x v="4"/>
  </r>
  <r>
    <n v="328"/>
    <s v="NGT2000"/>
    <x v="129"/>
    <s v="Túi"/>
    <n v="116000"/>
    <n v="0"/>
    <n v="2"/>
    <n v="150000"/>
    <n v="150000"/>
    <d v="2023-10-13T00:00:00"/>
    <s v="Ngọc Thắm - T.Nghĩa"/>
    <x v="2"/>
    <n v="34000"/>
    <n v="0.22666666666666671"/>
    <n v="2"/>
    <n v="0"/>
    <n v="2023"/>
    <n v="10"/>
    <x v="1"/>
  </r>
  <r>
    <n v="329"/>
    <s v="NGT2001"/>
    <x v="130"/>
    <s v="Túi"/>
    <n v="116000"/>
    <n v="0"/>
    <n v="2"/>
    <n v="150000"/>
    <n v="150000"/>
    <d v="2023-10-13T00:00:00"/>
    <s v="Ngọc Thắm - T.Nghĩa"/>
    <x v="2"/>
    <n v="34000"/>
    <n v="0.22666666666666671"/>
    <n v="2"/>
    <n v="0"/>
    <n v="2023"/>
    <n v="10"/>
    <x v="1"/>
  </r>
  <r>
    <n v="330"/>
    <s v="NGT2002"/>
    <x v="131"/>
    <s v="Túi"/>
    <n v="58000"/>
    <n v="0"/>
    <n v="1"/>
    <n v="75000"/>
    <n v="75000"/>
    <d v="2023-10-13T00:00:00"/>
    <s v="Ngọc Thắm - T.Nghĩa"/>
    <x v="2"/>
    <n v="17000"/>
    <n v="0.22666666666666671"/>
    <n v="1"/>
    <n v="0"/>
    <n v="2023"/>
    <n v="10"/>
    <x v="1"/>
  </r>
  <r>
    <n v="331"/>
    <s v="NGT2003"/>
    <x v="132"/>
    <s v="Túi"/>
    <n v="58000"/>
    <n v="0"/>
    <n v="1"/>
    <n v="75000"/>
    <n v="75000"/>
    <d v="2023-10-13T00:00:00"/>
    <s v="Ngọc Thắm - T.Nghĩa"/>
    <x v="2"/>
    <n v="17000"/>
    <n v="0.22666666666666671"/>
    <n v="1"/>
    <n v="0"/>
    <n v="2023"/>
    <n v="10"/>
    <x v="1"/>
  </r>
  <r>
    <n v="333"/>
    <s v="NRC400"/>
    <x v="92"/>
    <s v="Chai"/>
    <n v="190176"/>
    <n v="0"/>
    <n v="24"/>
    <n v="276000"/>
    <n v="276000"/>
    <d v="2023-10-13T00:00:00"/>
    <s v="Ngọc Thắm - T.Nghĩa"/>
    <x v="2"/>
    <n v="85824"/>
    <n v="0.31095652173913041"/>
    <n v="24"/>
    <n v="0"/>
    <n v="2023"/>
    <n v="10"/>
    <x v="1"/>
  </r>
  <r>
    <n v="334"/>
    <s v="NRC750"/>
    <x v="133"/>
    <s v="Chai"/>
    <n v="212384"/>
    <n v="0"/>
    <n v="16"/>
    <n v="304000"/>
    <n v="304000"/>
    <d v="2023-10-13T00:00:00"/>
    <s v="Ngọc Thắm - T.Nghĩa"/>
    <x v="2"/>
    <n v="91616"/>
    <n v="0.30136842105263162"/>
    <n v="16"/>
    <n v="0"/>
    <n v="2023"/>
    <n v="10"/>
    <x v="1"/>
  </r>
  <r>
    <n v="335"/>
    <s v="GC100"/>
    <x v="109"/>
    <s v="Bao"/>
    <n v="57000"/>
    <n v="0"/>
    <n v="1"/>
    <n v="75000"/>
    <n v="75000"/>
    <d v="2023-10-13T00:00:00"/>
    <s v="Thu Trang - T.Nghĩa"/>
    <x v="1"/>
    <n v="18000"/>
    <n v="0.24"/>
    <n v="1"/>
    <n v="0"/>
    <n v="2023"/>
    <n v="10"/>
    <x v="7"/>
  </r>
  <r>
    <n v="336"/>
    <s v="KV100"/>
    <x v="0"/>
    <s v="Gói"/>
    <n v="345600"/>
    <n v="4"/>
    <n v="48"/>
    <n v="536000"/>
    <n v="536000"/>
    <d v="2023-10-14T00:00:00"/>
    <s v="Chị Linh (bán bọc) - HCL"/>
    <x v="0"/>
    <n v="190400"/>
    <n v="0.35522388059701487"/>
    <n v="52"/>
    <n v="7.6923076923076927E-2"/>
    <n v="2023"/>
    <n v="10"/>
    <x v="0"/>
  </r>
  <r>
    <n v="338"/>
    <s v="KV1009"/>
    <x v="46"/>
    <s v="Gói"/>
    <n v="288000"/>
    <n v="0"/>
    <n v="48"/>
    <n v="360000"/>
    <n v="360000"/>
    <d v="2023-10-14T00:00:00"/>
    <s v="Chị Đào - T.H.Trung"/>
    <x v="0"/>
    <n v="72000"/>
    <n v="0.2"/>
    <n v="48"/>
    <n v="0"/>
    <n v="2023"/>
    <n v="10"/>
    <x v="0"/>
  </r>
  <r>
    <n v="339"/>
    <s v="GC613"/>
    <x v="134"/>
    <s v="Cây"/>
    <n v="155004"/>
    <n v="0"/>
    <n v="6"/>
    <n v="222000"/>
    <n v="222000"/>
    <d v="2023-10-14T00:00:00"/>
    <s v="Uốn tóc Kim Phụng - M.Trắng"/>
    <x v="1"/>
    <n v="66996"/>
    <n v="0.30178378378378379"/>
    <n v="6"/>
    <n v="0"/>
    <n v="2023"/>
    <n v="10"/>
    <x v="7"/>
  </r>
  <r>
    <n v="341"/>
    <s v="NG3600"/>
    <x v="2"/>
    <s v="Bình"/>
    <n v="1460000"/>
    <n v="0"/>
    <n v="16"/>
    <n v="1840000"/>
    <n v="1840000"/>
    <d v="2023-10-14T00:00:00"/>
    <s v="Bé Bắp - N.Mỹ"/>
    <x v="1"/>
    <n v="380000"/>
    <n v="0.20652173913043481"/>
    <n v="16"/>
    <n v="0"/>
    <n v="2023"/>
    <n v="10"/>
    <x v="1"/>
  </r>
  <r>
    <n v="342"/>
    <s v="NG36002"/>
    <x v="73"/>
    <s v="Bình"/>
    <n v="365000"/>
    <n v="0"/>
    <n v="4"/>
    <n v="460000"/>
    <n v="460000"/>
    <d v="2023-10-14T00:00:00"/>
    <s v="Bé Bắp - N.Mỹ"/>
    <x v="1"/>
    <n v="95000"/>
    <n v="0.20652173913043481"/>
    <n v="4"/>
    <n v="0"/>
    <n v="2023"/>
    <n v="10"/>
    <x v="1"/>
  </r>
  <r>
    <n v="343"/>
    <s v="NG36002"/>
    <x v="73"/>
    <s v="Bình"/>
    <n v="365000"/>
    <n v="2"/>
    <n v="4"/>
    <n v="520000"/>
    <n v="520000"/>
    <d v="2023-10-14T00:00:00"/>
    <s v="6 Trạng - M.Trắng"/>
    <x v="1"/>
    <n v="155000"/>
    <n v="0.29807692307692307"/>
    <n v="6"/>
    <n v="0.33333333333333331"/>
    <n v="2023"/>
    <n v="10"/>
    <x v="1"/>
  </r>
  <r>
    <n v="344"/>
    <s v="NGT2000"/>
    <x v="129"/>
    <s v="Túi"/>
    <n v="290000"/>
    <n v="1"/>
    <n v="5"/>
    <n v="375000"/>
    <n v="375000"/>
    <d v="2023-10-14T00:00:00"/>
    <s v="6 Trạng - M.Trắng"/>
    <x v="1"/>
    <n v="85000"/>
    <n v="0.22666666666666671"/>
    <n v="6"/>
    <n v="0.16666666666666671"/>
    <n v="2023"/>
    <n v="10"/>
    <x v="1"/>
  </r>
  <r>
    <n v="345"/>
    <s v="GC106"/>
    <x v="66"/>
    <s v="Cây"/>
    <n v="180000"/>
    <n v="0"/>
    <n v="10"/>
    <n v="200000"/>
    <n v="200000"/>
    <d v="2023-10-14T00:00:00"/>
    <s v="Hiệp Hòa (dì Hồng) - HCL"/>
    <x v="1"/>
    <n v="20000"/>
    <n v="0.1"/>
    <n v="10"/>
    <n v="0"/>
    <n v="2023"/>
    <n v="10"/>
    <x v="7"/>
  </r>
  <r>
    <n v="346"/>
    <s v="DCTD708"/>
    <x v="12"/>
    <s v="Vỉ"/>
    <n v="211200"/>
    <n v="1"/>
    <n v="8"/>
    <n v="256000"/>
    <n v="256000"/>
    <d v="2023-10-14T00:00:00"/>
    <s v="TH Bình Minh - M.Trắng"/>
    <x v="1"/>
    <n v="44800"/>
    <n v="0.17499999999999999"/>
    <n v="9"/>
    <n v="0.1111111111111111"/>
    <n v="2023"/>
    <n v="10"/>
    <x v="2"/>
  </r>
  <r>
    <n v="347"/>
    <s v="GC606"/>
    <x v="83"/>
    <s v="Cây"/>
    <n v="310008"/>
    <n v="0"/>
    <n v="12"/>
    <n v="444000"/>
    <n v="444000"/>
    <d v="2023-10-14T00:00:00"/>
    <s v="TH Bình Minh - M.Trắng"/>
    <x v="1"/>
    <n v="133992"/>
    <n v="0.30178378378378379"/>
    <n v="12"/>
    <n v="0"/>
    <n v="2023"/>
    <n v="10"/>
    <x v="7"/>
  </r>
  <r>
    <n v="350"/>
    <s v="KU2501"/>
    <x v="135"/>
    <s v="Gói"/>
    <n v="230000"/>
    <n v="5"/>
    <n v="20"/>
    <n v="352000"/>
    <n v="352000"/>
    <d v="2023-10-14T00:00:00"/>
    <s v="TH Bình Minh - M.Trắng"/>
    <x v="1"/>
    <n v="122000"/>
    <n v="0.34659090909090912"/>
    <n v="25"/>
    <n v="0.2"/>
    <n v="2023"/>
    <n v="10"/>
    <x v="3"/>
  </r>
  <r>
    <n v="351"/>
    <s v="LK500"/>
    <x v="136"/>
    <s v="Chai"/>
    <n v="348000"/>
    <n v="1"/>
    <n v="24"/>
    <n v="415000"/>
    <n v="415000"/>
    <d v="2023-10-14T00:00:00"/>
    <s v="TH Bình Minh - M.Trắng"/>
    <x v="1"/>
    <n v="67000"/>
    <n v="0.16144578313253011"/>
    <n v="25"/>
    <n v="0.04"/>
    <n v="2023"/>
    <n v="10"/>
    <x v="1"/>
  </r>
  <r>
    <n v="352"/>
    <s v="HTBTE30"/>
    <x v="126"/>
    <s v="Hộp"/>
    <n v="1267200"/>
    <n v="2"/>
    <n v="24"/>
    <n v="1301200"/>
    <n v="1301200"/>
    <d v="2023-10-14T00:00:00"/>
    <s v="Mẹ &amp; Bé (Hồng Nhung) - M.Long"/>
    <x v="1"/>
    <n v="34000"/>
    <n v="2.6129726406394101E-2"/>
    <n v="26"/>
    <n v="7.6923076923076927E-2"/>
    <n v="2023"/>
    <n v="10"/>
    <x v="8"/>
  </r>
  <r>
    <n v="353"/>
    <s v="HTBTE301"/>
    <x v="127"/>
    <s v="Hộp"/>
    <n v="1267200"/>
    <n v="2"/>
    <n v="24"/>
    <n v="1301200"/>
    <n v="1301200"/>
    <d v="2023-10-14T00:00:00"/>
    <s v="Mẹ &amp; Bé (Hồng Nhung) - M.Long"/>
    <x v="1"/>
    <n v="34000"/>
    <n v="2.6129726406394101E-2"/>
    <n v="26"/>
    <n v="7.6923076923076927E-2"/>
    <n v="2023"/>
    <n v="10"/>
    <x v="8"/>
  </r>
  <r>
    <n v="354"/>
    <s v="HTBTE50"/>
    <x v="114"/>
    <s v="Hộp"/>
    <n v="2174400"/>
    <n v="8"/>
    <n v="48"/>
    <n v="2008000"/>
    <n v="2008000"/>
    <d v="2023-10-14T00:00:00"/>
    <s v="Mẹ &amp; Bé (Hồng Nhung) - M.Long"/>
    <x v="1"/>
    <n v="-166400"/>
    <n v="-8.2868525896414344E-2"/>
    <n v="56"/>
    <n v="0.14285714285714279"/>
    <n v="2023"/>
    <n v="10"/>
    <x v="8"/>
  </r>
  <r>
    <n v="355"/>
    <s v="HTBTE501"/>
    <x v="118"/>
    <s v="Hộp"/>
    <n v="2174400"/>
    <n v="8"/>
    <n v="48"/>
    <n v="2008000"/>
    <n v="2008000"/>
    <d v="2023-10-14T00:00:00"/>
    <s v="Mẹ &amp; Bé (Hồng Nhung) - M.Long"/>
    <x v="1"/>
    <n v="-166400"/>
    <n v="-8.2868525896414344E-2"/>
    <n v="56"/>
    <n v="0.14285714285714279"/>
    <n v="2023"/>
    <n v="10"/>
    <x v="8"/>
  </r>
  <r>
    <n v="356"/>
    <s v="HTBTE502"/>
    <x v="119"/>
    <s v="Hộp"/>
    <n v="2174400"/>
    <n v="8"/>
    <n v="48"/>
    <n v="2008000"/>
    <n v="2008000"/>
    <d v="2023-10-14T00:00:00"/>
    <s v="Mẹ &amp; Bé (Hồng Nhung) - M.Long"/>
    <x v="1"/>
    <n v="-166400"/>
    <n v="-8.2868525896414344E-2"/>
    <n v="56"/>
    <n v="0.14285714285714279"/>
    <n v="2023"/>
    <n v="10"/>
    <x v="8"/>
  </r>
  <r>
    <n v="359"/>
    <s v="NV103"/>
    <x v="137"/>
    <s v="Hộp"/>
    <n v="240000"/>
    <n v="0"/>
    <n v="1"/>
    <n v="240000"/>
    <n v="240000"/>
    <d v="2023-10-14T00:00:00"/>
    <s v="Thế Giới Con Cưng - HCL"/>
    <x v="2"/>
    <n v="0"/>
    <n v="0"/>
    <n v="1"/>
    <n v="0"/>
    <n v="2023"/>
    <n v="10"/>
    <x v="6"/>
  </r>
  <r>
    <n v="360"/>
    <s v="TNS1"/>
    <x v="24"/>
    <s v="Chai"/>
    <n v="190008"/>
    <n v="0"/>
    <n v="12"/>
    <n v="312000"/>
    <n v="312000"/>
    <d v="2023-10-14T00:00:00"/>
    <s v="9 Tiến - M.Trắng"/>
    <x v="1"/>
    <n v="121992"/>
    <n v="0.39100000000000001"/>
    <n v="12"/>
    <n v="0"/>
    <n v="2023"/>
    <n v="10"/>
    <x v="1"/>
  </r>
  <r>
    <n v="361"/>
    <s v="GC101"/>
    <x v="138"/>
    <s v="Cây"/>
    <n v="110000"/>
    <n v="0"/>
    <n v="10"/>
    <n v="170000"/>
    <n v="170000"/>
    <d v="2023-10-14T00:00:00"/>
    <s v="4 Xinh - M.Trắng"/>
    <x v="1"/>
    <n v="60000"/>
    <n v="0.35294117647058831"/>
    <n v="10"/>
    <n v="0"/>
    <n v="2023"/>
    <n v="10"/>
    <x v="7"/>
  </r>
  <r>
    <n v="362"/>
    <s v="GC606"/>
    <x v="83"/>
    <s v="Cây"/>
    <n v="310008"/>
    <n v="0"/>
    <n v="12"/>
    <n v="384000"/>
    <n v="384000"/>
    <d v="2023-10-14T00:00:00"/>
    <s v="4 Xinh - M.Trắng"/>
    <x v="1"/>
    <n v="73992"/>
    <n v="0.19268750000000001"/>
    <n v="12"/>
    <n v="0"/>
    <n v="2023"/>
    <n v="10"/>
    <x v="7"/>
  </r>
  <r>
    <n v="363"/>
    <s v="KV320"/>
    <x v="8"/>
    <s v="Gói"/>
    <n v="528000"/>
    <n v="0"/>
    <n v="48"/>
    <n v="480000"/>
    <n v="480000"/>
    <d v="2023-10-14T00:00:00"/>
    <s v="4 Xinh - M.Trắng"/>
    <x v="1"/>
    <n v="-48000"/>
    <n v="-0.1"/>
    <n v="48"/>
    <n v="0"/>
    <n v="2023"/>
    <n v="10"/>
    <x v="0"/>
  </r>
  <r>
    <n v="364"/>
    <s v="BCTENEKO1"/>
    <x v="139"/>
    <s v="Cây"/>
    <n v="500000"/>
    <n v="4"/>
    <n v="10"/>
    <n v="358000"/>
    <n v="358000"/>
    <d v="2023-10-14T00:00:00"/>
    <s v="Mẹ &amp; Bé ( Mẹ Yêu Con) - M.Hiệp"/>
    <x v="1"/>
    <n v="-142000"/>
    <n v="-0.39664804469273751"/>
    <n v="14"/>
    <n v="0.2857142857142857"/>
    <n v="2023"/>
    <n v="10"/>
    <x v="2"/>
  </r>
  <r>
    <n v="365"/>
    <s v="XM6007"/>
    <x v="69"/>
    <s v="Chai"/>
    <n v="540000"/>
    <n v="0"/>
    <n v="30"/>
    <n v="630000"/>
    <n v="630000"/>
    <d v="2023-10-14T00:00:00"/>
    <s v="Tuấn Kiệt - M.Long"/>
    <x v="0"/>
    <n v="90000"/>
    <n v="0.14285714285714279"/>
    <n v="30"/>
    <n v="0"/>
    <n v="2023"/>
    <n v="10"/>
    <x v="1"/>
  </r>
  <r>
    <n v="366"/>
    <s v="HM610"/>
    <x v="37"/>
    <s v="Hộp"/>
    <n v="600000"/>
    <n v="6"/>
    <n v="6"/>
    <n v="654000"/>
    <n v="654000"/>
    <d v="2023-10-14T00:00:00"/>
    <s v="TH Ngân (chị Ngân) - T.H.Trung"/>
    <x v="2"/>
    <n v="54000"/>
    <n v="8.2568807339449546E-2"/>
    <n v="12"/>
    <n v="0.5"/>
    <n v="2023"/>
    <n v="10"/>
    <x v="7"/>
  </r>
  <r>
    <n v="367"/>
    <s v="HM608"/>
    <x v="36"/>
    <s v="Hộp"/>
    <n v="400000"/>
    <n v="0"/>
    <n v="4"/>
    <n v="540000"/>
    <n v="540000"/>
    <d v="2023-10-17T00:00:00"/>
    <s v="TH Trương Vy - A.Bình 2"/>
    <x v="1"/>
    <n v="140000"/>
    <n v="0.25925925925925919"/>
    <n v="4"/>
    <n v="0"/>
    <n v="2023"/>
    <n v="10"/>
    <x v="7"/>
  </r>
  <r>
    <n v="368"/>
    <s v="KV1002"/>
    <x v="3"/>
    <s v="Gói"/>
    <n v="1296000"/>
    <n v="0"/>
    <n v="180"/>
    <n v="1692000"/>
    <n v="1692000"/>
    <d v="2023-10-20T00:00:00"/>
    <s v="Căn tin BV Phổi( Chị Duyên) - BV phổi"/>
    <x v="0"/>
    <n v="396000"/>
    <n v="0.23404255319148939"/>
    <n v="180"/>
    <n v="0"/>
    <n v="2023"/>
    <n v="10"/>
    <x v="0"/>
  </r>
  <r>
    <n v="369"/>
    <s v="GC10"/>
    <x v="140"/>
    <s v="Dây"/>
    <n v="130000"/>
    <n v="0"/>
    <n v="5"/>
    <n v="120000"/>
    <n v="120000"/>
    <d v="2023-10-20T00:00:00"/>
    <s v="MP Út Tuyền - B.Sao"/>
    <x v="2"/>
    <n v="-10000"/>
    <n v="-8.3333333333333329E-2"/>
    <n v="5"/>
    <n v="0"/>
    <n v="2023"/>
    <n v="10"/>
    <x v="7"/>
  </r>
  <r>
    <n v="370"/>
    <s v="GC1023"/>
    <x v="141"/>
    <s v="Dây"/>
    <n v="122500"/>
    <n v="0"/>
    <n v="5"/>
    <n v="120000"/>
    <n v="120000"/>
    <d v="2023-10-20T00:00:00"/>
    <s v="MP Út Tuyền - B.Sao"/>
    <x v="2"/>
    <n v="-2500"/>
    <n v="-2.0833333333333329E-2"/>
    <n v="5"/>
    <n v="0"/>
    <n v="2023"/>
    <n v="10"/>
    <x v="7"/>
  </r>
  <r>
    <n v="371"/>
    <s v="GC603"/>
    <x v="74"/>
    <s v="Cây"/>
    <n v="150000"/>
    <n v="0"/>
    <n v="6"/>
    <n v="222000"/>
    <n v="222000"/>
    <d v="2023-10-20T00:00:00"/>
    <s v="MP Út Tuyền - B.Sao"/>
    <x v="2"/>
    <n v="72000"/>
    <n v="0.32432432432432429"/>
    <n v="6"/>
    <n v="0"/>
    <n v="2023"/>
    <n v="10"/>
    <x v="7"/>
  </r>
  <r>
    <n v="372"/>
    <s v="GC606"/>
    <x v="83"/>
    <s v="Cây"/>
    <n v="155004"/>
    <n v="1"/>
    <n v="6"/>
    <n v="191000"/>
    <n v="191000"/>
    <d v="2023-10-20T00:00:00"/>
    <s v="MP Út Tuyền - B.Sao"/>
    <x v="2"/>
    <n v="35996"/>
    <n v="0.18846073298429319"/>
    <n v="7"/>
    <n v="0.14285714285714279"/>
    <n v="2023"/>
    <n v="10"/>
    <x v="7"/>
  </r>
  <r>
    <n v="373"/>
    <s v="KU250"/>
    <x v="13"/>
    <s v="Gói"/>
    <n v="231000"/>
    <n v="0"/>
    <n v="30"/>
    <n v="300000"/>
    <n v="300000"/>
    <d v="2023-10-20T00:00:00"/>
    <s v="MP Út Tuyền - B.Sao"/>
    <x v="2"/>
    <n v="69000"/>
    <n v="0.23"/>
    <n v="30"/>
    <n v="0"/>
    <n v="2023"/>
    <n v="10"/>
    <x v="3"/>
  </r>
  <r>
    <n v="374"/>
    <s v="KU801"/>
    <x v="38"/>
    <s v="Gói"/>
    <n v="120000"/>
    <n v="0"/>
    <n v="30"/>
    <n v="180000"/>
    <n v="180000"/>
    <d v="2023-10-21T00:00:00"/>
    <s v="Cô Triết - T.H.Trung"/>
    <x v="1"/>
    <n v="60000"/>
    <n v="0.33333333333333331"/>
    <n v="30"/>
    <n v="0"/>
    <n v="2023"/>
    <n v="10"/>
    <x v="3"/>
  </r>
  <r>
    <n v="375"/>
    <s v="KV100"/>
    <x v="0"/>
    <s v="Gói"/>
    <n v="172800"/>
    <n v="0"/>
    <n v="24"/>
    <n v="288000"/>
    <n v="288000"/>
    <d v="2023-10-21T00:00:00"/>
    <s v="Cô Triết - T.H.Trung"/>
    <x v="1"/>
    <n v="115200"/>
    <n v="0.4"/>
    <n v="24"/>
    <n v="0"/>
    <n v="2023"/>
    <n v="10"/>
    <x v="0"/>
  </r>
  <r>
    <n v="377"/>
    <s v="GC600"/>
    <x v="142"/>
    <s v="Cuộn"/>
    <n v="210000"/>
    <n v="0"/>
    <n v="10"/>
    <n v="320000"/>
    <n v="320000"/>
    <d v="2023-10-21T00:00:00"/>
    <s v="Tuyết Lan - B.H.Tây"/>
    <x v="1"/>
    <n v="110000"/>
    <n v="0.34375"/>
    <n v="10"/>
    <n v="0"/>
    <n v="2023"/>
    <n v="10"/>
    <x v="7"/>
  </r>
  <r>
    <n v="378"/>
    <s v="NRC38001"/>
    <x v="106"/>
    <s v="Bình"/>
    <n v="0"/>
    <n v="0"/>
    <n v="0"/>
    <n v="-180000"/>
    <n v="-180000"/>
    <d v="2023-10-21T00:00:00"/>
    <s v="Tuyết Lan - B.H.Tây"/>
    <x v="1"/>
    <n v="-180000"/>
    <n v="1"/>
    <n v="0"/>
    <n v="0"/>
    <n v="2023"/>
    <n v="10"/>
    <x v="1"/>
  </r>
  <r>
    <n v="379"/>
    <s v="KTN2001"/>
    <x v="143"/>
    <s v="Gói"/>
    <n v="61000"/>
    <n v="0"/>
    <n v="5"/>
    <n v="65000"/>
    <n v="65000"/>
    <d v="2023-10-21T00:00:00"/>
    <s v="TT Kim Thoa - M.Long"/>
    <x v="2"/>
    <n v="4000"/>
    <n v="6.1538461538461542E-2"/>
    <n v="5"/>
    <n v="0"/>
    <n v="2023"/>
    <n v="10"/>
    <x v="4"/>
  </r>
  <r>
    <n v="380"/>
    <s v="KTN2002"/>
    <x v="144"/>
    <s v="Gói"/>
    <n v="73200"/>
    <n v="0"/>
    <n v="6"/>
    <n v="78000"/>
    <n v="78000"/>
    <d v="2023-10-21T00:00:00"/>
    <s v="TT Kim Thoa - M.Long"/>
    <x v="2"/>
    <n v="4800"/>
    <n v="6.1538461538461542E-2"/>
    <n v="6"/>
    <n v="0"/>
    <n v="2023"/>
    <n v="10"/>
    <x v="4"/>
  </r>
  <r>
    <n v="381"/>
    <s v="KTN2003"/>
    <x v="145"/>
    <s v="Gói"/>
    <n v="61000"/>
    <n v="0"/>
    <n v="5"/>
    <n v="65000"/>
    <n v="65000"/>
    <d v="2023-10-21T00:00:00"/>
    <s v="TT Kim Thoa - M.Long"/>
    <x v="2"/>
    <n v="4000"/>
    <n v="6.1538461538461542E-2"/>
    <n v="5"/>
    <n v="0"/>
    <n v="2023"/>
    <n v="10"/>
    <x v="4"/>
  </r>
  <r>
    <n v="382"/>
    <s v="KTN2004"/>
    <x v="146"/>
    <s v="Gói"/>
    <n v="61000"/>
    <n v="0"/>
    <n v="5"/>
    <n v="65000"/>
    <n v="65000"/>
    <d v="2023-10-21T00:00:00"/>
    <s v="TT Kim Thoa - M.Long"/>
    <x v="2"/>
    <n v="4000"/>
    <n v="6.1538461538461542E-2"/>
    <n v="5"/>
    <n v="0"/>
    <n v="2023"/>
    <n v="10"/>
    <x v="4"/>
  </r>
  <r>
    <n v="383"/>
    <s v="A1K15"/>
    <x v="9"/>
    <s v="Hộp"/>
    <n v="362268"/>
    <n v="0"/>
    <n v="6"/>
    <n v="312000"/>
    <n v="312000"/>
    <d v="2023-10-21T00:00:00"/>
    <s v="TT Ngọc Trinh - B.H.Trung"/>
    <x v="2"/>
    <n v="-50268"/>
    <n v="-0.1611153846153846"/>
    <n v="6"/>
    <n v="0"/>
    <n v="2023"/>
    <n v="10"/>
    <x v="4"/>
  </r>
  <r>
    <n v="384"/>
    <s v="KV100"/>
    <x v="0"/>
    <s v="Gói"/>
    <n v="345600"/>
    <n v="0"/>
    <n v="48"/>
    <n v="518400"/>
    <n v="518400"/>
    <d v="2023-10-21T00:00:00"/>
    <s v="Xuân Bình - M.Hiệp"/>
    <x v="0"/>
    <n v="172800"/>
    <n v="0.33333333333333331"/>
    <n v="48"/>
    <n v="0"/>
    <n v="2023"/>
    <n v="10"/>
    <x v="0"/>
  </r>
  <r>
    <n v="385"/>
    <s v="KV320"/>
    <x v="8"/>
    <s v="Gói"/>
    <n v="1056000"/>
    <n v="0"/>
    <n v="96"/>
    <n v="960000"/>
    <n v="960000"/>
    <d v="2023-10-21T00:00:00"/>
    <s v="Xuân Bình - M.Hiệp"/>
    <x v="0"/>
    <n v="-96000"/>
    <n v="-0.1"/>
    <n v="96"/>
    <n v="0"/>
    <n v="2023"/>
    <n v="10"/>
    <x v="0"/>
  </r>
  <r>
    <n v="386"/>
    <s v="TLM"/>
    <x v="1"/>
    <s v="Chai"/>
    <n v="320016"/>
    <n v="0"/>
    <n v="24"/>
    <n v="440016"/>
    <n v="440016"/>
    <d v="2023-10-21T00:00:00"/>
    <s v="Xuân Bình - M.Hiệp"/>
    <x v="0"/>
    <n v="120000"/>
    <n v="0.27271735573251882"/>
    <n v="24"/>
    <n v="0"/>
    <n v="2023"/>
    <n v="10"/>
    <x v="1"/>
  </r>
  <r>
    <n v="387"/>
    <s v="KU801"/>
    <x v="38"/>
    <s v="Gói"/>
    <n v="200000"/>
    <n v="0"/>
    <n v="50"/>
    <n v="300000"/>
    <n v="300000"/>
    <d v="2023-10-21T00:00:00"/>
    <s v="TT Đông Nguyên - M.Long"/>
    <x v="0"/>
    <n v="100000"/>
    <n v="0.33333333333333331"/>
    <n v="50"/>
    <n v="0"/>
    <n v="2023"/>
    <n v="10"/>
    <x v="3"/>
  </r>
  <r>
    <n v="389"/>
    <s v="HM608"/>
    <x v="36"/>
    <s v="Hộp"/>
    <n v="300000"/>
    <n v="0"/>
    <n v="3"/>
    <n v="654000"/>
    <n v="654000"/>
    <d v="2023-10-21T00:00:00"/>
    <s v="TT Nguyễn Thị Định - M.Xương"/>
    <x v="2"/>
    <n v="354000"/>
    <n v="0.54128440366972475"/>
    <n v="3"/>
    <n v="0"/>
    <n v="2023"/>
    <n v="10"/>
    <x v="7"/>
  </r>
  <r>
    <n v="390"/>
    <s v="KV1001"/>
    <x v="62"/>
    <s v="Gói"/>
    <n v="225000"/>
    <n v="8"/>
    <n v="30"/>
    <n v="261000"/>
    <n v="261000"/>
    <d v="2023-10-21T00:00:00"/>
    <s v="TT Nguyễn Thị Định - M.Xương"/>
    <x v="2"/>
    <n v="36000"/>
    <n v="0.13793103448275859"/>
    <n v="38"/>
    <n v="0.2105263157894737"/>
    <n v="2023"/>
    <n v="10"/>
    <x v="0"/>
  </r>
  <r>
    <n v="392"/>
    <s v="NG36002"/>
    <x v="73"/>
    <s v="Bình"/>
    <n v="182500"/>
    <n v="0"/>
    <n v="2"/>
    <n v="390000"/>
    <n v="390000"/>
    <d v="2023-10-21T00:00:00"/>
    <s v="TT Nguyễn Thị Định - M.Xương"/>
    <x v="2"/>
    <n v="207500"/>
    <n v="0.53205128205128205"/>
    <n v="2"/>
    <n v="0"/>
    <n v="2023"/>
    <n v="10"/>
    <x v="1"/>
  </r>
  <r>
    <n v="393"/>
    <s v="KDR002"/>
    <x v="147"/>
    <s v="Hộp"/>
    <n v="79998"/>
    <n v="1"/>
    <n v="6"/>
    <n v="83000"/>
    <n v="83000"/>
    <d v="2023-10-21T00:00:00"/>
    <s v="TT Kim Dung - M.Hiệp"/>
    <x v="0"/>
    <n v="3002"/>
    <n v="3.6168674698795179E-2"/>
    <n v="7"/>
    <n v="0.14285714285714279"/>
    <n v="2023"/>
    <n v="10"/>
    <x v="2"/>
  </r>
  <r>
    <n v="394"/>
    <s v="KDR003"/>
    <x v="148"/>
    <s v="Hộp"/>
    <n v="79998"/>
    <n v="1"/>
    <n v="6"/>
    <n v="83000"/>
    <n v="83000"/>
    <d v="2023-10-21T00:00:00"/>
    <s v="TT Kim Dung - M.Hiệp"/>
    <x v="0"/>
    <n v="3002"/>
    <n v="3.6168674698795179E-2"/>
    <n v="7"/>
    <n v="0.14285714285714279"/>
    <n v="2023"/>
    <n v="10"/>
    <x v="2"/>
  </r>
  <r>
    <n v="395"/>
    <s v="KV1002"/>
    <x v="3"/>
    <s v="Gói"/>
    <n v="216000"/>
    <n v="3"/>
    <n v="30"/>
    <n v="300000"/>
    <n v="300000"/>
    <d v="2023-10-21T00:00:00"/>
    <s v="TT Kim Dung - M.Hiệp"/>
    <x v="0"/>
    <n v="84000"/>
    <n v="0.28000000000000003"/>
    <n v="33"/>
    <n v="9.0909090909090912E-2"/>
    <n v="2023"/>
    <n v="10"/>
    <x v="0"/>
  </r>
  <r>
    <n v="396"/>
    <s v="KV501"/>
    <x v="149"/>
    <s v="Gói"/>
    <n v="37585"/>
    <n v="0"/>
    <n v="5"/>
    <n v="30000"/>
    <n v="30000"/>
    <d v="2023-10-21T00:00:00"/>
    <s v="TT Kim Dung - M.Hiệp"/>
    <x v="0"/>
    <n v="-7585"/>
    <n v="-0.25283333333333341"/>
    <n v="5"/>
    <n v="0"/>
    <n v="2023"/>
    <n v="10"/>
    <x v="0"/>
  </r>
  <r>
    <n v="397"/>
    <s v="KVK300"/>
    <x v="150"/>
    <s v="Gói"/>
    <n v="115000"/>
    <n v="0"/>
    <n v="5"/>
    <n v="165000"/>
    <n v="165000"/>
    <d v="2023-10-21T00:00:00"/>
    <s v="TT Kim Dung - M.Hiệp"/>
    <x v="0"/>
    <n v="50000"/>
    <n v="0.30303030303030298"/>
    <n v="5"/>
    <n v="0"/>
    <n v="2023"/>
    <n v="10"/>
    <x v="0"/>
  </r>
  <r>
    <n v="398"/>
    <s v="GC10"/>
    <x v="140"/>
    <s v="Dây"/>
    <n v="260000"/>
    <n v="0"/>
    <n v="10"/>
    <n v="250000"/>
    <n v="250000"/>
    <d v="2023-10-21T00:00:00"/>
    <s v="Tuyết Lài ( Chị Lài) - B.H.Trung"/>
    <x v="1"/>
    <n v="-10000"/>
    <n v="-0.04"/>
    <n v="10"/>
    <n v="0"/>
    <n v="2023"/>
    <n v="10"/>
    <x v="7"/>
  </r>
  <r>
    <n v="399"/>
    <s v="HM608"/>
    <x v="36"/>
    <s v="Hộp"/>
    <n v="200000"/>
    <n v="0"/>
    <n v="2"/>
    <n v="260000"/>
    <n v="260000"/>
    <d v="2023-10-21T00:00:00"/>
    <s v="Tuyết Lài ( Chị Lài) - B.H.Trung"/>
    <x v="1"/>
    <n v="60000"/>
    <n v="0.23076923076923081"/>
    <n v="2"/>
    <n v="0"/>
    <n v="2023"/>
    <n v="10"/>
    <x v="7"/>
  </r>
  <r>
    <n v="400"/>
    <s v="KV1001"/>
    <x v="62"/>
    <s v="Gói"/>
    <n v="225000"/>
    <n v="0"/>
    <n v="30"/>
    <n v="330000"/>
    <n v="330000"/>
    <d v="2023-10-21T00:00:00"/>
    <s v="Tuyết Lài ( Chị Lài) - B.H.Trung"/>
    <x v="1"/>
    <n v="105000"/>
    <n v="0.31818181818181818"/>
    <n v="30"/>
    <n v="0"/>
    <n v="2023"/>
    <n v="10"/>
    <x v="0"/>
  </r>
  <r>
    <n v="402"/>
    <s v="TNS1"/>
    <x v="24"/>
    <s v="Chai"/>
    <n v="190008"/>
    <n v="0"/>
    <n v="12"/>
    <n v="312000"/>
    <n v="312000"/>
    <d v="2023-10-21T00:00:00"/>
    <s v="Tuyết Lài ( Chị Lài) - B.H.Trung"/>
    <x v="1"/>
    <n v="121992"/>
    <n v="0.39100000000000001"/>
    <n v="12"/>
    <n v="0"/>
    <n v="2023"/>
    <n v="10"/>
    <x v="1"/>
  </r>
  <r>
    <n v="404"/>
    <s v="HTBTE501"/>
    <x v="118"/>
    <s v="Hộp"/>
    <n v="317100"/>
    <n v="0"/>
    <n v="7"/>
    <n v="343000"/>
    <n v="343000"/>
    <d v="2023-10-21T00:00:00"/>
    <s v="Mẹ &amp; Bé ( Mẹ Yêu Con) - M.Hiệp"/>
    <x v="1"/>
    <n v="25900"/>
    <n v="7.5510204081632656E-2"/>
    <n v="7"/>
    <n v="0"/>
    <n v="2023"/>
    <n v="10"/>
    <x v="8"/>
  </r>
  <r>
    <n v="405"/>
    <s v="HTBTE502"/>
    <x v="119"/>
    <s v="Hộp"/>
    <n v="634200"/>
    <n v="0"/>
    <n v="14"/>
    <n v="686000"/>
    <n v="686000"/>
    <d v="2023-10-21T00:00:00"/>
    <s v="Mẹ &amp; Bé ( Mẹ Yêu Con) - M.Hiệp"/>
    <x v="1"/>
    <n v="51800"/>
    <n v="7.5510204081632656E-2"/>
    <n v="14"/>
    <n v="0"/>
    <n v="2023"/>
    <n v="10"/>
    <x v="8"/>
  </r>
  <r>
    <n v="406"/>
    <s v="BG3500"/>
    <x v="151"/>
    <s v="Gói"/>
    <n v="331520"/>
    <n v="0"/>
    <n v="4"/>
    <n v="408000"/>
    <n v="408000"/>
    <d v="2023-10-21T00:00:00"/>
    <s v="Tuấn Kiệt - M.Long"/>
    <x v="0"/>
    <n v="76480"/>
    <n v="0.18745098039215691"/>
    <n v="4"/>
    <n v="0"/>
    <n v="2023"/>
    <n v="10"/>
    <x v="1"/>
  </r>
  <r>
    <n v="407"/>
    <s v="KU203"/>
    <x v="152"/>
    <s v="Gói"/>
    <n v="50000"/>
    <n v="0"/>
    <n v="20"/>
    <n v="80000"/>
    <n v="80000"/>
    <d v="2023-10-21T00:00:00"/>
    <s v="Tuấn Kiệt - M.Long"/>
    <x v="0"/>
    <n v="30000"/>
    <n v="0.375"/>
    <n v="20"/>
    <n v="0"/>
    <n v="2023"/>
    <n v="10"/>
    <x v="3"/>
  </r>
  <r>
    <n v="408"/>
    <s v="HM610"/>
    <x v="37"/>
    <s v="Hộp"/>
    <n v="600000"/>
    <n v="6"/>
    <n v="6"/>
    <n v="654000"/>
    <n v="654000"/>
    <d v="2023-10-21T00:00:00"/>
    <s v="TH Ngân (chị Ngân) - T.H.Trung"/>
    <x v="2"/>
    <n v="54000"/>
    <n v="8.2568807339449546E-2"/>
    <n v="12"/>
    <n v="0.5"/>
    <n v="2023"/>
    <n v="10"/>
    <x v="7"/>
  </r>
  <r>
    <n v="409"/>
    <s v="KV1009"/>
    <x v="46"/>
    <s v="Gói"/>
    <n v="288000"/>
    <n v="0"/>
    <n v="48"/>
    <n v="360000"/>
    <n v="360000"/>
    <d v="2023-10-21T00:00:00"/>
    <s v="Chị Tuyết - HCL (N.Mỹ)"/>
    <x v="2"/>
    <n v="72000"/>
    <n v="0.2"/>
    <n v="48"/>
    <n v="0"/>
    <n v="2023"/>
    <n v="10"/>
    <x v="0"/>
  </r>
  <r>
    <n v="410"/>
    <s v="KV1011"/>
    <x v="16"/>
    <s v="Gói"/>
    <n v="200010"/>
    <n v="0"/>
    <n v="30"/>
    <n v="225000"/>
    <n v="225000"/>
    <d v="2023-10-21T00:00:00"/>
    <s v="Chị Tuyết - HCL (N.Mỹ)"/>
    <x v="2"/>
    <n v="24990"/>
    <n v="0.1110666666666667"/>
    <n v="30"/>
    <n v="0"/>
    <n v="2023"/>
    <n v="10"/>
    <x v="0"/>
  </r>
  <r>
    <n v="412"/>
    <s v="HM608"/>
    <x v="36"/>
    <s v="Hộp"/>
    <n v="300000"/>
    <n v="0"/>
    <n v="3"/>
    <n v="654000"/>
    <n v="654000"/>
    <d v="2023-10-21T00:00:00"/>
    <s v="Cô 7 - X.Quýt"/>
    <x v="1"/>
    <n v="354000"/>
    <n v="0.54128440366972475"/>
    <n v="3"/>
    <n v="0"/>
    <n v="2023"/>
    <n v="10"/>
    <x v="7"/>
  </r>
  <r>
    <n v="414"/>
    <s v="BT002"/>
    <x v="153"/>
    <s v="Cái"/>
    <n v="693000"/>
    <n v="5"/>
    <n v="44"/>
    <n v="792000"/>
    <n v="792000"/>
    <d v="2023-10-26T00:00:00"/>
    <s v="Thông Thảo - P.Mỹ (QL30)"/>
    <x v="0"/>
    <n v="99000"/>
    <n v="0.125"/>
    <n v="49"/>
    <n v="0.1020408163265306"/>
    <n v="2023"/>
    <n v="10"/>
    <x v="5"/>
  </r>
  <r>
    <n v="415"/>
    <s v="NV102"/>
    <x v="154"/>
    <s v="Hộp"/>
    <n v="240000"/>
    <n v="0"/>
    <n v="1"/>
    <n v="250000"/>
    <n v="250000"/>
    <d v="2023-10-26T00:00:00"/>
    <s v="Hồng Hạnh - P.Mỹ (cầu Trâu Trắng)"/>
    <x v="1"/>
    <n v="10000"/>
    <n v="0.04"/>
    <n v="1"/>
    <n v="0"/>
    <n v="2023"/>
    <n v="10"/>
    <x v="6"/>
  </r>
  <r>
    <n v="416"/>
    <s v="TNS1"/>
    <x v="24"/>
    <s v="Chai"/>
    <n v="950040"/>
    <n v="12"/>
    <n v="60"/>
    <n v="1325000"/>
    <n v="1325000"/>
    <d v="2023-10-26T00:00:00"/>
    <s v="Hồng Hạnh - P.Mỹ (cầu Trâu Trắng)"/>
    <x v="1"/>
    <n v="374960"/>
    <n v="0.28298867924528298"/>
    <n v="72"/>
    <n v="0.16666666666666671"/>
    <n v="2023"/>
    <n v="10"/>
    <x v="1"/>
  </r>
  <r>
    <n v="417"/>
    <s v="CG50"/>
    <x v="18"/>
    <s v="Cái"/>
    <n v="55000"/>
    <n v="0"/>
    <n v="10"/>
    <n v="60000"/>
    <n v="60000"/>
    <d v="2023-10-26T00:00:00"/>
    <s v="Lê Đà - Ngã 4"/>
    <x v="1"/>
    <n v="5000"/>
    <n v="8.3333333333333329E-2"/>
    <n v="10"/>
    <n v="0"/>
    <n v="2023"/>
    <n v="10"/>
    <x v="4"/>
  </r>
  <r>
    <n v="418"/>
    <s v="CG501"/>
    <x v="19"/>
    <s v="Cái"/>
    <n v="110000"/>
    <n v="0"/>
    <n v="20"/>
    <n v="120000"/>
    <n v="120000"/>
    <d v="2023-10-26T00:00:00"/>
    <s v="Lê Đà - Ngã 4"/>
    <x v="1"/>
    <n v="10000"/>
    <n v="8.3333333333333329E-2"/>
    <n v="20"/>
    <n v="0"/>
    <n v="2023"/>
    <n v="10"/>
    <x v="4"/>
  </r>
  <r>
    <n v="419"/>
    <s v="KTN802"/>
    <x v="98"/>
    <s v="Gói"/>
    <n v="52500"/>
    <n v="0"/>
    <n v="10"/>
    <n v="70000"/>
    <n v="70000"/>
    <d v="2023-10-26T00:00:00"/>
    <s v="Lê Đà - Ngã 4"/>
    <x v="1"/>
    <n v="17500"/>
    <n v="0.25"/>
    <n v="10"/>
    <n v="0"/>
    <n v="2023"/>
    <n v="10"/>
    <x v="4"/>
  </r>
  <r>
    <n v="420"/>
    <s v="CG50"/>
    <x v="18"/>
    <s v="Cái"/>
    <n v="165000"/>
    <n v="0"/>
    <n v="30"/>
    <n v="180000"/>
    <n v="180000"/>
    <d v="2023-10-26T00:00:00"/>
    <s v="Thanh Tâm - Ngã 4"/>
    <x v="2"/>
    <n v="15000"/>
    <n v="8.3333333333333329E-2"/>
    <n v="30"/>
    <n v="0"/>
    <n v="2023"/>
    <n v="10"/>
    <x v="4"/>
  </r>
  <r>
    <n v="421"/>
    <s v="CG501"/>
    <x v="19"/>
    <s v="Cái"/>
    <n v="165000"/>
    <n v="0"/>
    <n v="30"/>
    <n v="180000"/>
    <n v="180000"/>
    <d v="2023-10-26T00:00:00"/>
    <s v="Thanh Tâm - Ngã 4"/>
    <x v="2"/>
    <n v="15000"/>
    <n v="8.3333333333333329E-2"/>
    <n v="30"/>
    <n v="0"/>
    <n v="2023"/>
    <n v="10"/>
    <x v="4"/>
  </r>
  <r>
    <n v="422"/>
    <s v="KU250"/>
    <x v="13"/>
    <s v="Gói"/>
    <n v="231000"/>
    <n v="0"/>
    <n v="30"/>
    <n v="300000"/>
    <n v="300000"/>
    <d v="2023-10-26T00:00:00"/>
    <s v="Thanh Tâm - Ngã 4"/>
    <x v="2"/>
    <n v="69000"/>
    <n v="0.23"/>
    <n v="30"/>
    <n v="0"/>
    <n v="2023"/>
    <n v="10"/>
    <x v="3"/>
  </r>
  <r>
    <n v="423"/>
    <s v="KV320"/>
    <x v="8"/>
    <s v="Gói"/>
    <n v="110000"/>
    <n v="0"/>
    <n v="10"/>
    <n v="110000"/>
    <n v="110000"/>
    <d v="2023-10-26T00:00:00"/>
    <s v="Thanh Tâm - Ngã 4"/>
    <x v="2"/>
    <n v="0"/>
    <n v="0"/>
    <n v="10"/>
    <n v="0"/>
    <n v="2023"/>
    <n v="10"/>
    <x v="0"/>
  </r>
  <r>
    <n v="424"/>
    <s v="TNS1"/>
    <x v="24"/>
    <s v="Chai"/>
    <n v="190008"/>
    <n v="0"/>
    <n v="12"/>
    <n v="270000"/>
    <n v="270000"/>
    <d v="2023-10-26T00:00:00"/>
    <s v="Thanh Tâm - Ngã 4"/>
    <x v="2"/>
    <n v="79992"/>
    <n v="0.29626666666666668"/>
    <n v="12"/>
    <n v="0"/>
    <n v="2023"/>
    <n v="10"/>
    <x v="1"/>
  </r>
  <r>
    <n v="426"/>
    <s v="KTN3001"/>
    <x v="41"/>
    <s v="Hộp"/>
    <n v="145000"/>
    <n v="0"/>
    <n v="10"/>
    <n v="140000"/>
    <n v="140000"/>
    <d v="2023-10-26T00:00:00"/>
    <s v="5 Phụng - T.Nghĩa"/>
    <x v="2"/>
    <n v="-5000"/>
    <n v="-3.5714285714285712E-2"/>
    <n v="10"/>
    <n v="0"/>
    <n v="2023"/>
    <n v="10"/>
    <x v="4"/>
  </r>
  <r>
    <n v="427"/>
    <s v="KTN3002"/>
    <x v="42"/>
    <s v="Hộp"/>
    <n v="145000"/>
    <n v="0"/>
    <n v="10"/>
    <n v="140000"/>
    <n v="140000"/>
    <d v="2023-10-26T00:00:00"/>
    <s v="5 Phụng - T.Nghĩa"/>
    <x v="2"/>
    <n v="-5000"/>
    <n v="-3.5714285714285712E-2"/>
    <n v="10"/>
    <n v="0"/>
    <n v="2023"/>
    <n v="10"/>
    <x v="4"/>
  </r>
  <r>
    <n v="428"/>
    <s v="KTN400"/>
    <x v="155"/>
    <s v="Hộp"/>
    <n v="86400"/>
    <n v="0"/>
    <n v="3"/>
    <n v="90000"/>
    <n v="90000"/>
    <d v="2023-10-26T00:00:00"/>
    <s v="5 Phụng - T.Nghĩa"/>
    <x v="2"/>
    <n v="3600"/>
    <n v="0.04"/>
    <n v="3"/>
    <n v="0"/>
    <n v="2023"/>
    <n v="10"/>
    <x v="4"/>
  </r>
  <r>
    <n v="429"/>
    <s v="KTN4001"/>
    <x v="156"/>
    <s v="Hộp"/>
    <n v="86400"/>
    <n v="0"/>
    <n v="3"/>
    <n v="90000"/>
    <n v="90000"/>
    <d v="2023-10-26T00:00:00"/>
    <s v="5 Phụng - T.Nghĩa"/>
    <x v="2"/>
    <n v="3600"/>
    <n v="0.04"/>
    <n v="3"/>
    <n v="0"/>
    <n v="2023"/>
    <n v="10"/>
    <x v="4"/>
  </r>
  <r>
    <n v="430"/>
    <s v="KU1509"/>
    <x v="157"/>
    <s v="Gói"/>
    <n v="540000"/>
    <n v="0"/>
    <n v="60"/>
    <n v="1080000"/>
    <n v="1080000"/>
    <d v="2023-10-26T00:00:00"/>
    <s v="5 Phụng - T.Nghĩa"/>
    <x v="2"/>
    <n v="540000"/>
    <n v="0.5"/>
    <n v="60"/>
    <n v="0"/>
    <n v="2023"/>
    <n v="10"/>
    <x v="3"/>
  </r>
  <r>
    <n v="431"/>
    <s v="KU250"/>
    <x v="13"/>
    <s v="Gói"/>
    <n v="231000"/>
    <n v="0"/>
    <n v="30"/>
    <n v="300000"/>
    <n v="300000"/>
    <d v="2023-10-26T00:00:00"/>
    <s v="Chị Lắm - T.Nghĩa"/>
    <x v="1"/>
    <n v="69000"/>
    <n v="0.23"/>
    <n v="30"/>
    <n v="0"/>
    <n v="2023"/>
    <n v="10"/>
    <x v="3"/>
  </r>
  <r>
    <n v="432"/>
    <s v="HTNM"/>
    <x v="158"/>
    <s v="Hộp"/>
    <n v="90000"/>
    <n v="1"/>
    <n v="12"/>
    <n v="133000"/>
    <n v="133000"/>
    <d v="2023-10-26T00:00:00"/>
    <s v="Ngọc Thắm - T.Nghĩa"/>
    <x v="2"/>
    <n v="43000"/>
    <n v="0.32330827067669171"/>
    <n v="13"/>
    <n v="7.6923076923076927E-2"/>
    <n v="2023"/>
    <n v="10"/>
    <x v="1"/>
  </r>
  <r>
    <n v="433"/>
    <s v="GC10"/>
    <x v="140"/>
    <s v="Dây"/>
    <n v="260000"/>
    <n v="0"/>
    <n v="10"/>
    <n v="240000"/>
    <n v="240000"/>
    <d v="2023-10-27T00:00:00"/>
    <s v="Chị Linh (bán bọc) - HCL"/>
    <x v="0"/>
    <n v="-20000"/>
    <n v="-8.3333333333333329E-2"/>
    <n v="10"/>
    <n v="0"/>
    <n v="2023"/>
    <n v="10"/>
    <x v="7"/>
  </r>
  <r>
    <n v="434"/>
    <s v="GC617"/>
    <x v="67"/>
    <s v="Cây"/>
    <n v="265716"/>
    <n v="0"/>
    <n v="12"/>
    <n v="360000"/>
    <n v="360000"/>
    <d v="2023-10-27T00:00:00"/>
    <s v="5 Hiếu - T.Linh"/>
    <x v="1"/>
    <n v="94284"/>
    <n v="0.26190000000000002"/>
    <n v="12"/>
    <n v="0"/>
    <n v="2023"/>
    <n v="10"/>
    <x v="7"/>
  </r>
  <r>
    <n v="435"/>
    <s v="HTF3000"/>
    <x v="17"/>
    <s v="Bình"/>
    <n v="170000"/>
    <n v="0"/>
    <n v="2"/>
    <n v="240000"/>
    <n v="240000"/>
    <d v="2023-10-27T00:00:00"/>
    <s v="Hồng Loan - P.Trà"/>
    <x v="1"/>
    <n v="70000"/>
    <n v="0.29166666666666669"/>
    <n v="2"/>
    <n v="0"/>
    <n v="2023"/>
    <n v="10"/>
    <x v="1"/>
  </r>
  <r>
    <n v="436"/>
    <s v="HTF30001"/>
    <x v="159"/>
    <s v="Bình"/>
    <n v="170000"/>
    <n v="0"/>
    <n v="2"/>
    <n v="240000"/>
    <n v="240000"/>
    <d v="2023-10-27T00:00:00"/>
    <s v="Hồng Loan - P.Trà"/>
    <x v="1"/>
    <n v="70000"/>
    <n v="0.29166666666666669"/>
    <n v="2"/>
    <n v="0"/>
    <n v="2023"/>
    <n v="10"/>
    <x v="1"/>
  </r>
  <r>
    <n v="437"/>
    <s v="KV100"/>
    <x v="0"/>
    <s v="Gói"/>
    <n v="172800"/>
    <n v="2"/>
    <n v="24"/>
    <n v="268000"/>
    <n v="268000"/>
    <d v="2023-10-27T00:00:00"/>
    <s v="Chị Liên - T.Linh"/>
    <x v="1"/>
    <n v="95200"/>
    <n v="0.35522388059701487"/>
    <n v="26"/>
    <n v="7.6923076923076927E-2"/>
    <n v="2023"/>
    <n v="10"/>
    <x v="0"/>
  </r>
  <r>
    <n v="439"/>
    <s v="KR402"/>
    <x v="160"/>
    <s v="Gói"/>
    <n v="211200"/>
    <n v="2"/>
    <n v="10"/>
    <n v="184000"/>
    <n v="184000"/>
    <d v="2023-10-27T00:00:00"/>
    <s v="Quán Cơm Trâm Anh - T.Linh"/>
    <x v="1"/>
    <n v="-27200"/>
    <n v="-0.14782608695652169"/>
    <n v="12"/>
    <n v="0.16666666666666671"/>
    <n v="2023"/>
    <n v="10"/>
    <x v="0"/>
  </r>
  <r>
    <n v="440"/>
    <s v="HM608"/>
    <x v="36"/>
    <s v="Hộp"/>
    <n v="300000"/>
    <n v="3"/>
    <n v="3"/>
    <n v="327000"/>
    <n v="327000"/>
    <d v="2023-10-28T00:00:00"/>
    <s v="Chị My (căn tin) - BV HCL"/>
    <x v="3"/>
    <n v="27000"/>
    <n v="8.2568807339449546E-2"/>
    <n v="6"/>
    <n v="0.5"/>
    <n v="2023"/>
    <n v="10"/>
    <x v="7"/>
  </r>
  <r>
    <n v="441"/>
    <s v="KV320"/>
    <x v="8"/>
    <s v="Gói"/>
    <n v="528000"/>
    <n v="6"/>
    <n v="48"/>
    <n v="516000"/>
    <n v="516000"/>
    <d v="2023-10-28T00:00:00"/>
    <s v="Chị Nga - HCL"/>
    <x v="2"/>
    <n v="-12000"/>
    <n v="-2.3255813953488368E-2"/>
    <n v="54"/>
    <n v="0.1111111111111111"/>
    <n v="2023"/>
    <n v="10"/>
    <x v="0"/>
  </r>
  <r>
    <n v="442"/>
    <s v="KV1001"/>
    <x v="62"/>
    <s v="Gói"/>
    <n v="225000"/>
    <n v="3"/>
    <n v="30"/>
    <n v="300000"/>
    <n v="300000"/>
    <d v="2023-10-28T00:00:00"/>
    <s v="Chị Xuyên - M.Long"/>
    <x v="2"/>
    <n v="75000"/>
    <n v="0.25"/>
    <n v="33"/>
    <n v="9.0909090909090912E-2"/>
    <n v="2023"/>
    <n v="10"/>
    <x v="0"/>
  </r>
  <r>
    <n v="443"/>
    <s v="A1K15"/>
    <x v="9"/>
    <s v="Hộp"/>
    <n v="120756"/>
    <n v="0"/>
    <n v="2"/>
    <n v="108000"/>
    <n v="108000"/>
    <d v="2023-10-28T00:00:00"/>
    <s v="TT Thu Diễm - T.H.Trung"/>
    <x v="3"/>
    <n v="-12756"/>
    <n v="-0.1181111111111111"/>
    <n v="2"/>
    <n v="0"/>
    <n v="2023"/>
    <n v="10"/>
    <x v="4"/>
  </r>
  <r>
    <n v="444"/>
    <s v="KU250"/>
    <x v="13"/>
    <s v="Gói"/>
    <n v="231000"/>
    <n v="0"/>
    <n v="30"/>
    <n v="300000"/>
    <n v="300000"/>
    <d v="2023-10-28T00:00:00"/>
    <s v="Chị Đào - T.H.Trung"/>
    <x v="0"/>
    <n v="69000"/>
    <n v="0.23"/>
    <n v="30"/>
    <n v="0"/>
    <n v="2023"/>
    <n v="10"/>
    <x v="3"/>
  </r>
  <r>
    <n v="445"/>
    <s v="BCTEM32"/>
    <x v="4"/>
    <s v="Cây"/>
    <n v="46800"/>
    <n v="0"/>
    <n v="6"/>
    <n v="66000"/>
    <n v="66000"/>
    <d v="2023-10-28T00:00:00"/>
    <s v="TT Đông Nguyên - M.Long"/>
    <x v="0"/>
    <n v="19200"/>
    <n v="0.29090909090909089"/>
    <n v="6"/>
    <n v="0"/>
    <n v="2023"/>
    <n v="10"/>
    <x v="2"/>
  </r>
  <r>
    <n v="446"/>
    <s v="BCTEM35"/>
    <x v="5"/>
    <s v="Cây"/>
    <n v="46800"/>
    <n v="0"/>
    <n v="6"/>
    <n v="66000"/>
    <n v="66000"/>
    <d v="2023-10-28T00:00:00"/>
    <s v="TT Đông Nguyên - M.Long"/>
    <x v="0"/>
    <n v="19200"/>
    <n v="0.29090909090909089"/>
    <n v="6"/>
    <n v="0"/>
    <n v="2023"/>
    <n v="10"/>
    <x v="2"/>
  </r>
  <r>
    <n v="447"/>
    <s v="BCTEN36"/>
    <x v="6"/>
    <s v="Cây"/>
    <n v="46800"/>
    <n v="0"/>
    <n v="6"/>
    <n v="66000"/>
    <n v="66000"/>
    <d v="2023-10-28T00:00:00"/>
    <s v="TT Đông Nguyên - M.Long"/>
    <x v="0"/>
    <n v="19200"/>
    <n v="0.29090909090909089"/>
    <n v="6"/>
    <n v="0"/>
    <n v="2023"/>
    <n v="10"/>
    <x v="2"/>
  </r>
  <r>
    <n v="448"/>
    <s v="A1K15"/>
    <x v="9"/>
    <s v="Hộp"/>
    <n v="120756"/>
    <n v="0"/>
    <n v="2"/>
    <n v="104000"/>
    <n v="104000"/>
    <d v="2023-10-28T00:00:00"/>
    <s v="TT Anh Hào - BV HCL"/>
    <x v="2"/>
    <n v="-16756"/>
    <n v="-0.1611153846153846"/>
    <n v="2"/>
    <n v="0"/>
    <n v="2023"/>
    <n v="10"/>
    <x v="4"/>
  </r>
  <r>
    <n v="449"/>
    <s v="BCA11"/>
    <x v="161"/>
    <s v="Cây"/>
    <n v="170200"/>
    <n v="0"/>
    <n v="5"/>
    <n v="150000"/>
    <n v="150000"/>
    <d v="2023-10-28T00:00:00"/>
    <s v="TT Anh Hào - BV HCL"/>
    <x v="2"/>
    <n v="-20200"/>
    <n v="-0.13466666666666671"/>
    <n v="5"/>
    <n v="0"/>
    <n v="2023"/>
    <n v="10"/>
    <x v="2"/>
  </r>
  <r>
    <n v="450"/>
    <s v="BCJEWELL"/>
    <x v="162"/>
    <s v="Cây"/>
    <n v="212500"/>
    <n v="0"/>
    <n v="5"/>
    <n v="150000"/>
    <n v="150000"/>
    <d v="2023-10-28T00:00:00"/>
    <s v="TT Anh Hào - BV HCL"/>
    <x v="2"/>
    <n v="-62500"/>
    <n v="-0.41666666666666669"/>
    <n v="5"/>
    <n v="0"/>
    <n v="2023"/>
    <n v="10"/>
    <x v="2"/>
  </r>
  <r>
    <n v="451"/>
    <s v="BCN306"/>
    <x v="163"/>
    <s v="Cây"/>
    <n v="275000"/>
    <n v="0"/>
    <n v="50"/>
    <n v="400000"/>
    <n v="400000"/>
    <d v="2023-10-28T00:00:00"/>
    <s v="TT Anh Hào - BV HCL"/>
    <x v="2"/>
    <n v="125000"/>
    <n v="0.3125"/>
    <n v="50"/>
    <n v="0"/>
    <n v="2023"/>
    <n v="10"/>
    <x v="2"/>
  </r>
  <r>
    <n v="452"/>
    <s v="BCOCEAN"/>
    <x v="110"/>
    <s v="Cây"/>
    <n v="240000"/>
    <n v="0"/>
    <n v="5"/>
    <n v="150000"/>
    <n v="150000"/>
    <d v="2023-10-28T00:00:00"/>
    <s v="TT Anh Hào - BV HCL"/>
    <x v="2"/>
    <n v="-90000"/>
    <n v="-0.6"/>
    <n v="5"/>
    <n v="0"/>
    <n v="2023"/>
    <n v="10"/>
    <x v="2"/>
  </r>
  <r>
    <n v="454"/>
    <s v="TBTE20002"/>
    <x v="33"/>
    <s v="Hộp"/>
    <n v="178500"/>
    <n v="0"/>
    <n v="12"/>
    <n v="192000"/>
    <n v="192000"/>
    <d v="2023-10-28T00:00:00"/>
    <s v="TT Anh Hào - BV HCL"/>
    <x v="2"/>
    <n v="13500"/>
    <n v="7.03125E-2"/>
    <n v="12"/>
    <n v="0"/>
    <n v="2023"/>
    <n v="10"/>
    <x v="5"/>
  </r>
  <r>
    <n v="455"/>
    <s v="A1K15"/>
    <x v="9"/>
    <s v="Hộp"/>
    <n v="60378"/>
    <n v="0"/>
    <n v="1"/>
    <n v="54000"/>
    <n v="54000"/>
    <d v="2023-10-28T00:00:00"/>
    <s v="TT Mỹ Hạnh - T.H.Trung"/>
    <x v="3"/>
    <n v="-6378"/>
    <n v="-0.1181111111111111"/>
    <n v="1"/>
    <n v="0"/>
    <n v="2023"/>
    <n v="10"/>
    <x v="4"/>
  </r>
  <r>
    <n v="456"/>
    <s v="A1K15"/>
    <x v="9"/>
    <s v="Hộp"/>
    <n v="181134"/>
    <n v="0"/>
    <n v="3"/>
    <n v="156000"/>
    <n v="156000"/>
    <d v="2023-10-28T00:00:00"/>
    <s v="TT Mỹ Tiên - A.Bình"/>
    <x v="3"/>
    <n v="-25134"/>
    <n v="-0.1611153846153846"/>
    <n v="3"/>
    <n v="0"/>
    <n v="2023"/>
    <n v="10"/>
    <x v="4"/>
  </r>
  <r>
    <n v="457"/>
    <s v="GC603"/>
    <x v="74"/>
    <s v="Cây"/>
    <n v="300000"/>
    <n v="0"/>
    <n v="12"/>
    <n v="444000"/>
    <n v="444000"/>
    <d v="2023-10-28T00:00:00"/>
    <s v="Anh Như - Chợ 307"/>
    <x v="4"/>
    <n v="144000"/>
    <n v="0.32432432432432429"/>
    <n v="12"/>
    <n v="0"/>
    <n v="2023"/>
    <n v="10"/>
    <x v="7"/>
  </r>
  <r>
    <n v="459"/>
    <s v="GC10"/>
    <x v="140"/>
    <s v="Dây"/>
    <n v="130000"/>
    <n v="0"/>
    <n v="5"/>
    <n v="120000"/>
    <n v="120000"/>
    <d v="2023-10-28T00:00:00"/>
    <s v="Chị Duyên - HCL (Thanh Mỹ)"/>
    <x v="2"/>
    <n v="-10000"/>
    <n v="-8.3333333333333329E-2"/>
    <n v="5"/>
    <n v="0"/>
    <n v="2023"/>
    <n v="10"/>
    <x v="7"/>
  </r>
  <r>
    <n v="460"/>
    <s v="GC603"/>
    <x v="74"/>
    <s v="Cây"/>
    <n v="300000"/>
    <n v="0"/>
    <n v="12"/>
    <n v="444000"/>
    <n v="444000"/>
    <d v="2023-10-28T00:00:00"/>
    <s v="Mỹ Phương - HCL (Thanh Mỹ)"/>
    <x v="3"/>
    <n v="144000"/>
    <n v="0.32432432432432429"/>
    <n v="12"/>
    <n v="0"/>
    <n v="2023"/>
    <n v="10"/>
    <x v="7"/>
  </r>
  <r>
    <n v="462"/>
    <s v="KU250"/>
    <x v="13"/>
    <s v="Gói"/>
    <n v="231000"/>
    <n v="0"/>
    <n v="30"/>
    <n v="300000"/>
    <n v="300000"/>
    <d v="2023-10-28T00:00:00"/>
    <s v="Mỹ Phương - HCL (Thanh Mỹ)"/>
    <x v="3"/>
    <n v="69000"/>
    <n v="0.23"/>
    <n v="30"/>
    <n v="0"/>
    <n v="2023"/>
    <n v="10"/>
    <x v="3"/>
  </r>
  <r>
    <n v="464"/>
    <s v="HM608"/>
    <x v="36"/>
    <s v="Hộp"/>
    <n v="600000"/>
    <n v="0"/>
    <n v="6"/>
    <n v="1308000"/>
    <n v="1308000"/>
    <d v="2023-10-28T00:00:00"/>
    <s v="Chị Oanh - M.Long"/>
    <x v="2"/>
    <n v="708000"/>
    <n v="0.54128440366972475"/>
    <n v="6"/>
    <n v="0"/>
    <n v="2023"/>
    <n v="10"/>
    <x v="7"/>
  </r>
  <r>
    <n v="466"/>
    <s v="HTD3000"/>
    <x v="164"/>
    <s v="Bình"/>
    <n v="170000"/>
    <n v="0"/>
    <n v="2"/>
    <n v="250000"/>
    <n v="250000"/>
    <d v="2023-10-28T00:00:00"/>
    <s v="MP Chị Út - HCL (Thanh Mỹ)"/>
    <x v="2"/>
    <n v="80000"/>
    <n v="0.32"/>
    <n v="2"/>
    <n v="0"/>
    <n v="2023"/>
    <n v="10"/>
    <x v="1"/>
  </r>
  <r>
    <n v="467"/>
    <s v="HTD30001"/>
    <x v="165"/>
    <s v="Bình"/>
    <n v="85000"/>
    <n v="0"/>
    <n v="1"/>
    <n v="125000"/>
    <n v="125000"/>
    <d v="2023-10-28T00:00:00"/>
    <s v="MP Chị Út - HCL (Thanh Mỹ)"/>
    <x v="2"/>
    <n v="40000"/>
    <n v="0.32"/>
    <n v="1"/>
    <n v="0"/>
    <n v="2023"/>
    <n v="10"/>
    <x v="1"/>
  </r>
  <r>
    <n v="468"/>
    <s v="KU250"/>
    <x v="13"/>
    <s v="Gói"/>
    <n v="231000"/>
    <n v="0"/>
    <n v="30"/>
    <n v="300000"/>
    <n v="300000"/>
    <d v="2023-10-28T00:00:00"/>
    <s v="MP Chị Út - HCL (Thanh Mỹ)"/>
    <x v="2"/>
    <n v="69000"/>
    <n v="0.23"/>
    <n v="30"/>
    <n v="0"/>
    <n v="2023"/>
    <n v="10"/>
    <x v="3"/>
  </r>
  <r>
    <n v="469"/>
    <s v="KU802"/>
    <x v="99"/>
    <s v="Gói"/>
    <n v="55000"/>
    <n v="0"/>
    <n v="10"/>
    <n v="60000"/>
    <n v="60000"/>
    <d v="2023-10-28T00:00:00"/>
    <s v="MP Chị Út - HCL (Thanh Mỹ)"/>
    <x v="2"/>
    <n v="5000"/>
    <n v="8.3333333333333329E-2"/>
    <n v="10"/>
    <n v="0"/>
    <n v="2023"/>
    <n v="10"/>
    <x v="3"/>
  </r>
  <r>
    <n v="470"/>
    <s v="KU250"/>
    <x v="13"/>
    <s v="Gói"/>
    <n v="231000"/>
    <n v="0"/>
    <n v="30"/>
    <n v="300000"/>
    <n v="300000"/>
    <d v="2023-10-28T00:00:00"/>
    <s v="Thuận Kiều (nhà may) - Chợ 307"/>
    <x v="2"/>
    <n v="69000"/>
    <n v="0.23"/>
    <n v="30"/>
    <n v="0"/>
    <n v="2023"/>
    <n v="10"/>
    <x v="3"/>
  </r>
  <r>
    <n v="471"/>
    <s v="KU802"/>
    <x v="99"/>
    <s v="Gói"/>
    <n v="55000"/>
    <n v="0"/>
    <n v="10"/>
    <n v="60000"/>
    <n v="60000"/>
    <d v="2023-10-28T00:00:00"/>
    <s v="Thuận Kiều (nhà may) - Chợ 307"/>
    <x v="2"/>
    <n v="5000"/>
    <n v="8.3333333333333329E-2"/>
    <n v="10"/>
    <n v="0"/>
    <n v="2023"/>
    <n v="10"/>
    <x v="3"/>
  </r>
  <r>
    <n v="472"/>
    <s v="GC617"/>
    <x v="67"/>
    <s v="Cây"/>
    <n v="265716"/>
    <n v="2"/>
    <n v="12"/>
    <n v="345000"/>
    <n v="345000"/>
    <d v="2023-10-28T00:00:00"/>
    <s v="TH Ngân (chị Ngân) - T.H.Trung"/>
    <x v="2"/>
    <n v="79284"/>
    <n v="0.22980869565217391"/>
    <n v="14"/>
    <n v="0.14285714285714279"/>
    <n v="2023"/>
    <n v="10"/>
    <x v="7"/>
  </r>
  <r>
    <n v="475"/>
    <s v="HM607"/>
    <x v="68"/>
    <s v="Hộp"/>
    <n v="600000"/>
    <n v="6"/>
    <n v="6"/>
    <n v="654000"/>
    <n v="654000"/>
    <d v="2023-10-28T00:00:00"/>
    <s v="Cẩm Giang - M.Xương"/>
    <x v="0"/>
    <n v="54000"/>
    <n v="8.2568807339449546E-2"/>
    <n v="12"/>
    <n v="0.5"/>
    <n v="2023"/>
    <n v="10"/>
    <x v="7"/>
  </r>
  <r>
    <n v="476"/>
    <s v="HM608"/>
    <x v="36"/>
    <s v="Hộp"/>
    <n v="600000"/>
    <n v="6"/>
    <n v="6"/>
    <n v="654000"/>
    <n v="654000"/>
    <d v="2023-10-28T00:00:00"/>
    <s v="Cẩm Giang - M.Xương"/>
    <x v="0"/>
    <n v="54000"/>
    <n v="8.2568807339449546E-2"/>
    <n v="12"/>
    <n v="0.5"/>
    <n v="2023"/>
    <n v="10"/>
    <x v="7"/>
  </r>
  <r>
    <n v="477"/>
    <s v="HM610"/>
    <x v="37"/>
    <s v="Hộp"/>
    <n v="600000"/>
    <n v="6"/>
    <n v="6"/>
    <n v="654000"/>
    <n v="654000"/>
    <d v="2023-10-28T00:00:00"/>
    <s v="Cẩm Giang - M.Xương"/>
    <x v="0"/>
    <n v="54000"/>
    <n v="8.2568807339449546E-2"/>
    <n v="12"/>
    <n v="0.5"/>
    <n v="2023"/>
    <n v="10"/>
    <x v="7"/>
  </r>
  <r>
    <n v="478"/>
    <s v="HM613"/>
    <x v="166"/>
    <s v="Hộp"/>
    <n v="780000"/>
    <n v="0"/>
    <n v="6"/>
    <n v="1680000"/>
    <n v="1680000"/>
    <d v="2023-10-28T00:00:00"/>
    <s v="Cẩm Giang - M.Xương"/>
    <x v="0"/>
    <n v="900000"/>
    <n v="0.5357142857142857"/>
    <n v="6"/>
    <n v="0"/>
    <n v="2023"/>
    <n v="10"/>
    <x v="7"/>
  </r>
  <r>
    <n v="479"/>
    <s v="HM614"/>
    <x v="104"/>
    <s v="Hộp"/>
    <n v="780000"/>
    <n v="0"/>
    <n v="6"/>
    <n v="1680000"/>
    <n v="1680000"/>
    <d v="2023-10-28T00:00:00"/>
    <s v="Cẩm Giang - M.Xương"/>
    <x v="0"/>
    <n v="900000"/>
    <n v="0.5357142857142857"/>
    <n v="6"/>
    <n v="0"/>
    <n v="2023"/>
    <n v="10"/>
    <x v="7"/>
  </r>
  <r>
    <n v="480"/>
    <s v="GC617"/>
    <x v="67"/>
    <s v="Cây"/>
    <n v="265716"/>
    <n v="2"/>
    <n v="12"/>
    <n v="345000"/>
    <n v="345000"/>
    <d v="2023-10-28T00:00:00"/>
    <s v="Sữa tả Hoàng Trúc - HCL (T.Mỹ)"/>
    <x v="0"/>
    <n v="79284"/>
    <n v="0.22980869565217391"/>
    <n v="14"/>
    <n v="0.14285714285714279"/>
    <n v="2023"/>
    <n v="10"/>
    <x v="7"/>
  </r>
  <r>
    <n v="481"/>
    <s v="HTBTE50"/>
    <x v="114"/>
    <s v="Hộp"/>
    <n v="181200"/>
    <n v="1"/>
    <n v="4"/>
    <n v="158000"/>
    <n v="158000"/>
    <d v="2023-10-28T00:00:00"/>
    <s v="Sữa tả Hoàng Trúc - HCL (T.Mỹ)"/>
    <x v="0"/>
    <n v="-23200"/>
    <n v="-0.14683544303797469"/>
    <n v="5"/>
    <n v="0.2"/>
    <n v="2023"/>
    <n v="10"/>
    <x v="8"/>
  </r>
  <r>
    <n v="482"/>
    <s v="HTBTE501"/>
    <x v="118"/>
    <s v="Hộp"/>
    <n v="181200"/>
    <n v="0"/>
    <n v="4"/>
    <n v="200000"/>
    <n v="200000"/>
    <d v="2023-10-28T00:00:00"/>
    <s v="Sữa tả Hoàng Trúc - HCL (T.Mỹ)"/>
    <x v="0"/>
    <n v="18800"/>
    <n v="9.4E-2"/>
    <n v="4"/>
    <n v="0"/>
    <n v="2023"/>
    <n v="10"/>
    <x v="8"/>
  </r>
  <r>
    <n v="483"/>
    <s v="HTBTE502"/>
    <x v="119"/>
    <s v="Hộp"/>
    <n v="181200"/>
    <n v="0"/>
    <n v="4"/>
    <n v="200000"/>
    <n v="200000"/>
    <d v="2023-10-28T00:00:00"/>
    <s v="Sữa tả Hoàng Trúc - HCL (T.Mỹ)"/>
    <x v="0"/>
    <n v="18800"/>
    <n v="9.4E-2"/>
    <n v="4"/>
    <n v="0"/>
    <n v="2023"/>
    <n v="10"/>
    <x v="8"/>
  </r>
  <r>
    <n v="484"/>
    <s v="KDR002"/>
    <x v="147"/>
    <s v="Hộp"/>
    <n v="133330"/>
    <n v="0"/>
    <n v="10"/>
    <n v="160000"/>
    <n v="160000"/>
    <d v="2023-10-28T00:00:00"/>
    <s v="Sữa tả Hoàng Trúc - HCL (T.Mỹ)"/>
    <x v="0"/>
    <n v="26670"/>
    <n v="0.16668749999999999"/>
    <n v="10"/>
    <n v="0"/>
    <n v="2023"/>
    <n v="10"/>
    <x v="2"/>
  </r>
  <r>
    <n v="485"/>
    <s v="KDR003"/>
    <x v="148"/>
    <s v="Hộp"/>
    <n v="106664"/>
    <n v="3"/>
    <n v="8"/>
    <n v="87000"/>
    <n v="87000"/>
    <d v="2023-10-28T00:00:00"/>
    <s v="Sữa tả Hoàng Trúc - HCL (T.Mỹ)"/>
    <x v="0"/>
    <n v="-19664"/>
    <n v="-0.22602298850574709"/>
    <n v="11"/>
    <n v="0.27272727272727271"/>
    <n v="2023"/>
    <n v="10"/>
    <x v="2"/>
  </r>
  <r>
    <n v="486"/>
    <s v="HTBSN80"/>
    <x v="57"/>
    <s v="Lon"/>
    <n v="55440"/>
    <n v="0"/>
    <n v="2"/>
    <n v="64000"/>
    <n v="64000"/>
    <d v="2023-10-28T00:00:00"/>
    <s v="Su Trường - T.H.Trung"/>
    <x v="3"/>
    <n v="8560"/>
    <n v="0.13375000000000001"/>
    <n v="2"/>
    <n v="0"/>
    <n v="2023"/>
    <n v="10"/>
    <x v="8"/>
  </r>
  <r>
    <n v="487"/>
    <s v="HTBSN90"/>
    <x v="58"/>
    <s v="Lon"/>
    <n v="55440"/>
    <n v="0"/>
    <n v="2"/>
    <n v="64000"/>
    <n v="64000"/>
    <d v="2023-10-28T00:00:00"/>
    <s v="Su Trường - T.H.Trung"/>
    <x v="3"/>
    <n v="8560"/>
    <n v="0.13375000000000001"/>
    <n v="2"/>
    <n v="0"/>
    <n v="2023"/>
    <n v="10"/>
    <x v="8"/>
  </r>
  <r>
    <n v="488"/>
    <s v="HTBSN902"/>
    <x v="59"/>
    <s v="Lon"/>
    <n v="27720"/>
    <n v="0"/>
    <n v="1"/>
    <n v="32000"/>
    <n v="32000"/>
    <d v="2023-10-28T00:00:00"/>
    <s v="Su Trường - T.H.Trung"/>
    <x v="3"/>
    <n v="4280"/>
    <n v="0.13375000000000001"/>
    <n v="1"/>
    <n v="0"/>
    <n v="2023"/>
    <n v="10"/>
    <x v="8"/>
  </r>
  <r>
    <n v="489"/>
    <s v="HTBSN903"/>
    <x v="60"/>
    <s v="Lon"/>
    <n v="27720"/>
    <n v="0"/>
    <n v="1"/>
    <n v="32000"/>
    <n v="32000"/>
    <d v="2023-10-28T00:00:00"/>
    <s v="Su Trường - T.H.Trung"/>
    <x v="3"/>
    <n v="4280"/>
    <n v="0.13375000000000001"/>
    <n v="1"/>
    <n v="0"/>
    <n v="2023"/>
    <n v="10"/>
    <x v="8"/>
  </r>
  <r>
    <n v="490"/>
    <s v="HTK151"/>
    <x v="120"/>
    <s v="Dây"/>
    <n v="75000"/>
    <n v="0"/>
    <n v="2"/>
    <n v="82000"/>
    <n v="82000"/>
    <d v="2023-10-28T00:00:00"/>
    <s v="Su Trường - T.H.Trung"/>
    <x v="3"/>
    <n v="7000"/>
    <n v="8.5365853658536592E-2"/>
    <n v="2"/>
    <n v="0"/>
    <n v="2023"/>
    <n v="10"/>
    <x v="4"/>
  </r>
  <r>
    <n v="491"/>
    <s v="KTN3001"/>
    <x v="41"/>
    <s v="Hộp"/>
    <n v="58000"/>
    <n v="0"/>
    <n v="4"/>
    <n v="56000"/>
    <n v="56000"/>
    <d v="2023-10-28T00:00:00"/>
    <s v="Su Trường - T.H.Trung"/>
    <x v="3"/>
    <n v="-2000"/>
    <n v="-3.5714285714285712E-2"/>
    <n v="4"/>
    <n v="0"/>
    <n v="2023"/>
    <n v="10"/>
    <x v="4"/>
  </r>
  <r>
    <n v="492"/>
    <s v="KTN3003"/>
    <x v="43"/>
    <s v="Hộp"/>
    <n v="87000"/>
    <n v="0"/>
    <n v="6"/>
    <n v="84000"/>
    <n v="84000"/>
    <d v="2023-10-28T00:00:00"/>
    <s v="Su Trường - T.H.Trung"/>
    <x v="3"/>
    <n v="-3000"/>
    <n v="-3.5714285714285712E-2"/>
    <n v="6"/>
    <n v="0"/>
    <n v="2023"/>
    <n v="10"/>
    <x v="4"/>
  </r>
  <r>
    <n v="493"/>
    <s v="GC106"/>
    <x v="66"/>
    <s v="Cây"/>
    <n v="180000"/>
    <n v="0"/>
    <n v="10"/>
    <n v="230000"/>
    <n v="230000"/>
    <d v="2023-10-28T00:00:00"/>
    <s v="Dì 2 - HCL ( Thanh Mỹ)"/>
    <x v="2"/>
    <n v="50000"/>
    <n v="0.21739130434782611"/>
    <n v="10"/>
    <n v="0"/>
    <n v="2023"/>
    <n v="10"/>
    <x v="7"/>
  </r>
  <r>
    <n v="494"/>
    <s v="HM607"/>
    <x v="68"/>
    <s v="Hộp"/>
    <n v="600000"/>
    <n v="0"/>
    <n v="6"/>
    <n v="1308000"/>
    <n v="1308000"/>
    <d v="2023-10-28T00:00:00"/>
    <s v="Dì 2 - HCL ( Thanh Mỹ)"/>
    <x v="2"/>
    <n v="708000"/>
    <n v="0.54128440366972475"/>
    <n v="6"/>
    <n v="0"/>
    <n v="2023"/>
    <n v="10"/>
    <x v="7"/>
  </r>
  <r>
    <n v="495"/>
    <s v="HM608"/>
    <x v="36"/>
    <s v="Hộp"/>
    <n v="300000"/>
    <n v="3"/>
    <n v="3"/>
    <n v="327000"/>
    <n v="327000"/>
    <d v="2023-10-28T00:00:00"/>
    <s v="Dì 2 - HCL ( Thanh Mỹ)"/>
    <x v="2"/>
    <n v="27000"/>
    <n v="8.2568807339449546E-2"/>
    <n v="6"/>
    <n v="0.5"/>
    <n v="2023"/>
    <n v="10"/>
    <x v="7"/>
  </r>
  <r>
    <n v="497"/>
    <s v="GC603"/>
    <x v="74"/>
    <s v="Cây"/>
    <n v="300000"/>
    <n v="0"/>
    <n v="12"/>
    <n v="444000"/>
    <n v="444000"/>
    <d v="2023-10-28T00:00:00"/>
    <s v="TH Nguyệt - T.H.Trung"/>
    <x v="3"/>
    <n v="144000"/>
    <n v="0.32432432432432429"/>
    <n v="12"/>
    <n v="0"/>
    <n v="2023"/>
    <n v="10"/>
    <x v="7"/>
  </r>
  <r>
    <n v="499"/>
    <s v="GC617"/>
    <x v="67"/>
    <s v="Cây"/>
    <n v="66429"/>
    <n v="0"/>
    <n v="3"/>
    <n v="90000"/>
    <n v="90000"/>
    <d v="2023-10-28T00:00:00"/>
    <s v="Chị Nương - HCL ( Thanh Mỹ)"/>
    <x v="3"/>
    <n v="23571"/>
    <n v="0.26190000000000002"/>
    <n v="3"/>
    <n v="0"/>
    <n v="2023"/>
    <n v="10"/>
    <x v="7"/>
  </r>
  <r>
    <n v="500"/>
    <s v="KU250"/>
    <x v="13"/>
    <s v="Gói"/>
    <n v="38500"/>
    <n v="0"/>
    <n v="5"/>
    <n v="50000"/>
    <n v="50000"/>
    <d v="2023-10-28T00:00:00"/>
    <s v="Chị Nương - HCL ( Thanh Mỹ)"/>
    <x v="3"/>
    <n v="11500"/>
    <n v="0.23"/>
    <n v="5"/>
    <n v="0"/>
    <n v="2023"/>
    <n v="10"/>
    <x v="3"/>
  </r>
  <r>
    <n v="501"/>
    <s v="KU802"/>
    <x v="99"/>
    <s v="Gói"/>
    <n v="55000"/>
    <n v="0"/>
    <n v="10"/>
    <n v="60000"/>
    <n v="60000"/>
    <d v="2023-10-28T00:00:00"/>
    <s v="Chị Nương - HCL ( Thanh Mỹ)"/>
    <x v="3"/>
    <n v="5000"/>
    <n v="8.3333333333333329E-2"/>
    <n v="10"/>
    <n v="0"/>
    <n v="2023"/>
    <n v="10"/>
    <x v="3"/>
  </r>
  <r>
    <n v="502"/>
    <s v="KV1007"/>
    <x v="39"/>
    <s v="Gói"/>
    <n v="67500"/>
    <n v="0"/>
    <n v="10"/>
    <n v="75000"/>
    <n v="75000"/>
    <d v="2023-10-28T00:00:00"/>
    <s v="Chị Nương - HCL ( Thanh Mỹ)"/>
    <x v="3"/>
    <n v="7500"/>
    <n v="0.1"/>
    <n v="10"/>
    <n v="0"/>
    <n v="2023"/>
    <n v="10"/>
    <x v="0"/>
  </r>
  <r>
    <n v="504"/>
    <s v="BCN193"/>
    <x v="167"/>
    <s v="Cây"/>
    <n v="80000"/>
    <n v="4"/>
    <n v="20"/>
    <n v="217000"/>
    <n v="217000"/>
    <d v="2023-11-02T00:00:00"/>
    <s v="Thu Thủy - P.Mỹ (cầu Trâu Trắng)"/>
    <x v="0"/>
    <n v="137000"/>
    <n v="0.63133640552995396"/>
    <n v="24"/>
    <n v="0.16666666666666671"/>
    <n v="2023"/>
    <n v="11"/>
    <x v="2"/>
  </r>
  <r>
    <n v="505"/>
    <s v="BCN302"/>
    <x v="168"/>
    <s v="Cây"/>
    <n v="75000"/>
    <n v="4"/>
    <n v="20"/>
    <n v="217000"/>
    <n v="217000"/>
    <d v="2023-11-02T00:00:00"/>
    <s v="Thu Thủy - P.Mỹ (cầu Trâu Trắng)"/>
    <x v="0"/>
    <n v="142000"/>
    <n v="0.65437788018433185"/>
    <n v="24"/>
    <n v="0.16666666666666671"/>
    <n v="2023"/>
    <n v="11"/>
    <x v="2"/>
  </r>
  <r>
    <n v="506"/>
    <s v="BCN82"/>
    <x v="169"/>
    <s v="Bộ"/>
    <n v="36000"/>
    <n v="1"/>
    <n v="9"/>
    <n v="121500"/>
    <n v="121500"/>
    <d v="2023-11-02T00:00:00"/>
    <s v="Thu Thủy - P.Mỹ (cầu Trâu Trắng)"/>
    <x v="0"/>
    <n v="85500"/>
    <n v="0.70370370370370372"/>
    <n v="10"/>
    <n v="0.1"/>
    <n v="2023"/>
    <n v="11"/>
    <x v="2"/>
  </r>
  <r>
    <n v="507"/>
    <s v="BCSILISON"/>
    <x v="170"/>
    <s v="Cây"/>
    <n v="1008000"/>
    <n v="4"/>
    <n v="24"/>
    <n v="762000"/>
    <n v="762000"/>
    <d v="2023-11-02T00:00:00"/>
    <s v="Thu Thủy - P.Mỹ (cầu Trâu Trắng)"/>
    <x v="0"/>
    <n v="-246000"/>
    <n v="-0.32283464566929132"/>
    <n v="28"/>
    <n v="0.14285714285714279"/>
    <n v="2023"/>
    <n v="11"/>
    <x v="2"/>
  </r>
  <r>
    <n v="508"/>
    <s v="BCTE001"/>
    <x v="171"/>
    <s v="Cây"/>
    <n v="93336"/>
    <n v="0"/>
    <n v="8"/>
    <n v="120000"/>
    <n v="120000"/>
    <d v="2023-11-02T00:00:00"/>
    <s v="Thu Thủy - P.Mỹ (cầu Trâu Trắng)"/>
    <x v="0"/>
    <n v="26664"/>
    <n v="0.22220000000000001"/>
    <n v="8"/>
    <n v="0"/>
    <n v="2023"/>
    <n v="11"/>
    <x v="2"/>
  </r>
  <r>
    <n v="509"/>
    <s v="BCTE002"/>
    <x v="172"/>
    <s v="Cây"/>
    <n v="93336"/>
    <n v="0"/>
    <n v="8"/>
    <n v="120000"/>
    <n v="120000"/>
    <d v="2023-11-02T00:00:00"/>
    <s v="Thu Thủy - P.Mỹ (cầu Trâu Trắng)"/>
    <x v="0"/>
    <n v="26664"/>
    <n v="0.22220000000000001"/>
    <n v="8"/>
    <n v="0"/>
    <n v="2023"/>
    <n v="11"/>
    <x v="2"/>
  </r>
  <r>
    <n v="510"/>
    <s v="BCTE003"/>
    <x v="173"/>
    <s v="Cây"/>
    <n v="93336"/>
    <n v="4"/>
    <n v="8"/>
    <n v="69000"/>
    <n v="69000"/>
    <d v="2023-11-02T00:00:00"/>
    <s v="Thu Thủy - P.Mỹ (cầu Trâu Trắng)"/>
    <x v="0"/>
    <n v="-24336"/>
    <n v="-0.35269565217391302"/>
    <n v="12"/>
    <n v="0.33333333333333331"/>
    <n v="2023"/>
    <n v="11"/>
    <x v="2"/>
  </r>
  <r>
    <n v="511"/>
    <s v="BCTEM35"/>
    <x v="5"/>
    <s v="Cây"/>
    <n v="93600"/>
    <n v="0"/>
    <n v="12"/>
    <n v="150000"/>
    <n v="150000"/>
    <d v="2023-11-02T00:00:00"/>
    <s v="Thu Thủy - P.Mỹ (cầu Trâu Trắng)"/>
    <x v="0"/>
    <n v="56400"/>
    <n v="0.376"/>
    <n v="12"/>
    <n v="0"/>
    <n v="2023"/>
    <n v="11"/>
    <x v="2"/>
  </r>
  <r>
    <n v="513"/>
    <s v="HTNM"/>
    <x v="158"/>
    <s v="Hộp"/>
    <n v="450000"/>
    <n v="0"/>
    <n v="60"/>
    <n v="660000"/>
    <n v="660000"/>
    <d v="2023-11-03T00:00:00"/>
    <s v="MP Út Tuyền - B.Sao"/>
    <x v="2"/>
    <n v="210000"/>
    <n v="0.31818181818181818"/>
    <n v="60"/>
    <n v="0"/>
    <n v="2023"/>
    <n v="11"/>
    <x v="1"/>
  </r>
  <r>
    <n v="514"/>
    <s v="KV1011"/>
    <x v="16"/>
    <s v="Gói"/>
    <n v="200010"/>
    <n v="0"/>
    <n v="30"/>
    <n v="225000"/>
    <n v="225000"/>
    <d v="2023-11-03T00:00:00"/>
    <s v="MP Út Tuyền - B.Sao"/>
    <x v="2"/>
    <n v="24990"/>
    <n v="0.1110666666666667"/>
    <n v="30"/>
    <n v="0"/>
    <n v="2023"/>
    <n v="11"/>
    <x v="0"/>
  </r>
  <r>
    <n v="515"/>
    <s v="T3501"/>
    <x v="174"/>
    <s v="Chai"/>
    <n v="38335"/>
    <n v="1"/>
    <n v="5"/>
    <n v="62500"/>
    <n v="62500"/>
    <d v="2023-11-03T00:00:00"/>
    <s v="MP Út Tuyền - B.Sao"/>
    <x v="2"/>
    <n v="24165"/>
    <n v="0.38663999999999998"/>
    <n v="6"/>
    <n v="0.16666666666666671"/>
    <n v="2023"/>
    <n v="11"/>
    <x v="1"/>
  </r>
  <r>
    <n v="516"/>
    <s v="KTN80"/>
    <x v="116"/>
    <s v="Gói"/>
    <n v="52500"/>
    <n v="0"/>
    <n v="10"/>
    <n v="70000"/>
    <n v="70000"/>
    <d v="2023-11-03T00:00:00"/>
    <s v="Cô Huệ - B.Sao"/>
    <x v="3"/>
    <n v="17500"/>
    <n v="0.25"/>
    <n v="10"/>
    <n v="0"/>
    <n v="2023"/>
    <n v="11"/>
    <x v="4"/>
  </r>
  <r>
    <n v="517"/>
    <s v="KTN802"/>
    <x v="98"/>
    <s v="Gói"/>
    <n v="52500"/>
    <n v="0"/>
    <n v="10"/>
    <n v="70000"/>
    <n v="70000"/>
    <d v="2023-11-03T00:00:00"/>
    <s v="Cô Huệ - B.Sao"/>
    <x v="3"/>
    <n v="17500"/>
    <n v="0.25"/>
    <n v="10"/>
    <n v="0"/>
    <n v="2023"/>
    <n v="11"/>
    <x v="4"/>
  </r>
  <r>
    <n v="518"/>
    <s v="KV1007"/>
    <x v="39"/>
    <s v="Gói"/>
    <n v="67500"/>
    <n v="0"/>
    <n v="10"/>
    <n v="75000"/>
    <n v="75000"/>
    <d v="2023-11-03T00:00:00"/>
    <s v="Cô Huệ - B.Sao"/>
    <x v="3"/>
    <n v="7500"/>
    <n v="0.1"/>
    <n v="10"/>
    <n v="0"/>
    <n v="2023"/>
    <n v="11"/>
    <x v="0"/>
  </r>
  <r>
    <n v="519"/>
    <s v="KV1009"/>
    <x v="46"/>
    <s v="Gói"/>
    <n v="60000"/>
    <n v="0"/>
    <n v="10"/>
    <n v="80000"/>
    <n v="80000"/>
    <d v="2023-11-03T00:00:00"/>
    <s v="Cô Huệ - B.Sao"/>
    <x v="3"/>
    <n v="20000"/>
    <n v="0.25"/>
    <n v="10"/>
    <n v="0"/>
    <n v="2023"/>
    <n v="11"/>
    <x v="0"/>
  </r>
  <r>
    <n v="521"/>
    <s v="HTBTE50"/>
    <x v="114"/>
    <s v="Hộp"/>
    <n v="181200"/>
    <n v="1"/>
    <n v="4"/>
    <n v="157000"/>
    <n v="157000"/>
    <d v="2023-11-04T00:00:00"/>
    <s v="Mỹ Hạnh - HCL"/>
    <x v="2"/>
    <n v="-24200"/>
    <n v="-0.154140127388535"/>
    <n v="5"/>
    <n v="0.2"/>
    <n v="2023"/>
    <n v="11"/>
    <x v="8"/>
  </r>
  <r>
    <n v="522"/>
    <s v="HTBTE501"/>
    <x v="118"/>
    <s v="Hộp"/>
    <n v="181200"/>
    <n v="0"/>
    <n v="4"/>
    <n v="200000"/>
    <n v="200000"/>
    <d v="2023-11-04T00:00:00"/>
    <s v="Mỹ Hạnh - HCL"/>
    <x v="2"/>
    <n v="18800"/>
    <n v="9.4E-2"/>
    <n v="4"/>
    <n v="0"/>
    <n v="2023"/>
    <n v="11"/>
    <x v="8"/>
  </r>
  <r>
    <n v="523"/>
    <s v="HTBTE502"/>
    <x v="119"/>
    <s v="Hộp"/>
    <n v="181200"/>
    <n v="0"/>
    <n v="4"/>
    <n v="200000"/>
    <n v="200000"/>
    <d v="2023-11-04T00:00:00"/>
    <s v="Mỹ Hạnh - HCL"/>
    <x v="2"/>
    <n v="18800"/>
    <n v="9.4E-2"/>
    <n v="4"/>
    <n v="0"/>
    <n v="2023"/>
    <n v="11"/>
    <x v="8"/>
  </r>
  <r>
    <n v="524"/>
    <s v="TNS1"/>
    <x v="24"/>
    <s v="Chai"/>
    <n v="950040"/>
    <n v="12"/>
    <n v="60"/>
    <n v="1325000"/>
    <n v="1325000"/>
    <d v="2023-11-04T00:00:00"/>
    <s v="Minh Hiền (chị Ớ) - B.H.Trung"/>
    <x v="0"/>
    <n v="374960"/>
    <n v="0.28298867924528298"/>
    <n v="72"/>
    <n v="0.16666666666666671"/>
    <n v="2023"/>
    <n v="11"/>
    <x v="1"/>
  </r>
  <r>
    <n v="525"/>
    <s v="BCA001"/>
    <x v="175"/>
    <s v="Cây"/>
    <n v="110400"/>
    <n v="0"/>
    <n v="5"/>
    <n v="105000"/>
    <n v="105000"/>
    <d v="2023-11-04T00:00:00"/>
    <s v="TT Kim Thoa - M.Long"/>
    <x v="2"/>
    <n v="-5400"/>
    <n v="-5.1428571428571428E-2"/>
    <n v="5"/>
    <n v="0"/>
    <n v="2023"/>
    <n v="11"/>
    <x v="2"/>
  </r>
  <r>
    <n v="526"/>
    <s v="BCA12"/>
    <x v="176"/>
    <s v="Cây"/>
    <n v="156400"/>
    <n v="0"/>
    <n v="10"/>
    <n v="140000"/>
    <n v="140000"/>
    <d v="2023-11-04T00:00:00"/>
    <s v="TT Kim Thoa - M.Long"/>
    <x v="2"/>
    <n v="-16400"/>
    <n v="-0.1171428571428571"/>
    <n v="10"/>
    <n v="0"/>
    <n v="2023"/>
    <n v="11"/>
    <x v="2"/>
  </r>
  <r>
    <n v="527"/>
    <s v="BCUNIQUE"/>
    <x v="177"/>
    <s v="Cây"/>
    <n v="160000"/>
    <n v="0"/>
    <n v="5"/>
    <n v="105000"/>
    <n v="105000"/>
    <d v="2023-11-04T00:00:00"/>
    <s v="TT Kim Thoa - M.Long"/>
    <x v="2"/>
    <n v="-55000"/>
    <n v="-0.52380952380952384"/>
    <n v="5"/>
    <n v="0"/>
    <n v="2023"/>
    <n v="11"/>
    <x v="2"/>
  </r>
  <r>
    <n v="528"/>
    <s v="KR402"/>
    <x v="160"/>
    <s v="Gói"/>
    <n v="126720"/>
    <n v="0"/>
    <n v="6"/>
    <n v="108000"/>
    <n v="108000"/>
    <d v="2023-11-04T00:00:00"/>
    <s v="TT Kim Thoa - M.Long"/>
    <x v="2"/>
    <n v="-18720"/>
    <n v="-0.17333333333333331"/>
    <n v="6"/>
    <n v="0"/>
    <n v="2023"/>
    <n v="11"/>
    <x v="0"/>
  </r>
  <r>
    <n v="530"/>
    <s v="BSOGI12"/>
    <x v="78"/>
    <s v="Hủ"/>
    <n v="63000"/>
    <n v="0"/>
    <n v="1"/>
    <n v="73000"/>
    <n v="73000"/>
    <d v="2023-11-04T00:00:00"/>
    <s v="Kim Loan - B.H.Tây"/>
    <x v="3"/>
    <n v="10000"/>
    <n v="0.13698630136986301"/>
    <n v="1"/>
    <n v="0"/>
    <n v="2023"/>
    <n v="11"/>
    <x v="8"/>
  </r>
  <r>
    <n v="531"/>
    <s v="BSOGI121"/>
    <x v="47"/>
    <s v="Hủ"/>
    <n v="63000"/>
    <n v="0"/>
    <n v="1"/>
    <n v="73000"/>
    <n v="73000"/>
    <d v="2023-11-04T00:00:00"/>
    <s v="Kim Loan - B.H.Tây"/>
    <x v="3"/>
    <n v="10000"/>
    <n v="0.13698630136986301"/>
    <n v="1"/>
    <n v="0"/>
    <n v="2023"/>
    <n v="11"/>
    <x v="8"/>
  </r>
  <r>
    <n v="536"/>
    <s v="BG1000"/>
    <x v="178"/>
    <s v="Gói"/>
    <n v="320004"/>
    <n v="6"/>
    <n v="12"/>
    <n v="210000"/>
    <n v="210000"/>
    <d v="2023-11-04T00:00:00"/>
    <s v="TH Trinh (Mỹ Trinh) - HCL (cuối chợ)"/>
    <x v="0"/>
    <n v="-110004"/>
    <n v="-0.52382857142857142"/>
    <n v="18"/>
    <n v="0.33333333333333331"/>
    <n v="2023"/>
    <n v="11"/>
    <x v="1"/>
  </r>
  <r>
    <n v="537"/>
    <s v="BG5200"/>
    <x v="179"/>
    <s v="Gói"/>
    <n v="1058940"/>
    <n v="0"/>
    <n v="9"/>
    <n v="1431000"/>
    <n v="1431000"/>
    <d v="2023-11-04T00:00:00"/>
    <s v="TH Trinh (Mỹ Trinh) - HCL (cuối chợ)"/>
    <x v="0"/>
    <n v="372060"/>
    <n v="0.26"/>
    <n v="9"/>
    <n v="0"/>
    <n v="2023"/>
    <n v="11"/>
    <x v="1"/>
  </r>
  <r>
    <n v="538"/>
    <s v="BSOGI12"/>
    <x v="78"/>
    <s v="Hủ"/>
    <n v="63000"/>
    <n v="0"/>
    <n v="1"/>
    <n v="73000"/>
    <n v="73000"/>
    <d v="2023-11-04T00:00:00"/>
    <s v="TH Hiếu (Ngọc Hiếu) - N.Mỹ"/>
    <x v="2"/>
    <n v="10000"/>
    <n v="0.13698630136986301"/>
    <n v="1"/>
    <n v="0"/>
    <n v="2023"/>
    <n v="11"/>
    <x v="8"/>
  </r>
  <r>
    <n v="539"/>
    <s v="BSOGI121"/>
    <x v="47"/>
    <s v="Hủ"/>
    <n v="63000"/>
    <n v="0"/>
    <n v="1"/>
    <n v="73000"/>
    <n v="73000"/>
    <d v="2023-11-04T00:00:00"/>
    <s v="TH Hiếu (Ngọc Hiếu) - N.Mỹ"/>
    <x v="2"/>
    <n v="10000"/>
    <n v="0.13698630136986301"/>
    <n v="1"/>
    <n v="0"/>
    <n v="2023"/>
    <n v="11"/>
    <x v="8"/>
  </r>
  <r>
    <n v="540"/>
    <s v="HTBX3501"/>
    <x v="180"/>
    <s v="Hộp"/>
    <n v="114400"/>
    <n v="0"/>
    <n v="2"/>
    <n v="134000"/>
    <n v="134000"/>
    <d v="2023-11-04T00:00:00"/>
    <s v="TH Hiếu (Ngọc Hiếu) - N.Mỹ"/>
    <x v="2"/>
    <n v="19600"/>
    <n v="0.14626865671641789"/>
    <n v="2"/>
    <n v="0"/>
    <n v="2023"/>
    <n v="11"/>
    <x v="8"/>
  </r>
  <r>
    <n v="541"/>
    <s v="HTBX3502"/>
    <x v="181"/>
    <s v="Hộp"/>
    <n v="114400"/>
    <n v="0"/>
    <n v="2"/>
    <n v="134000"/>
    <n v="134000"/>
    <d v="2023-11-04T00:00:00"/>
    <s v="TH Hiếu (Ngọc Hiếu) - N.Mỹ"/>
    <x v="2"/>
    <n v="19600"/>
    <n v="0.14626865671641789"/>
    <n v="2"/>
    <n v="0"/>
    <n v="2023"/>
    <n v="11"/>
    <x v="8"/>
  </r>
  <r>
    <n v="542"/>
    <s v="HTBXG350"/>
    <x v="182"/>
    <s v="Hộp"/>
    <n v="114400"/>
    <n v="0"/>
    <n v="2"/>
    <n v="134000"/>
    <n v="134000"/>
    <d v="2023-11-04T00:00:00"/>
    <s v="TH Hiếu (Ngọc Hiếu) - N.Mỹ"/>
    <x v="2"/>
    <n v="19600"/>
    <n v="0.14626865671641789"/>
    <n v="2"/>
    <n v="0"/>
    <n v="2023"/>
    <n v="11"/>
    <x v="8"/>
  </r>
  <r>
    <n v="543"/>
    <s v="KTN2004"/>
    <x v="146"/>
    <s v="Gói"/>
    <n v="122000"/>
    <n v="0"/>
    <n v="10"/>
    <n v="140000"/>
    <n v="140000"/>
    <d v="2023-11-04T00:00:00"/>
    <s v="TH Hiếu (Ngọc Hiếu) - N.Mỹ"/>
    <x v="2"/>
    <n v="18000"/>
    <n v="0.12857142857142859"/>
    <n v="10"/>
    <n v="0"/>
    <n v="2023"/>
    <n v="11"/>
    <x v="4"/>
  </r>
  <r>
    <n v="544"/>
    <s v="HTBX3501"/>
    <x v="180"/>
    <s v="Hộp"/>
    <n v="114400"/>
    <n v="0"/>
    <n v="2"/>
    <n v="134000"/>
    <n v="134000"/>
    <d v="2023-11-04T00:00:00"/>
    <s v="Kim Phụng Điện - HCL"/>
    <x v="2"/>
    <n v="19600"/>
    <n v="0.14626865671641789"/>
    <n v="2"/>
    <n v="0"/>
    <n v="2023"/>
    <n v="11"/>
    <x v="8"/>
  </r>
  <r>
    <n v="545"/>
    <s v="HTBX3502"/>
    <x v="181"/>
    <s v="Hộp"/>
    <n v="114400"/>
    <n v="0"/>
    <n v="2"/>
    <n v="134000"/>
    <n v="134000"/>
    <d v="2023-11-04T00:00:00"/>
    <s v="Kim Phụng Điện - HCL"/>
    <x v="2"/>
    <n v="19600"/>
    <n v="0.14626865671641789"/>
    <n v="2"/>
    <n v="0"/>
    <n v="2023"/>
    <n v="11"/>
    <x v="8"/>
  </r>
  <r>
    <n v="546"/>
    <s v="HTBXG350"/>
    <x v="182"/>
    <s v="Hộp"/>
    <n v="114400"/>
    <n v="0"/>
    <n v="2"/>
    <n v="134000"/>
    <n v="134000"/>
    <d v="2023-11-04T00:00:00"/>
    <s v="Kim Phụng Điện - HCL"/>
    <x v="2"/>
    <n v="19600"/>
    <n v="0.14626865671641789"/>
    <n v="2"/>
    <n v="0"/>
    <n v="2023"/>
    <n v="11"/>
    <x v="8"/>
  </r>
  <r>
    <n v="549"/>
    <s v="HTBTE50"/>
    <x v="114"/>
    <s v="Hộp"/>
    <n v="543600"/>
    <n v="0"/>
    <n v="12"/>
    <n v="600000"/>
    <n v="600000"/>
    <d v="2023-11-04T00:00:00"/>
    <s v="Thế Giới Con Cưng - HCL"/>
    <x v="2"/>
    <n v="56400"/>
    <n v="9.4E-2"/>
    <n v="12"/>
    <n v="0"/>
    <n v="2023"/>
    <n v="11"/>
    <x v="8"/>
  </r>
  <r>
    <n v="550"/>
    <s v="HTBTE501"/>
    <x v="118"/>
    <s v="Hộp"/>
    <n v="815400"/>
    <n v="0"/>
    <n v="18"/>
    <n v="900000"/>
    <n v="900000"/>
    <d v="2023-11-04T00:00:00"/>
    <s v="Thế Giới Con Cưng - HCL"/>
    <x v="2"/>
    <n v="84600"/>
    <n v="9.4E-2"/>
    <n v="18"/>
    <n v="0"/>
    <n v="2023"/>
    <n v="11"/>
    <x v="8"/>
  </r>
  <r>
    <n v="551"/>
    <s v="HTBTE502"/>
    <x v="119"/>
    <s v="Hộp"/>
    <n v="815400"/>
    <n v="0"/>
    <n v="18"/>
    <n v="900000"/>
    <n v="900000"/>
    <d v="2023-11-04T00:00:00"/>
    <s v="Thế Giới Con Cưng - HCL"/>
    <x v="2"/>
    <n v="84600"/>
    <n v="9.4E-2"/>
    <n v="18"/>
    <n v="0"/>
    <n v="2023"/>
    <n v="11"/>
    <x v="8"/>
  </r>
  <r>
    <n v="553"/>
    <s v="HTBX288"/>
    <x v="183"/>
    <s v="Hộp"/>
    <n v="125400"/>
    <n v="0"/>
    <n v="3"/>
    <n v="147000"/>
    <n v="147000"/>
    <d v="2023-11-04T00:00:00"/>
    <s v="CH sữa tả Quý Ngọc - B.H.Trung"/>
    <x v="2"/>
    <n v="21600"/>
    <n v="0.14693877551020409"/>
    <n v="3"/>
    <n v="0"/>
    <n v="2023"/>
    <n v="11"/>
    <x v="8"/>
  </r>
  <r>
    <n v="554"/>
    <s v="HTBX2881"/>
    <x v="184"/>
    <s v="Hộp"/>
    <n v="125400"/>
    <n v="0"/>
    <n v="3"/>
    <n v="147000"/>
    <n v="147000"/>
    <d v="2023-11-04T00:00:00"/>
    <s v="CH sữa tả Quý Ngọc - B.H.Trung"/>
    <x v="2"/>
    <n v="21600"/>
    <n v="0.14693877551020409"/>
    <n v="3"/>
    <n v="0"/>
    <n v="2023"/>
    <n v="11"/>
    <x v="8"/>
  </r>
  <r>
    <n v="556"/>
    <s v="HM608"/>
    <x v="36"/>
    <s v="Hộp"/>
    <n v="600000"/>
    <n v="0"/>
    <n v="6"/>
    <n v="1308000"/>
    <n v="1308000"/>
    <d v="2023-11-04T00:00:00"/>
    <s v="Khải Vân - HCL"/>
    <x v="3"/>
    <n v="708000"/>
    <n v="0.54128440366972475"/>
    <n v="6"/>
    <n v="0"/>
    <n v="2023"/>
    <n v="11"/>
    <x v="7"/>
  </r>
  <r>
    <n v="558"/>
    <s v="HM608"/>
    <x v="36"/>
    <s v="Hộp"/>
    <n v="300000"/>
    <n v="0"/>
    <n v="3"/>
    <n v="654000"/>
    <n v="654000"/>
    <d v="2023-11-04T00:00:00"/>
    <s v="Kim Thúy - HCL"/>
    <x v="2"/>
    <n v="354000"/>
    <n v="0.54128440366972475"/>
    <n v="3"/>
    <n v="0"/>
    <n v="2023"/>
    <n v="11"/>
    <x v="7"/>
  </r>
  <r>
    <n v="559"/>
    <s v="HTK151"/>
    <x v="120"/>
    <s v="Dây"/>
    <n v="150000"/>
    <n v="0"/>
    <n v="4"/>
    <n v="168000"/>
    <n v="168000"/>
    <d v="2023-11-04T00:00:00"/>
    <s v="Kim Thúy - HCL"/>
    <x v="2"/>
    <n v="18000"/>
    <n v="0.1071428571428571"/>
    <n v="4"/>
    <n v="0"/>
    <n v="2023"/>
    <n v="11"/>
    <x v="4"/>
  </r>
  <r>
    <n v="560"/>
    <s v="KTN2004"/>
    <x v="146"/>
    <s v="Gói"/>
    <n v="122000"/>
    <n v="0"/>
    <n v="10"/>
    <n v="140000"/>
    <n v="140000"/>
    <d v="2023-11-04T00:00:00"/>
    <s v="Kim Thúy - HCL"/>
    <x v="2"/>
    <n v="18000"/>
    <n v="0.12857142857142859"/>
    <n v="10"/>
    <n v="0"/>
    <n v="2023"/>
    <n v="11"/>
    <x v="4"/>
  </r>
  <r>
    <n v="561"/>
    <s v="BSOGI12"/>
    <x v="78"/>
    <s v="Hủ"/>
    <n v="63000"/>
    <n v="0"/>
    <n v="1"/>
    <n v="72000"/>
    <n v="72000"/>
    <d v="2023-11-04T00:00:00"/>
    <s v="Thuận Tài - B.H.Trung "/>
    <x v="3"/>
    <n v="9000"/>
    <n v="0.125"/>
    <n v="1"/>
    <n v="0"/>
    <n v="2023"/>
    <n v="11"/>
    <x v="8"/>
  </r>
  <r>
    <n v="562"/>
    <s v="CG50"/>
    <x v="18"/>
    <s v="Cái"/>
    <n v="165000"/>
    <n v="0"/>
    <n v="30"/>
    <n v="200000"/>
    <n v="200000"/>
    <d v="2023-11-04T00:00:00"/>
    <s v="Thuận Tài - B.H.Trung "/>
    <x v="3"/>
    <n v="35000"/>
    <n v="0.17499999999999999"/>
    <n v="30"/>
    <n v="0"/>
    <n v="2023"/>
    <n v="11"/>
    <x v="4"/>
  </r>
  <r>
    <n v="563"/>
    <s v="HTBX3501"/>
    <x v="180"/>
    <s v="Hộp"/>
    <n v="114400"/>
    <n v="0"/>
    <n v="2"/>
    <n v="134000"/>
    <n v="134000"/>
    <d v="2023-11-04T00:00:00"/>
    <s v="Tuấn Kiệt - M.Long"/>
    <x v="0"/>
    <n v="19600"/>
    <n v="0.14626865671641789"/>
    <n v="2"/>
    <n v="0"/>
    <n v="2023"/>
    <n v="11"/>
    <x v="8"/>
  </r>
  <r>
    <n v="564"/>
    <s v="HTBX3502"/>
    <x v="181"/>
    <s v="Hộp"/>
    <n v="114400"/>
    <n v="0"/>
    <n v="2"/>
    <n v="134000"/>
    <n v="134000"/>
    <d v="2023-11-04T00:00:00"/>
    <s v="Tuấn Kiệt - M.Long"/>
    <x v="0"/>
    <n v="19600"/>
    <n v="0.14626865671641789"/>
    <n v="2"/>
    <n v="0"/>
    <n v="2023"/>
    <n v="11"/>
    <x v="8"/>
  </r>
  <r>
    <n v="565"/>
    <s v="HTBXG350"/>
    <x v="182"/>
    <s v="Hộp"/>
    <n v="57200"/>
    <n v="0"/>
    <n v="1"/>
    <n v="67000"/>
    <n v="67000"/>
    <d v="2023-11-04T00:00:00"/>
    <s v="Tuấn Kiệt - M.Long"/>
    <x v="0"/>
    <n v="9800"/>
    <n v="0.14626865671641789"/>
    <n v="1"/>
    <n v="0"/>
    <n v="2023"/>
    <n v="11"/>
    <x v="8"/>
  </r>
  <r>
    <n v="567"/>
    <s v="SBOMGROW900"/>
    <x v="84"/>
    <s v="Lon"/>
    <n v="2548800"/>
    <n v="0"/>
    <n v="12"/>
    <n v="2865600"/>
    <n v="2865600"/>
    <d v="2023-11-06T00:00:00"/>
    <s v="TT Hoàng Yến - M.Long"/>
    <x v="2"/>
    <n v="316800"/>
    <n v="0.1105527638190955"/>
    <n v="12"/>
    <n v="0"/>
    <n v="2023"/>
    <n v="11"/>
    <x v="10"/>
  </r>
  <r>
    <n v="568"/>
    <s v="KR1001"/>
    <x v="122"/>
    <s v="Gói"/>
    <n v="3360000"/>
    <n v="0"/>
    <n v="70"/>
    <n v="2912000"/>
    <n v="2912000"/>
    <d v="2023-11-06T00:00:00"/>
    <s v="Hoàng Huyên - M.Long"/>
    <x v="2"/>
    <n v="-448000"/>
    <n v="-0.15384615384615391"/>
    <n v="70"/>
    <n v="0"/>
    <n v="2023"/>
    <n v="11"/>
    <x v="0"/>
  </r>
  <r>
    <n v="569"/>
    <s v="HTBD12"/>
    <x v="93"/>
    <s v="Hộp"/>
    <n v="42084"/>
    <n v="0"/>
    <n v="1"/>
    <n v="48000"/>
    <n v="48000"/>
    <d v="2023-11-06T00:00:00"/>
    <s v="Thế giới sữa Tony - T.Nghĩa"/>
    <x v="2"/>
    <n v="5916"/>
    <n v="0.12325"/>
    <n v="1"/>
    <n v="0"/>
    <n v="2023"/>
    <n v="11"/>
    <x v="8"/>
  </r>
  <r>
    <n v="570"/>
    <s v="HTBD121"/>
    <x v="94"/>
    <s v="Hộp"/>
    <n v="42084"/>
    <n v="0"/>
    <n v="1"/>
    <n v="48000"/>
    <n v="48000"/>
    <d v="2023-11-06T00:00:00"/>
    <s v="Thế giới sữa Tony - T.Nghĩa"/>
    <x v="2"/>
    <n v="5916"/>
    <n v="0.12325"/>
    <n v="1"/>
    <n v="0"/>
    <n v="2023"/>
    <n v="11"/>
    <x v="8"/>
  </r>
  <r>
    <n v="572"/>
    <s v="HTBTE501"/>
    <x v="118"/>
    <s v="Hộp"/>
    <n v="271800"/>
    <n v="0"/>
    <n v="6"/>
    <n v="300000"/>
    <n v="300000"/>
    <d v="2023-11-06T00:00:00"/>
    <s v="Thế giới sữa Tony - T.Nghĩa"/>
    <x v="2"/>
    <n v="28200"/>
    <n v="9.4E-2"/>
    <n v="6"/>
    <n v="0"/>
    <n v="2023"/>
    <n v="11"/>
    <x v="8"/>
  </r>
  <r>
    <n v="573"/>
    <s v="HTBTE502"/>
    <x v="119"/>
    <s v="Hộp"/>
    <n v="271800"/>
    <n v="1"/>
    <n v="6"/>
    <n v="300000"/>
    <n v="300000"/>
    <d v="2023-11-06T00:00:00"/>
    <s v="Thế giới sữa Tony - T.Nghĩa"/>
    <x v="2"/>
    <n v="28200"/>
    <n v="9.4E-2"/>
    <n v="7"/>
    <n v="0.14285714285714279"/>
    <n v="2023"/>
    <n v="11"/>
    <x v="8"/>
  </r>
  <r>
    <n v="574"/>
    <s v="HTKD802"/>
    <x v="185"/>
    <s v="Gói"/>
    <n v="78320"/>
    <n v="0"/>
    <n v="5"/>
    <n v="92500"/>
    <n v="92500"/>
    <d v="2023-11-06T00:00:00"/>
    <s v="Thế giới sữa Tony - T.Nghĩa"/>
    <x v="2"/>
    <n v="14180"/>
    <n v="0.1532972972972973"/>
    <n v="5"/>
    <n v="0"/>
    <n v="2023"/>
    <n v="11"/>
    <x v="4"/>
  </r>
  <r>
    <n v="576"/>
    <s v="KTN80"/>
    <x v="116"/>
    <s v="Gói"/>
    <n v="26250"/>
    <n v="0"/>
    <n v="5"/>
    <n v="35000"/>
    <n v="35000"/>
    <d v="2023-11-09T00:00:00"/>
    <s v="Thanh Tâm - Ngã 4"/>
    <x v="2"/>
    <n v="8750"/>
    <n v="0.25"/>
    <n v="5"/>
    <n v="0"/>
    <n v="2023"/>
    <n v="11"/>
    <x v="4"/>
  </r>
  <r>
    <n v="577"/>
    <s v="KTN801"/>
    <x v="117"/>
    <s v="Gói"/>
    <n v="26250"/>
    <n v="0"/>
    <n v="5"/>
    <n v="35000"/>
    <n v="35000"/>
    <d v="2023-11-09T00:00:00"/>
    <s v="Thanh Tâm - Ngã 4"/>
    <x v="2"/>
    <n v="8750"/>
    <n v="0.25"/>
    <n v="5"/>
    <n v="0"/>
    <n v="2023"/>
    <n v="11"/>
    <x v="4"/>
  </r>
  <r>
    <n v="578"/>
    <s v="KTN802"/>
    <x v="98"/>
    <s v="Gói"/>
    <n v="26250"/>
    <n v="0"/>
    <n v="5"/>
    <n v="35000"/>
    <n v="35000"/>
    <d v="2023-11-09T00:00:00"/>
    <s v="Thanh Tâm - Ngã 4"/>
    <x v="2"/>
    <n v="8750"/>
    <n v="0.25"/>
    <n v="5"/>
    <n v="0"/>
    <n v="2023"/>
    <n v="11"/>
    <x v="4"/>
  </r>
  <r>
    <n v="579"/>
    <s v="BWW18"/>
    <x v="186"/>
    <s v="Hộp"/>
    <n v="82500"/>
    <n v="0"/>
    <n v="3"/>
    <n v="84000"/>
    <n v="84000"/>
    <d v="2023-11-09T00:00:00"/>
    <s v="Thế giới sữa Tony - T.Nghĩa"/>
    <x v="2"/>
    <n v="1500"/>
    <n v="1.785714285714286E-2"/>
    <n v="3"/>
    <n v="0"/>
    <n v="2023"/>
    <n v="11"/>
    <x v="8"/>
  </r>
  <r>
    <n v="580"/>
    <s v="BWW181"/>
    <x v="187"/>
    <s v="Hộp"/>
    <n v="82500"/>
    <n v="0"/>
    <n v="3"/>
    <n v="84000"/>
    <n v="84000"/>
    <d v="2023-11-09T00:00:00"/>
    <s v="Thế giới sữa Tony - T.Nghĩa"/>
    <x v="2"/>
    <n v="1500"/>
    <n v="1.785714285714286E-2"/>
    <n v="3"/>
    <n v="0"/>
    <n v="2023"/>
    <n v="11"/>
    <x v="8"/>
  </r>
  <r>
    <n v="581"/>
    <s v="BWW202"/>
    <x v="188"/>
    <s v="Hộp"/>
    <n v="82500"/>
    <n v="0"/>
    <n v="3"/>
    <n v="84000"/>
    <n v="84000"/>
    <d v="2023-11-09T00:00:00"/>
    <s v="Thế giới sữa Tony - T.Nghĩa"/>
    <x v="2"/>
    <n v="1500"/>
    <n v="1.785714285714286E-2"/>
    <n v="3"/>
    <n v="0"/>
    <n v="2023"/>
    <n v="11"/>
    <x v="8"/>
  </r>
  <r>
    <n v="582"/>
    <s v="BWW203"/>
    <x v="189"/>
    <s v="Hộp"/>
    <n v="82500"/>
    <n v="0"/>
    <n v="3"/>
    <n v="84000"/>
    <n v="84000"/>
    <d v="2023-11-09T00:00:00"/>
    <s v="Thế giới sữa Tony - T.Nghĩa"/>
    <x v="2"/>
    <n v="1500"/>
    <n v="1.785714285714286E-2"/>
    <n v="3"/>
    <n v="0"/>
    <n v="2023"/>
    <n v="11"/>
    <x v="8"/>
  </r>
  <r>
    <n v="583"/>
    <s v="CG50"/>
    <x v="18"/>
    <s v="Cái"/>
    <n v="165000"/>
    <n v="0"/>
    <n v="30"/>
    <n v="195000"/>
    <n v="195000"/>
    <d v="2023-11-09T00:00:00"/>
    <s v="Thế giới sữa Tony - T.Nghĩa"/>
    <x v="2"/>
    <n v="30000"/>
    <n v="0.15384615384615391"/>
    <n v="30"/>
    <n v="0"/>
    <n v="2023"/>
    <n v="11"/>
    <x v="4"/>
  </r>
  <r>
    <n v="584"/>
    <s v="HTBD121"/>
    <x v="94"/>
    <s v="Hộp"/>
    <n v="42084"/>
    <n v="0"/>
    <n v="1"/>
    <n v="48000"/>
    <n v="48000"/>
    <d v="2023-11-09T00:00:00"/>
    <s v="Thế giới sữa Tony - T.Nghĩa"/>
    <x v="2"/>
    <n v="5916"/>
    <n v="0.12325"/>
    <n v="1"/>
    <n v="0"/>
    <n v="2023"/>
    <n v="11"/>
    <x v="8"/>
  </r>
  <r>
    <n v="585"/>
    <s v="KGC10"/>
    <x v="95"/>
    <s v="Gói"/>
    <n v="90000"/>
    <n v="0"/>
    <n v="25"/>
    <n v="100000"/>
    <n v="100000"/>
    <d v="2023-11-09T00:00:00"/>
    <s v="Thế giới sữa Tony - T.Nghĩa"/>
    <x v="2"/>
    <n v="10000"/>
    <n v="0.1"/>
    <n v="25"/>
    <n v="0"/>
    <n v="2023"/>
    <n v="11"/>
    <x v="4"/>
  </r>
  <r>
    <n v="586"/>
    <s v="JA1KG"/>
    <x v="26"/>
    <s v="Chai"/>
    <n v="450000"/>
    <n v="12"/>
    <n v="60"/>
    <n v="650000"/>
    <n v="650000"/>
    <d v="2023-11-09T00:00:00"/>
    <s v="5 Phụng - T.Nghĩa"/>
    <x v="2"/>
    <n v="200000"/>
    <n v="0.30769230769230771"/>
    <n v="72"/>
    <n v="0.16666666666666671"/>
    <n v="2023"/>
    <n v="11"/>
    <x v="1"/>
  </r>
  <r>
    <n v="587"/>
    <s v="BC32C189"/>
    <x v="190"/>
    <s v="Hủ"/>
    <n v="230000"/>
    <n v="0"/>
    <n v="2"/>
    <n v="390000"/>
    <n v="390000"/>
    <d v="2023-11-09T00:00:00"/>
    <s v="Chị Nhung - T.Nghĩa"/>
    <x v="2"/>
    <n v="160000"/>
    <n v="0.41025641025641019"/>
    <n v="2"/>
    <n v="0"/>
    <n v="2023"/>
    <n v="11"/>
    <x v="2"/>
  </r>
  <r>
    <n v="588"/>
    <s v="CG50"/>
    <x v="18"/>
    <s v="Cái"/>
    <n v="165000"/>
    <n v="0"/>
    <n v="30"/>
    <n v="180000"/>
    <n v="180000"/>
    <d v="2023-11-09T00:00:00"/>
    <s v="Chị Nhung - T.Nghĩa"/>
    <x v="2"/>
    <n v="15000"/>
    <n v="8.3333333333333329E-2"/>
    <n v="30"/>
    <n v="0"/>
    <n v="2023"/>
    <n v="11"/>
    <x v="4"/>
  </r>
  <r>
    <n v="589"/>
    <s v="HTK151"/>
    <x v="120"/>
    <s v="Dây"/>
    <n v="75000"/>
    <n v="0"/>
    <n v="2"/>
    <n v="82000"/>
    <n v="82000"/>
    <d v="2023-11-09T00:00:00"/>
    <s v="Chị Nhung - T.Nghĩa"/>
    <x v="2"/>
    <n v="7000"/>
    <n v="8.5365853658536592E-2"/>
    <n v="2"/>
    <n v="0"/>
    <n v="2023"/>
    <n v="11"/>
    <x v="4"/>
  </r>
  <r>
    <n v="591"/>
    <s v="VMS002"/>
    <x v="91"/>
    <s v="Túi"/>
    <n v="46562"/>
    <n v="0"/>
    <n v="2"/>
    <n v="63000"/>
    <n v="63000"/>
    <d v="2023-11-09T00:00:00"/>
    <s v="Chị Nhung - T.Nghĩa"/>
    <x v="2"/>
    <n v="16438"/>
    <n v="0.26092063492063489"/>
    <n v="2"/>
    <n v="0"/>
    <n v="2023"/>
    <n v="11"/>
    <x v="4"/>
  </r>
  <r>
    <n v="592"/>
    <s v="CG50"/>
    <x v="18"/>
    <s v="Cái"/>
    <n v="82500"/>
    <n v="0"/>
    <n v="15"/>
    <n v="97500"/>
    <n v="97500"/>
    <d v="2023-11-09T00:00:00"/>
    <s v="An Nhiên - T.Nghĩa"/>
    <x v="2"/>
    <n v="15000"/>
    <n v="0.15384615384615391"/>
    <n v="15"/>
    <n v="0"/>
    <n v="2023"/>
    <n v="11"/>
    <x v="4"/>
  </r>
  <r>
    <n v="593"/>
    <s v="CG501"/>
    <x v="19"/>
    <s v="Cái"/>
    <n v="82500"/>
    <n v="0"/>
    <n v="15"/>
    <n v="97500"/>
    <n v="97500"/>
    <d v="2023-11-09T00:00:00"/>
    <s v="An Nhiên - T.Nghĩa"/>
    <x v="2"/>
    <n v="15000"/>
    <n v="0.15384615384615391"/>
    <n v="15"/>
    <n v="0"/>
    <n v="2023"/>
    <n v="11"/>
    <x v="4"/>
  </r>
  <r>
    <n v="594"/>
    <s v="KR1500"/>
    <x v="191"/>
    <s v="Gói"/>
    <n v="57000"/>
    <n v="0"/>
    <n v="3"/>
    <n v="84000"/>
    <n v="84000"/>
    <d v="2023-11-09T00:00:00"/>
    <s v="Ngọc Thắm - T.Nghĩa"/>
    <x v="2"/>
    <n v="27000"/>
    <n v="0.32142857142857151"/>
    <n v="3"/>
    <n v="0"/>
    <n v="2023"/>
    <n v="11"/>
    <x v="0"/>
  </r>
  <r>
    <n v="595"/>
    <s v="KU1509"/>
    <x v="157"/>
    <s v="Gói"/>
    <n v="90000"/>
    <n v="0"/>
    <n v="10"/>
    <n v="130000"/>
    <n v="130000"/>
    <d v="2023-11-09T00:00:00"/>
    <s v="Ngọc Thắm - T.Nghĩa"/>
    <x v="2"/>
    <n v="40000"/>
    <n v="0.30769230769230771"/>
    <n v="10"/>
    <n v="0"/>
    <n v="2023"/>
    <n v="11"/>
    <x v="3"/>
  </r>
  <r>
    <n v="596"/>
    <s v="KV1001"/>
    <x v="62"/>
    <s v="Gói"/>
    <n v="75000"/>
    <n v="0"/>
    <n v="10"/>
    <n v="90000"/>
    <n v="90000"/>
    <d v="2023-11-09T00:00:00"/>
    <s v="Ngọc Thắm - T.Nghĩa"/>
    <x v="2"/>
    <n v="15000"/>
    <n v="0.16666666666666671"/>
    <n v="10"/>
    <n v="0"/>
    <n v="2023"/>
    <n v="11"/>
    <x v="0"/>
  </r>
  <r>
    <n v="597"/>
    <s v="KV1007"/>
    <x v="39"/>
    <s v="Gói"/>
    <n v="270000"/>
    <n v="0"/>
    <n v="40"/>
    <n v="300000"/>
    <n v="300000"/>
    <d v="2023-11-09T00:00:00"/>
    <s v="Ngọc Thắm - T.Nghĩa"/>
    <x v="2"/>
    <n v="30000"/>
    <n v="0.1"/>
    <n v="40"/>
    <n v="0"/>
    <n v="2023"/>
    <n v="11"/>
    <x v="0"/>
  </r>
  <r>
    <n v="598"/>
    <s v="KU250"/>
    <x v="13"/>
    <s v="Gói"/>
    <n v="231000"/>
    <n v="0"/>
    <n v="30"/>
    <n v="300000"/>
    <n v="300000"/>
    <d v="2023-11-10T00:00:00"/>
    <s v="Nhung Nhựt - N.V.Tiếp"/>
    <x v="2"/>
    <n v="69000"/>
    <n v="0.23"/>
    <n v="30"/>
    <n v="0"/>
    <n v="2023"/>
    <n v="11"/>
    <x v="3"/>
  </r>
  <r>
    <n v="600"/>
    <s v="KV320"/>
    <x v="8"/>
    <s v="Gói"/>
    <n v="264000"/>
    <n v="0"/>
    <n v="24"/>
    <n v="240000"/>
    <n v="240000"/>
    <d v="2023-11-10T00:00:00"/>
    <s v="Phượng Loan - N.V.Tiếp"/>
    <x v="2"/>
    <n v="-24000"/>
    <n v="-0.1"/>
    <n v="24"/>
    <n v="0"/>
    <n v="2023"/>
    <n v="11"/>
    <x v="0"/>
  </r>
  <r>
    <n v="601"/>
    <s v="KV1002"/>
    <x v="3"/>
    <s v="Gói"/>
    <n v="1296000"/>
    <n v="0"/>
    <n v="180"/>
    <n v="1692000"/>
    <n v="1692000"/>
    <d v="2023-11-10T00:00:00"/>
    <s v="Căn tin BV Phổi( Chị Duyên) - BV phổi"/>
    <x v="0"/>
    <n v="396000"/>
    <n v="0.23404255319148939"/>
    <n v="180"/>
    <n v="0"/>
    <n v="2023"/>
    <n v="11"/>
    <x v="0"/>
  </r>
  <r>
    <n v="602"/>
    <s v="BSOGI12"/>
    <x v="78"/>
    <s v="Hủ"/>
    <n v="63000"/>
    <n v="0"/>
    <n v="1"/>
    <n v="73000"/>
    <n v="73000"/>
    <d v="2023-11-10T00:00:00"/>
    <s v="Bảo Trân (Chị Trâm) - P.Thịnh"/>
    <x v="3"/>
    <n v="10000"/>
    <n v="0.13698630136986301"/>
    <n v="1"/>
    <n v="0"/>
    <n v="2023"/>
    <n v="11"/>
    <x v="8"/>
  </r>
  <r>
    <n v="603"/>
    <s v="HTK151"/>
    <x v="120"/>
    <s v="Dây"/>
    <n v="75000"/>
    <n v="0"/>
    <n v="2"/>
    <n v="84000"/>
    <n v="84000"/>
    <d v="2023-11-10T00:00:00"/>
    <s v="Bảo Trân (Chị Trâm) - P.Thịnh"/>
    <x v="3"/>
    <n v="9000"/>
    <n v="0.1071428571428571"/>
    <n v="2"/>
    <n v="0"/>
    <n v="2023"/>
    <n v="11"/>
    <x v="4"/>
  </r>
  <r>
    <n v="604"/>
    <s v="KDL03"/>
    <x v="192"/>
    <s v="Cây"/>
    <n v="225000"/>
    <n v="0"/>
    <n v="30"/>
    <n v="285000"/>
    <n v="285000"/>
    <d v="2023-11-10T00:00:00"/>
    <s v="Shop Hope - N.V.Tiếp ( Đập Đá)"/>
    <x v="3"/>
    <n v="60000"/>
    <n v="0.2105263157894737"/>
    <n v="30"/>
    <n v="0"/>
    <n v="2023"/>
    <n v="11"/>
    <x v="0"/>
  </r>
  <r>
    <n v="605"/>
    <s v="KU20"/>
    <x v="193"/>
    <s v="Gói"/>
    <n v="104400"/>
    <n v="0"/>
    <n v="36"/>
    <n v="144000"/>
    <n v="144000"/>
    <d v="2023-11-10T00:00:00"/>
    <s v="Ngọc Hạnh - P.Thịnh"/>
    <x v="3"/>
    <n v="39600"/>
    <n v="0.27500000000000002"/>
    <n v="36"/>
    <n v="0"/>
    <n v="2023"/>
    <n v="11"/>
    <x v="3"/>
  </r>
  <r>
    <n v="606"/>
    <s v="GC616"/>
    <x v="194"/>
    <s v="Cây"/>
    <n v="64000"/>
    <n v="0"/>
    <n v="2"/>
    <n v="80000"/>
    <n v="80000"/>
    <d v="2023-11-10T00:00:00"/>
    <s v="Thanh Thúy - P.Trà"/>
    <x v="3"/>
    <n v="16000"/>
    <n v="0.2"/>
    <n v="2"/>
    <n v="0"/>
    <n v="2023"/>
    <n v="11"/>
    <x v="7"/>
  </r>
  <r>
    <n v="607"/>
    <s v="NSSK555"/>
    <x v="63"/>
    <s v="Thùng"/>
    <n v="156000"/>
    <n v="0"/>
    <n v="2"/>
    <n v="172000"/>
    <n v="172000"/>
    <d v="2023-11-10T00:00:00"/>
    <s v="Thanh Thúy - P.Trà"/>
    <x v="3"/>
    <n v="16000"/>
    <n v="9.3023255813953487E-2"/>
    <n v="2"/>
    <n v="0"/>
    <n v="2023"/>
    <n v="11"/>
    <x v="9"/>
  </r>
  <r>
    <n v="608"/>
    <s v="HM608"/>
    <x v="36"/>
    <s v="Hộp"/>
    <n v="600000"/>
    <n v="0"/>
    <n v="6"/>
    <n v="1308000"/>
    <n v="1308000"/>
    <d v="2023-11-11T00:00:00"/>
    <s v="Thái Nguyên - T.Linh"/>
    <x v="2"/>
    <n v="708000"/>
    <n v="0.54128440366972475"/>
    <n v="6"/>
    <n v="0"/>
    <n v="2023"/>
    <n v="11"/>
    <x v="7"/>
  </r>
  <r>
    <n v="610"/>
    <s v="KU250"/>
    <x v="13"/>
    <s v="Gói"/>
    <n v="231000"/>
    <n v="0"/>
    <n v="30"/>
    <n v="300000"/>
    <n v="300000"/>
    <d v="2023-11-11T00:00:00"/>
    <s v="Thái Nguyên - T.Linh"/>
    <x v="2"/>
    <n v="69000"/>
    <n v="0.23"/>
    <n v="30"/>
    <n v="0"/>
    <n v="2023"/>
    <n v="11"/>
    <x v="3"/>
  </r>
  <r>
    <n v="611"/>
    <s v="BC32C189"/>
    <x v="190"/>
    <s v="Hủ"/>
    <n v="115000"/>
    <n v="0"/>
    <n v="1"/>
    <n v="150000"/>
    <n v="150000"/>
    <d v="2023-11-13T00:00:00"/>
    <s v="Mỹ Hạnh - HCL"/>
    <x v="2"/>
    <n v="35000"/>
    <n v="0.23333333333333331"/>
    <n v="1"/>
    <n v="0"/>
    <n v="2023"/>
    <n v="11"/>
    <x v="2"/>
  </r>
  <r>
    <n v="612"/>
    <s v="BCTE001"/>
    <x v="171"/>
    <s v="Cây"/>
    <n v="93336"/>
    <n v="0"/>
    <n v="8"/>
    <n v="112000"/>
    <n v="112000"/>
    <d v="2023-11-13T00:00:00"/>
    <s v="Mỹ Hạnh - HCL"/>
    <x v="2"/>
    <n v="18664"/>
    <n v="0.16664285714285709"/>
    <n v="8"/>
    <n v="0"/>
    <n v="2023"/>
    <n v="11"/>
    <x v="2"/>
  </r>
  <r>
    <n v="613"/>
    <s v="BCTE002"/>
    <x v="172"/>
    <s v="Cây"/>
    <n v="93336"/>
    <n v="0"/>
    <n v="8"/>
    <n v="112000"/>
    <n v="112000"/>
    <d v="2023-11-13T00:00:00"/>
    <s v="Mỹ Hạnh - HCL"/>
    <x v="2"/>
    <n v="18664"/>
    <n v="0.16664285714285709"/>
    <n v="8"/>
    <n v="0"/>
    <n v="2023"/>
    <n v="11"/>
    <x v="2"/>
  </r>
  <r>
    <n v="614"/>
    <s v="BCTE003"/>
    <x v="173"/>
    <s v="Cây"/>
    <n v="93336"/>
    <n v="4"/>
    <n v="8"/>
    <n v="64000"/>
    <n v="64000"/>
    <d v="2023-11-13T00:00:00"/>
    <s v="Mỹ Hạnh - HCL"/>
    <x v="2"/>
    <n v="-29336"/>
    <n v="-0.45837499999999998"/>
    <n v="12"/>
    <n v="0.33333333333333331"/>
    <n v="2023"/>
    <n v="11"/>
    <x v="2"/>
  </r>
  <r>
    <n v="615"/>
    <s v="KDR002"/>
    <x v="147"/>
    <s v="Hộp"/>
    <n v="66665"/>
    <n v="2"/>
    <n v="5"/>
    <n v="54000"/>
    <n v="54000"/>
    <d v="2023-11-13T00:00:00"/>
    <s v="Mỹ Hạnh - HCL"/>
    <x v="2"/>
    <n v="-12665"/>
    <n v="-0.23453703703703699"/>
    <n v="7"/>
    <n v="0.2857142857142857"/>
    <n v="2023"/>
    <n v="11"/>
    <x v="2"/>
  </r>
  <r>
    <n v="616"/>
    <s v="KDR003"/>
    <x v="148"/>
    <s v="Hộp"/>
    <n v="66665"/>
    <n v="0"/>
    <n v="5"/>
    <n v="80000"/>
    <n v="80000"/>
    <d v="2023-11-13T00:00:00"/>
    <s v="Mỹ Hạnh - HCL"/>
    <x v="2"/>
    <n v="13335"/>
    <n v="0.16668749999999999"/>
    <n v="5"/>
    <n v="0"/>
    <n v="2023"/>
    <n v="11"/>
    <x v="2"/>
  </r>
  <r>
    <n v="617"/>
    <s v="KV1001"/>
    <x v="62"/>
    <s v="Gói"/>
    <n v="450000"/>
    <n v="0"/>
    <n v="60"/>
    <n v="480000"/>
    <n v="480000"/>
    <d v="2023-11-13T00:00:00"/>
    <s v="Mỹ Hạnh - HCL"/>
    <x v="2"/>
    <n v="30000"/>
    <n v="6.25E-2"/>
    <n v="60"/>
    <n v="0"/>
    <n v="2023"/>
    <n v="11"/>
    <x v="0"/>
  </r>
  <r>
    <n v="618"/>
    <s v="HM600"/>
    <x v="71"/>
    <s v="Hộp"/>
    <n v="1215000"/>
    <n v="0"/>
    <n v="6"/>
    <n v="1620000"/>
    <n v="1620000"/>
    <d v="2023-11-13T00:00:00"/>
    <s v="Minh Hiền (chị Ớ) - B.H.Trung"/>
    <x v="0"/>
    <n v="405000"/>
    <n v="0.25"/>
    <n v="6"/>
    <n v="0"/>
    <n v="2023"/>
    <n v="11"/>
    <x v="7"/>
  </r>
  <r>
    <n v="619"/>
    <s v="HM601"/>
    <x v="22"/>
    <s v="Hộp"/>
    <n v="1152000"/>
    <n v="0"/>
    <n v="6"/>
    <n v="1440000"/>
    <n v="1440000"/>
    <d v="2023-11-13T00:00:00"/>
    <s v="Minh Hiền (chị Ớ) - B.H.Trung"/>
    <x v="0"/>
    <n v="288000"/>
    <n v="0.2"/>
    <n v="6"/>
    <n v="0"/>
    <n v="2023"/>
    <n v="11"/>
    <x v="7"/>
  </r>
  <r>
    <n v="622"/>
    <s v="HM609"/>
    <x v="72"/>
    <s v="Hộp"/>
    <n v="900000"/>
    <n v="0"/>
    <n v="6"/>
    <n v="1308000"/>
    <n v="1308000"/>
    <d v="2023-11-13T00:00:00"/>
    <s v="Minh Hiền (chị Ớ) - B.H.Trung"/>
    <x v="0"/>
    <n v="408000"/>
    <n v="0.31192660550458717"/>
    <n v="6"/>
    <n v="0"/>
    <n v="2023"/>
    <n v="11"/>
    <x v="7"/>
  </r>
  <r>
    <n v="623"/>
    <s v="TBTE20002"/>
    <x v="33"/>
    <s v="Hộp"/>
    <n v="535500"/>
    <n v="6"/>
    <n v="36"/>
    <n v="525000"/>
    <n v="525000"/>
    <d v="2023-11-13T00:00:00"/>
    <s v="Chị Nga - HCL"/>
    <x v="2"/>
    <n v="-10500"/>
    <n v="-0.02"/>
    <n v="42"/>
    <n v="0.14285714285714279"/>
    <n v="2023"/>
    <n v="11"/>
    <x v="5"/>
  </r>
  <r>
    <n v="624"/>
    <s v="KU600"/>
    <x v="195"/>
    <s v="Gói"/>
    <n v="175000"/>
    <n v="2"/>
    <n v="10"/>
    <n v="167000"/>
    <n v="167000"/>
    <d v="2023-11-13T00:00:00"/>
    <s v="Chị Sương (Thu Sương) - A.Bình"/>
    <x v="4"/>
    <n v="-8000"/>
    <n v="-4.790419161676647E-2"/>
    <n v="12"/>
    <n v="0.16666666666666671"/>
    <n v="2023"/>
    <n v="11"/>
    <x v="3"/>
  </r>
  <r>
    <n v="625"/>
    <s v="HTBD12"/>
    <x v="93"/>
    <s v="Hộp"/>
    <n v="42084"/>
    <n v="0"/>
    <n v="1"/>
    <n v="48000"/>
    <n v="48000"/>
    <d v="2023-11-13T00:00:00"/>
    <s v="Chị Đẹp - T.H.Trung"/>
    <x v="4"/>
    <n v="5916"/>
    <n v="0.12325"/>
    <n v="1"/>
    <n v="0"/>
    <n v="2023"/>
    <n v="11"/>
    <x v="8"/>
  </r>
  <r>
    <n v="626"/>
    <s v="KV1007"/>
    <x v="39"/>
    <s v="Gói"/>
    <n v="195750"/>
    <n v="0"/>
    <n v="29"/>
    <n v="217500"/>
    <n v="217500"/>
    <d v="2023-11-13T00:00:00"/>
    <s v="Chị Đẹp - T.H.Trung"/>
    <x v="4"/>
    <n v="21750"/>
    <n v="0.1"/>
    <n v="29"/>
    <n v="0"/>
    <n v="2023"/>
    <n v="11"/>
    <x v="0"/>
  </r>
  <r>
    <n v="627"/>
    <s v="KH1802"/>
    <x v="196"/>
    <s v="Hộp"/>
    <n v="692064"/>
    <n v="0"/>
    <n v="36"/>
    <n v="648000"/>
    <n v="648000"/>
    <d v="2023-11-13T00:00:00"/>
    <s v="Mỹ Nhân - N.Mỹ"/>
    <x v="2"/>
    <n v="-44064"/>
    <n v="-6.8000000000000005E-2"/>
    <n v="36"/>
    <n v="0"/>
    <n v="2023"/>
    <n v="11"/>
    <x v="0"/>
  </r>
  <r>
    <n v="628"/>
    <s v="KV1009"/>
    <x v="46"/>
    <s v="Gói"/>
    <n v="576000"/>
    <n v="0"/>
    <n v="96"/>
    <n v="720000"/>
    <n v="720000"/>
    <d v="2023-11-13T00:00:00"/>
    <s v="Chị Đào - T.H.Trung"/>
    <x v="0"/>
    <n v="144000"/>
    <n v="0.2"/>
    <n v="96"/>
    <n v="0"/>
    <n v="2023"/>
    <n v="11"/>
    <x v="0"/>
  </r>
  <r>
    <n v="629"/>
    <s v="HM607"/>
    <x v="68"/>
    <s v="Hộp"/>
    <n v="600000"/>
    <n v="6"/>
    <n v="6"/>
    <n v="654000"/>
    <n v="654000"/>
    <d v="2023-11-13T00:00:00"/>
    <s v="Phước Hải - A.Bình"/>
    <x v="2"/>
    <n v="54000"/>
    <n v="8.2568807339449546E-2"/>
    <n v="12"/>
    <n v="0.5"/>
    <n v="2023"/>
    <n v="11"/>
    <x v="7"/>
  </r>
  <r>
    <n v="630"/>
    <s v="HM608"/>
    <x v="36"/>
    <s v="Hộp"/>
    <n v="600000"/>
    <n v="6"/>
    <n v="6"/>
    <n v="654000"/>
    <n v="654000"/>
    <d v="2023-11-13T00:00:00"/>
    <s v="Phước Hải - A.Bình"/>
    <x v="2"/>
    <n v="54000"/>
    <n v="8.2568807339449546E-2"/>
    <n v="12"/>
    <n v="0.5"/>
    <n v="2023"/>
    <n v="11"/>
    <x v="7"/>
  </r>
  <r>
    <n v="631"/>
    <s v="BC32C189"/>
    <x v="190"/>
    <s v="Hủ"/>
    <n v="230000"/>
    <n v="0"/>
    <n v="2"/>
    <n v="390000"/>
    <n v="390000"/>
    <d v="2023-11-13T00:00:00"/>
    <s v="Trung Phụng - T.H.Trung"/>
    <x v="0"/>
    <n v="160000"/>
    <n v="0.41025641025641019"/>
    <n v="2"/>
    <n v="0"/>
    <n v="2023"/>
    <n v="11"/>
    <x v="2"/>
  </r>
  <r>
    <n v="633"/>
    <s v="HM608"/>
    <x v="36"/>
    <s v="Hộp"/>
    <n v="600000"/>
    <n v="3"/>
    <n v="6"/>
    <n v="981000"/>
    <n v="981000"/>
    <d v="2023-11-13T00:00:00"/>
    <s v="Trung Phụng - T.H.Trung"/>
    <x v="0"/>
    <n v="381000"/>
    <n v="0.38837920489296629"/>
    <n v="9"/>
    <n v="0.33333333333333331"/>
    <n v="2023"/>
    <n v="11"/>
    <x v="7"/>
  </r>
  <r>
    <n v="634"/>
    <s v="KDL03"/>
    <x v="192"/>
    <s v="Cây"/>
    <n v="75000"/>
    <n v="0"/>
    <n v="10"/>
    <n v="95000"/>
    <n v="95000"/>
    <d v="2023-11-13T00:00:00"/>
    <s v="Trung Phụng - T.H.Trung"/>
    <x v="0"/>
    <n v="20000"/>
    <n v="0.2105263157894737"/>
    <n v="10"/>
    <n v="0"/>
    <n v="2023"/>
    <n v="11"/>
    <x v="0"/>
  </r>
  <r>
    <n v="636"/>
    <s v="BCN189"/>
    <x v="87"/>
    <s v="Cây"/>
    <n v="144000"/>
    <n v="0"/>
    <n v="30"/>
    <n v="210000"/>
    <n v="210000"/>
    <d v="2023-11-13T00:00:00"/>
    <s v="TH Trinh (Mỹ Trinh) - HCL (cuối chợ)"/>
    <x v="0"/>
    <n v="66000"/>
    <n v="0.31428571428571428"/>
    <n v="30"/>
    <n v="0"/>
    <n v="2023"/>
    <n v="11"/>
    <x v="2"/>
  </r>
  <r>
    <n v="637"/>
    <s v="GC605"/>
    <x v="28"/>
    <s v="Cây"/>
    <n v="290000"/>
    <n v="1"/>
    <n v="10"/>
    <n v="355000"/>
    <n v="355000"/>
    <d v="2023-11-13T00:00:00"/>
    <s v="Út Bông - T.H.Trung"/>
    <x v="2"/>
    <n v="65000"/>
    <n v="0.18309859154929581"/>
    <n v="11"/>
    <n v="9.0909090909090912E-2"/>
    <n v="2023"/>
    <n v="11"/>
    <x v="7"/>
  </r>
  <r>
    <n v="638"/>
    <s v="KU250"/>
    <x v="13"/>
    <s v="Gói"/>
    <n v="77000"/>
    <n v="0"/>
    <n v="10"/>
    <n v="100000"/>
    <n v="100000"/>
    <d v="2023-11-13T00:00:00"/>
    <s v="Út Bông - T.H.Trung"/>
    <x v="2"/>
    <n v="23000"/>
    <n v="0.23"/>
    <n v="10"/>
    <n v="0"/>
    <n v="2023"/>
    <n v="11"/>
    <x v="3"/>
  </r>
  <r>
    <n v="639"/>
    <s v="HM607"/>
    <x v="68"/>
    <s v="Hộp"/>
    <n v="1800000"/>
    <n v="0"/>
    <n v="18"/>
    <n v="3924000"/>
    <n v="3924000"/>
    <d v="2023-11-13T00:00:00"/>
    <s v="Kim Hiếu - HCL (X.Quýt)"/>
    <x v="4"/>
    <n v="2124000"/>
    <n v="0.54128440366972475"/>
    <n v="18"/>
    <n v="0"/>
    <n v="2023"/>
    <n v="11"/>
    <x v="7"/>
  </r>
  <r>
    <n v="641"/>
    <s v="BSOGI12"/>
    <x v="78"/>
    <s v="Hủ"/>
    <n v="63000"/>
    <n v="0"/>
    <n v="1"/>
    <n v="73000"/>
    <n v="73000"/>
    <d v="2023-11-13T00:00:00"/>
    <s v="Tố Quyên - T.H.Trung"/>
    <x v="2"/>
    <n v="10000"/>
    <n v="0.13698630136986301"/>
    <n v="1"/>
    <n v="0"/>
    <n v="2023"/>
    <n v="11"/>
    <x v="8"/>
  </r>
  <r>
    <n v="642"/>
    <s v="KTN2002"/>
    <x v="144"/>
    <s v="Gói"/>
    <n v="61000"/>
    <n v="0"/>
    <n v="5"/>
    <n v="70000"/>
    <n v="70000"/>
    <d v="2023-11-13T00:00:00"/>
    <s v="Tố Quyên - T.H.Trung"/>
    <x v="2"/>
    <n v="9000"/>
    <n v="0.12857142857142859"/>
    <n v="5"/>
    <n v="0"/>
    <n v="2023"/>
    <n v="11"/>
    <x v="4"/>
  </r>
  <r>
    <n v="643"/>
    <s v="KTN2003"/>
    <x v="145"/>
    <s v="Gói"/>
    <n v="61000"/>
    <n v="0"/>
    <n v="5"/>
    <n v="70000"/>
    <n v="70000"/>
    <d v="2023-11-13T00:00:00"/>
    <s v="Tố Quyên - T.H.Trung"/>
    <x v="2"/>
    <n v="9000"/>
    <n v="0.12857142857142859"/>
    <n v="5"/>
    <n v="0"/>
    <n v="2023"/>
    <n v="11"/>
    <x v="4"/>
  </r>
  <r>
    <n v="644"/>
    <s v="KTN2004"/>
    <x v="146"/>
    <s v="Gói"/>
    <n v="12200"/>
    <n v="0"/>
    <n v="1"/>
    <n v="14000"/>
    <n v="14000"/>
    <d v="2023-11-13T00:00:00"/>
    <s v="Tố Quyên - T.H.Trung"/>
    <x v="2"/>
    <n v="1800"/>
    <n v="0.12857142857142859"/>
    <n v="1"/>
    <n v="0"/>
    <n v="2023"/>
    <n v="11"/>
    <x v="4"/>
  </r>
  <r>
    <n v="645"/>
    <s v="KTN3001"/>
    <x v="41"/>
    <s v="Hộp"/>
    <n v="174000"/>
    <n v="0"/>
    <n v="12"/>
    <n v="168000"/>
    <n v="168000"/>
    <d v="2023-11-13T00:00:00"/>
    <s v="Anh Như - Chợ 307"/>
    <x v="4"/>
    <n v="-6000"/>
    <n v="-3.5714285714285712E-2"/>
    <n v="12"/>
    <n v="0"/>
    <n v="2023"/>
    <n v="11"/>
    <x v="4"/>
  </r>
  <r>
    <n v="646"/>
    <s v="GC10"/>
    <x v="140"/>
    <s v="Dây"/>
    <n v="130000"/>
    <n v="0"/>
    <n v="5"/>
    <n v="120000"/>
    <n v="120000"/>
    <d v="2023-11-13T00:00:00"/>
    <s v="Chị Duyên - HCL (Thanh Mỹ)"/>
    <x v="2"/>
    <n v="-10000"/>
    <n v="-8.3333333333333329E-2"/>
    <n v="5"/>
    <n v="0"/>
    <n v="2023"/>
    <n v="11"/>
    <x v="7"/>
  </r>
  <r>
    <n v="647"/>
    <s v="GC605"/>
    <x v="28"/>
    <s v="Cây"/>
    <n v="174000"/>
    <n v="0"/>
    <n v="6"/>
    <n v="210000"/>
    <n v="210000"/>
    <d v="2023-11-13T00:00:00"/>
    <s v="Chị Duyên - HCL (Thanh Mỹ)"/>
    <x v="2"/>
    <n v="36000"/>
    <n v="0.1714285714285714"/>
    <n v="6"/>
    <n v="0"/>
    <n v="2023"/>
    <n v="11"/>
    <x v="7"/>
  </r>
  <r>
    <n v="648"/>
    <s v="KR402"/>
    <x v="160"/>
    <s v="Gói"/>
    <n v="211200"/>
    <n v="2"/>
    <n v="10"/>
    <n v="180000"/>
    <n v="180000"/>
    <d v="2023-11-13T00:00:00"/>
    <s v="Chị Phượng - HCL (Thanh Mỹ)"/>
    <x v="4"/>
    <n v="-31200"/>
    <n v="-0.17333333333333331"/>
    <n v="12"/>
    <n v="0.16666666666666671"/>
    <n v="2023"/>
    <n v="11"/>
    <x v="0"/>
  </r>
  <r>
    <n v="649"/>
    <s v="KU250"/>
    <x v="13"/>
    <s v="Gói"/>
    <n v="154000"/>
    <n v="0"/>
    <n v="20"/>
    <n v="200000"/>
    <n v="200000"/>
    <d v="2023-11-13T00:00:00"/>
    <s v="Anh Dũng - HCL (Thanh Mỹ)"/>
    <x v="4"/>
    <n v="46000"/>
    <n v="0.23"/>
    <n v="20"/>
    <n v="0"/>
    <n v="2023"/>
    <n v="11"/>
    <x v="3"/>
  </r>
  <r>
    <n v="650"/>
    <s v="KV1011"/>
    <x v="16"/>
    <s v="Gói"/>
    <n v="66670"/>
    <n v="0"/>
    <n v="10"/>
    <n v="75000"/>
    <n v="75000"/>
    <d v="2023-11-13T00:00:00"/>
    <s v="Anh Dũng - HCL (Thanh Mỹ)"/>
    <x v="4"/>
    <n v="8330"/>
    <n v="0.1110666666666667"/>
    <n v="10"/>
    <n v="0"/>
    <n v="2023"/>
    <n v="11"/>
    <x v="0"/>
  </r>
  <r>
    <n v="651"/>
    <s v="KU250"/>
    <x v="13"/>
    <s v="Gói"/>
    <n v="231000"/>
    <n v="0"/>
    <n v="30"/>
    <n v="330000"/>
    <n v="330000"/>
    <d v="2023-11-13T00:00:00"/>
    <s v="TH Ngân (chị Ngân) - T.H.Trung"/>
    <x v="2"/>
    <n v="99000"/>
    <n v="0.3"/>
    <n v="30"/>
    <n v="0"/>
    <n v="2023"/>
    <n v="11"/>
    <x v="3"/>
  </r>
  <r>
    <n v="653"/>
    <s v="TNS1"/>
    <x v="24"/>
    <s v="Chai"/>
    <n v="190008"/>
    <n v="0"/>
    <n v="12"/>
    <n v="270000"/>
    <n v="270000"/>
    <d v="2023-11-13T00:00:00"/>
    <s v="TH Ngân (chị Ngân) - T.H.Trung"/>
    <x v="2"/>
    <n v="79992"/>
    <n v="0.29626666666666668"/>
    <n v="12"/>
    <n v="0"/>
    <n v="2023"/>
    <n v="11"/>
    <x v="1"/>
  </r>
  <r>
    <n v="654"/>
    <s v="GC1023"/>
    <x v="141"/>
    <s v="Dây"/>
    <n v="294000"/>
    <n v="2"/>
    <n v="12"/>
    <n v="288000"/>
    <n v="288000"/>
    <d v="2023-11-13T00:00:00"/>
    <s v="Chị Tuyết - HCL (N.Mỹ)"/>
    <x v="2"/>
    <n v="-6000"/>
    <n v="-2.0833333333333329E-2"/>
    <n v="14"/>
    <n v="0.14285714285714279"/>
    <n v="2023"/>
    <n v="11"/>
    <x v="7"/>
  </r>
  <r>
    <n v="656"/>
    <s v="KU600"/>
    <x v="195"/>
    <s v="Gói"/>
    <n v="1575000"/>
    <n v="0"/>
    <n v="90"/>
    <n v="1800000"/>
    <n v="1800000"/>
    <d v="2023-11-13T00:00:00"/>
    <s v="Cẩm Giang - M.Xương"/>
    <x v="0"/>
    <n v="225000"/>
    <n v="0.125"/>
    <n v="90"/>
    <n v="0"/>
    <n v="2023"/>
    <n v="11"/>
    <x v="3"/>
  </r>
  <r>
    <n v="658"/>
    <s v="TNS1"/>
    <x v="24"/>
    <s v="Chai"/>
    <n v="190008"/>
    <n v="0"/>
    <n v="12"/>
    <n v="264000"/>
    <n v="264000"/>
    <d v="2023-11-13T00:00:00"/>
    <s v="Diễm Lộc - HCL ( Thanh Mỹ)"/>
    <x v="4"/>
    <n v="73992"/>
    <n v="0.28027272727272728"/>
    <n v="12"/>
    <n v="0"/>
    <n v="2023"/>
    <n v="11"/>
    <x v="1"/>
  </r>
  <r>
    <n v="659"/>
    <s v="GC605"/>
    <x v="28"/>
    <s v="Cây"/>
    <n v="290000"/>
    <n v="1"/>
    <n v="10"/>
    <n v="355000"/>
    <n v="355000"/>
    <d v="2023-11-13T00:00:00"/>
    <s v="Nhà Sách Hùng Quyến - HCL ( Thanh Mỹ)"/>
    <x v="4"/>
    <n v="65000"/>
    <n v="0.18309859154929581"/>
    <n v="11"/>
    <n v="9.0909090909090912E-2"/>
    <n v="2023"/>
    <n v="11"/>
    <x v="7"/>
  </r>
  <r>
    <n v="660"/>
    <s v="KV100"/>
    <x v="0"/>
    <s v="Gói"/>
    <n v="345600"/>
    <n v="4"/>
    <n v="48"/>
    <n v="536000"/>
    <n v="536000"/>
    <d v="2023-11-14T00:00:00"/>
    <s v="Chị Nga - HCL"/>
    <x v="2"/>
    <n v="190400"/>
    <n v="0.35522388059701487"/>
    <n v="52"/>
    <n v="7.6923076923076927E-2"/>
    <n v="2023"/>
    <n v="11"/>
    <x v="0"/>
  </r>
  <r>
    <n v="661"/>
    <s v="KV100"/>
    <x v="0"/>
    <s v="Gói"/>
    <n v="691200"/>
    <n v="0"/>
    <n v="96"/>
    <n v="1017600"/>
    <n v="1017600"/>
    <d v="2023-11-14T00:00:00"/>
    <s v="Thanh Trang - HCL"/>
    <x v="2"/>
    <n v="326400"/>
    <n v="0.32075471698113212"/>
    <n v="96"/>
    <n v="0"/>
    <n v="2023"/>
    <n v="11"/>
    <x v="0"/>
  </r>
  <r>
    <n v="663"/>
    <s v="HM608"/>
    <x v="36"/>
    <s v="Hộp"/>
    <n v="600000"/>
    <n v="6"/>
    <n v="6"/>
    <n v="654000"/>
    <n v="654000"/>
    <d v="2023-11-14T00:00:00"/>
    <s v="Ngọc Lợi - N.Mỹ ( Cầu Cần Lố 3)"/>
    <x v="4"/>
    <n v="54000"/>
    <n v="8.2568807339449546E-2"/>
    <n v="12"/>
    <n v="0.5"/>
    <n v="2023"/>
    <n v="11"/>
    <x v="7"/>
  </r>
  <r>
    <n v="664"/>
    <s v="KV1007"/>
    <x v="39"/>
    <s v="Gói"/>
    <n v="270000"/>
    <n v="0"/>
    <n v="40"/>
    <n v="320000"/>
    <n v="320000"/>
    <d v="2023-11-14T00:00:00"/>
    <s v="Ngọc Lợi - N.Mỹ ( Cầu Cần Lố 3)"/>
    <x v="4"/>
    <n v="50000"/>
    <n v="0.15625"/>
    <n v="40"/>
    <n v="0"/>
    <n v="2023"/>
    <n v="11"/>
    <x v="0"/>
  </r>
  <r>
    <n v="667"/>
    <s v="BCAKIRA"/>
    <x v="197"/>
    <s v="Cây"/>
    <n v="672000"/>
    <n v="2"/>
    <n v="12"/>
    <n v="441600"/>
    <n v="441600"/>
    <d v="2023-11-16T00:00:00"/>
    <s v="Thông Thảo - P.Mỹ (QL30)"/>
    <x v="0"/>
    <n v="-230400"/>
    <n v="-0.52173913043478259"/>
    <n v="14"/>
    <n v="0.14285714285714279"/>
    <n v="2023"/>
    <n v="11"/>
    <x v="2"/>
  </r>
  <r>
    <n v="668"/>
    <s v="BCHARU"/>
    <x v="198"/>
    <s v="Cây"/>
    <n v="330000"/>
    <n v="1"/>
    <n v="6"/>
    <n v="217000"/>
    <n v="217000"/>
    <d v="2023-11-16T00:00:00"/>
    <s v="Thông Thảo - P.Mỹ (QL30)"/>
    <x v="0"/>
    <n v="-113000"/>
    <n v="-0.52073732718894006"/>
    <n v="7"/>
    <n v="0.14285714285714279"/>
    <n v="2023"/>
    <n v="11"/>
    <x v="2"/>
  </r>
  <r>
    <n v="669"/>
    <s v="KTN2004"/>
    <x v="146"/>
    <s v="Gói"/>
    <n v="122000"/>
    <n v="0"/>
    <n v="10"/>
    <n v="140000"/>
    <n v="140000"/>
    <d v="2023-11-17T00:00:00"/>
    <s v="Phượng Loan - N.V.Tiếp"/>
    <x v="2"/>
    <n v="18000"/>
    <n v="0.12857142857142859"/>
    <n v="10"/>
    <n v="0"/>
    <n v="2023"/>
    <n v="11"/>
    <x v="4"/>
  </r>
  <r>
    <n v="670"/>
    <s v="KU250"/>
    <x v="13"/>
    <s v="Gói"/>
    <n v="77000"/>
    <n v="0"/>
    <n v="10"/>
    <n v="100000"/>
    <n v="100000"/>
    <d v="2023-11-17T00:00:00"/>
    <s v="Phượng Loan - N.V.Tiếp"/>
    <x v="2"/>
    <n v="23000"/>
    <n v="0.23"/>
    <n v="10"/>
    <n v="0"/>
    <n v="2023"/>
    <n v="11"/>
    <x v="3"/>
  </r>
  <r>
    <n v="671"/>
    <s v="KU700"/>
    <x v="199"/>
    <s v="Gói"/>
    <n v="504000"/>
    <n v="0"/>
    <n v="24"/>
    <n v="480000"/>
    <n v="480000"/>
    <d v="2023-11-17T00:00:00"/>
    <s v="Kim Phụng Điện - HCL"/>
    <x v="2"/>
    <n v="-24000"/>
    <n v="-0.05"/>
    <n v="24"/>
    <n v="0"/>
    <n v="2023"/>
    <n v="11"/>
    <x v="3"/>
  </r>
  <r>
    <n v="672"/>
    <s v="KR1001"/>
    <x v="122"/>
    <s v="Gói"/>
    <n v="240000"/>
    <n v="1"/>
    <n v="5"/>
    <n v="217000"/>
    <n v="217000"/>
    <d v="2023-11-18T00:00:00"/>
    <s v="TT Kim Thoa - M.Long"/>
    <x v="2"/>
    <n v="-23000"/>
    <n v="-0.10599078341013821"/>
    <n v="6"/>
    <n v="0.16666666666666671"/>
    <n v="2023"/>
    <n v="11"/>
    <x v="0"/>
  </r>
  <r>
    <n v="673"/>
    <s v="KTN2001"/>
    <x v="143"/>
    <s v="Gói"/>
    <n v="122000"/>
    <n v="0"/>
    <n v="10"/>
    <n v="130000"/>
    <n v="130000"/>
    <d v="2023-11-18T00:00:00"/>
    <s v="TT Kim Thoa - M.Long"/>
    <x v="2"/>
    <n v="8000"/>
    <n v="6.1538461538461542E-2"/>
    <n v="10"/>
    <n v="0"/>
    <n v="2023"/>
    <n v="11"/>
    <x v="4"/>
  </r>
  <r>
    <n v="674"/>
    <s v="TBTE1001"/>
    <x v="65"/>
    <s v="Túi"/>
    <n v="126000"/>
    <n v="0"/>
    <n v="24"/>
    <n v="144000"/>
    <n v="144000"/>
    <d v="2023-11-18T00:00:00"/>
    <s v="TT Kim Thoa - M.Long"/>
    <x v="2"/>
    <n v="18000"/>
    <n v="0.125"/>
    <n v="24"/>
    <n v="0"/>
    <n v="2023"/>
    <n v="11"/>
    <x v="5"/>
  </r>
  <r>
    <n v="675"/>
    <s v="GC100"/>
    <x v="109"/>
    <s v="Bao"/>
    <n v="57000"/>
    <n v="0"/>
    <n v="1"/>
    <n v="70000"/>
    <n v="70000"/>
    <d v="2023-11-18T00:00:00"/>
    <s v="TT Ngọc Trinh - B.H.Trung"/>
    <x v="2"/>
    <n v="13000"/>
    <n v="0.18571428571428569"/>
    <n v="1"/>
    <n v="0"/>
    <n v="2023"/>
    <n v="11"/>
    <x v="7"/>
  </r>
  <r>
    <n v="676"/>
    <s v="HTBG145"/>
    <x v="200"/>
    <s v="Gói"/>
    <n v="31328"/>
    <n v="0"/>
    <n v="1"/>
    <n v="37000"/>
    <n v="37000"/>
    <d v="2023-11-18T00:00:00"/>
    <s v="TT Ngọc Trinh - B.H.Trung"/>
    <x v="2"/>
    <n v="5672"/>
    <n v="0.1532972972972973"/>
    <n v="1"/>
    <n v="0"/>
    <n v="2023"/>
    <n v="11"/>
    <x v="8"/>
  </r>
  <r>
    <n v="677"/>
    <s v="HTBG1502"/>
    <x v="201"/>
    <s v="Gói"/>
    <n v="27720"/>
    <n v="0"/>
    <n v="1"/>
    <n v="32000"/>
    <n v="32000"/>
    <d v="2023-11-18T00:00:00"/>
    <s v="TT Ngọc Trinh - B.H.Trung"/>
    <x v="2"/>
    <n v="4280"/>
    <n v="0.13375000000000001"/>
    <n v="1"/>
    <n v="0"/>
    <n v="2023"/>
    <n v="11"/>
    <x v="8"/>
  </r>
  <r>
    <n v="678"/>
    <s v="HTKSB90"/>
    <x v="202"/>
    <s v="Gói"/>
    <n v="75328"/>
    <n v="0"/>
    <n v="4"/>
    <n v="90000"/>
    <n v="90000"/>
    <d v="2023-11-18T00:00:00"/>
    <s v="TT Ngọc Trinh - B.H.Trung"/>
    <x v="2"/>
    <n v="14672"/>
    <n v="0.16302222222222221"/>
    <n v="4"/>
    <n v="0"/>
    <n v="2023"/>
    <n v="11"/>
    <x v="4"/>
  </r>
  <r>
    <n v="679"/>
    <s v="KU801"/>
    <x v="38"/>
    <s v="Gói"/>
    <n v="40000"/>
    <n v="0"/>
    <n v="10"/>
    <n v="60000"/>
    <n v="60000"/>
    <d v="2023-11-18T00:00:00"/>
    <s v="TT Ngọc Trinh - B.H.Trung"/>
    <x v="2"/>
    <n v="20000"/>
    <n v="0.33333333333333331"/>
    <n v="10"/>
    <n v="0"/>
    <n v="2023"/>
    <n v="11"/>
    <x v="3"/>
  </r>
  <r>
    <n v="680"/>
    <s v="A1K15"/>
    <x v="9"/>
    <s v="Hộp"/>
    <n v="301890"/>
    <n v="1"/>
    <n v="5"/>
    <n v="275000"/>
    <n v="275000"/>
    <d v="2023-11-18T00:00:00"/>
    <s v="TT Ngọc Hạnh - Đ.Mối"/>
    <x v="2"/>
    <n v="-26890"/>
    <n v="-9.7781818181818178E-2"/>
    <n v="6"/>
    <n v="0.16666666666666671"/>
    <n v="2023"/>
    <n v="11"/>
    <x v="4"/>
  </r>
  <r>
    <n v="681"/>
    <s v="KU1506"/>
    <x v="15"/>
    <s v="Gói"/>
    <n v="285000"/>
    <n v="0"/>
    <n v="30"/>
    <n v="420000"/>
    <n v="420000"/>
    <d v="2023-11-18T00:00:00"/>
    <s v="TT Ngọc Hạnh - Đ.Mối"/>
    <x v="2"/>
    <n v="135000"/>
    <n v="0.32142857142857151"/>
    <n v="30"/>
    <n v="0"/>
    <n v="2023"/>
    <n v="11"/>
    <x v="3"/>
  </r>
  <r>
    <n v="682"/>
    <s v="KU203"/>
    <x v="152"/>
    <s v="Gói"/>
    <n v="25000"/>
    <n v="0"/>
    <n v="10"/>
    <n v="40000"/>
    <n v="40000"/>
    <d v="2023-11-18T00:00:00"/>
    <s v="TT Ngọc Hạnh - Đ.Mối"/>
    <x v="2"/>
    <n v="15000"/>
    <n v="0.375"/>
    <n v="10"/>
    <n v="0"/>
    <n v="2023"/>
    <n v="11"/>
    <x v="3"/>
  </r>
  <r>
    <n v="683"/>
    <s v="TB20001"/>
    <x v="105"/>
    <s v="Hộp"/>
    <n v="299250"/>
    <n v="3"/>
    <n v="18"/>
    <n v="370300"/>
    <n v="370300"/>
    <d v="2023-11-18T00:00:00"/>
    <s v="TT Ngọc Hạnh - Đ.Mối"/>
    <x v="2"/>
    <n v="71050"/>
    <n v="0.19187145557655949"/>
    <n v="21"/>
    <n v="0.14285714285714279"/>
    <n v="2023"/>
    <n v="11"/>
    <x v="5"/>
  </r>
  <r>
    <n v="684"/>
    <s v="TBTE1001"/>
    <x v="65"/>
    <s v="Túi"/>
    <n v="378000"/>
    <n v="12"/>
    <n v="72"/>
    <n v="432000"/>
    <n v="432000"/>
    <d v="2023-11-18T00:00:00"/>
    <s v="TT Ngọc Hạnh - Đ.Mối"/>
    <x v="2"/>
    <n v="54000"/>
    <n v="0.125"/>
    <n v="84"/>
    <n v="0.14285714285714279"/>
    <n v="2023"/>
    <n v="11"/>
    <x v="5"/>
  </r>
  <r>
    <n v="685"/>
    <s v="TBTE20002"/>
    <x v="33"/>
    <s v="Hộp"/>
    <n v="178500"/>
    <n v="2"/>
    <n v="12"/>
    <n v="185200"/>
    <n v="185200"/>
    <d v="2023-11-18T00:00:00"/>
    <s v="TT Ngọc Hạnh - Đ.Mối"/>
    <x v="2"/>
    <n v="6700"/>
    <n v="3.6177105831533482E-2"/>
    <n v="14"/>
    <n v="0.14285714285714279"/>
    <n v="2023"/>
    <n v="11"/>
    <x v="5"/>
  </r>
  <r>
    <n v="686"/>
    <s v="TBTE20003"/>
    <x v="11"/>
    <s v="Hộp"/>
    <n v="346500"/>
    <n v="3"/>
    <n v="18"/>
    <n v="370300"/>
    <n v="370300"/>
    <d v="2023-11-18T00:00:00"/>
    <s v="TT Ngọc Hạnh - Đ.Mối"/>
    <x v="2"/>
    <n v="23800"/>
    <n v="6.4272211720226846E-2"/>
    <n v="21"/>
    <n v="0.14285714285714279"/>
    <n v="2023"/>
    <n v="11"/>
    <x v="5"/>
  </r>
  <r>
    <n v="687"/>
    <s v="GC106"/>
    <x v="66"/>
    <s v="Cây"/>
    <n v="180000"/>
    <n v="0"/>
    <n v="10"/>
    <n v="220000"/>
    <n v="220000"/>
    <d v="2023-11-18T00:00:00"/>
    <s v="Chị Thắm (Hồng Thắm) - B.H.Tây"/>
    <x v="0"/>
    <n v="40000"/>
    <n v="0.1818181818181818"/>
    <n v="10"/>
    <n v="0"/>
    <n v="2023"/>
    <n v="11"/>
    <x v="7"/>
  </r>
  <r>
    <n v="688"/>
    <s v="HMK1"/>
    <x v="203"/>
    <s v="Hộp"/>
    <n v="384000"/>
    <n v="8"/>
    <n v="24"/>
    <n v="630000"/>
    <n v="630000"/>
    <d v="2023-11-18T00:00:00"/>
    <s v="Kim Hường - B.H.Tây"/>
    <x v="4"/>
    <n v="246000"/>
    <n v="0.39047619047619048"/>
    <n v="32"/>
    <n v="0.25"/>
    <n v="2023"/>
    <n v="11"/>
    <x v="10"/>
  </r>
  <r>
    <n v="689"/>
    <s v="HTBTE50"/>
    <x v="114"/>
    <s v="Hộp"/>
    <n v="181200"/>
    <n v="1"/>
    <n v="4"/>
    <n v="156000"/>
    <n v="156000"/>
    <d v="2023-11-18T00:00:00"/>
    <s v="TT Đông Nguyên - M.Long"/>
    <x v="0"/>
    <n v="-25200"/>
    <n v="-0.16153846153846149"/>
    <n v="5"/>
    <n v="0.2"/>
    <n v="2023"/>
    <n v="11"/>
    <x v="8"/>
  </r>
  <r>
    <n v="690"/>
    <s v="HTBTE501"/>
    <x v="118"/>
    <s v="Hộp"/>
    <n v="181200"/>
    <n v="0"/>
    <n v="4"/>
    <n v="200000"/>
    <n v="200000"/>
    <d v="2023-11-18T00:00:00"/>
    <s v="TT Đông Nguyên - M.Long"/>
    <x v="0"/>
    <n v="18800"/>
    <n v="9.4E-2"/>
    <n v="4"/>
    <n v="0"/>
    <n v="2023"/>
    <n v="11"/>
    <x v="8"/>
  </r>
  <r>
    <n v="691"/>
    <s v="HTBTE502"/>
    <x v="119"/>
    <s v="Hộp"/>
    <n v="181200"/>
    <n v="0"/>
    <n v="4"/>
    <n v="200000"/>
    <n v="200000"/>
    <d v="2023-11-18T00:00:00"/>
    <s v="TT Đông Nguyên - M.Long"/>
    <x v="0"/>
    <n v="18800"/>
    <n v="9.4E-2"/>
    <n v="4"/>
    <n v="0"/>
    <n v="2023"/>
    <n v="11"/>
    <x v="8"/>
  </r>
  <r>
    <n v="692"/>
    <s v="KV100"/>
    <x v="0"/>
    <s v="Gói"/>
    <n v="345600"/>
    <n v="4"/>
    <n v="48"/>
    <n v="536000"/>
    <n v="536000"/>
    <d v="2023-11-18T00:00:00"/>
    <s v="Như Ý - M.Trắng"/>
    <x v="2"/>
    <n v="190400"/>
    <n v="0.35522388059701487"/>
    <n v="52"/>
    <n v="7.6923076923076927E-2"/>
    <n v="2023"/>
    <n v="11"/>
    <x v="0"/>
  </r>
  <r>
    <n v="693"/>
    <s v="HM601"/>
    <x v="22"/>
    <s v="Hộp"/>
    <n v="1152000"/>
    <n v="0"/>
    <n v="6"/>
    <n v="1440000"/>
    <n v="1440000"/>
    <d v="2023-11-18T00:00:00"/>
    <s v="Phước Hải - A.Bình"/>
    <x v="2"/>
    <n v="288000"/>
    <n v="0.2"/>
    <n v="6"/>
    <n v="0"/>
    <n v="2023"/>
    <n v="11"/>
    <x v="7"/>
  </r>
  <r>
    <n v="695"/>
    <s v="KTN2001"/>
    <x v="143"/>
    <s v="Gói"/>
    <n v="122000"/>
    <n v="0"/>
    <n v="10"/>
    <n v="125000"/>
    <n v="125000"/>
    <d v="2023-11-18T00:00:00"/>
    <s v="Phước Hải - A.Bình"/>
    <x v="2"/>
    <n v="3000"/>
    <n v="2.4E-2"/>
    <n v="10"/>
    <n v="0"/>
    <n v="2023"/>
    <n v="11"/>
    <x v="4"/>
  </r>
  <r>
    <n v="696"/>
    <s v="KTN2002"/>
    <x v="144"/>
    <s v="Gói"/>
    <n v="122000"/>
    <n v="0"/>
    <n v="10"/>
    <n v="125000"/>
    <n v="125000"/>
    <d v="2023-11-18T00:00:00"/>
    <s v="Phước Hải - A.Bình"/>
    <x v="2"/>
    <n v="3000"/>
    <n v="2.4E-2"/>
    <n v="10"/>
    <n v="0"/>
    <n v="2023"/>
    <n v="11"/>
    <x v="4"/>
  </r>
  <r>
    <n v="697"/>
    <s v="KTN2003"/>
    <x v="145"/>
    <s v="Gói"/>
    <n v="122000"/>
    <n v="0"/>
    <n v="10"/>
    <n v="125000"/>
    <n v="125000"/>
    <d v="2023-11-18T00:00:00"/>
    <s v="Phước Hải - A.Bình"/>
    <x v="2"/>
    <n v="3000"/>
    <n v="2.4E-2"/>
    <n v="10"/>
    <n v="0"/>
    <n v="2023"/>
    <n v="11"/>
    <x v="4"/>
  </r>
  <r>
    <n v="698"/>
    <s v="KTN2004"/>
    <x v="146"/>
    <s v="Gói"/>
    <n v="122000"/>
    <n v="0"/>
    <n v="10"/>
    <n v="125000"/>
    <n v="125000"/>
    <d v="2023-11-18T00:00:00"/>
    <s v="Phước Hải - A.Bình"/>
    <x v="2"/>
    <n v="3000"/>
    <n v="2.4E-2"/>
    <n v="10"/>
    <n v="0"/>
    <n v="2023"/>
    <n v="11"/>
    <x v="4"/>
  </r>
  <r>
    <n v="699"/>
    <s v="KR1001"/>
    <x v="122"/>
    <s v="Gói"/>
    <n v="480000"/>
    <n v="2"/>
    <n v="10"/>
    <n v="434000"/>
    <n v="434000"/>
    <d v="2023-11-18T00:00:00"/>
    <s v="Thanh Nhã - M.Long"/>
    <x v="4"/>
    <n v="-46000"/>
    <n v="-0.10599078341013821"/>
    <n v="12"/>
    <n v="0.16666666666666671"/>
    <n v="2023"/>
    <n v="11"/>
    <x v="0"/>
  </r>
  <r>
    <n v="700"/>
    <s v="GC605"/>
    <x v="28"/>
    <s v="Cây"/>
    <n v="290000"/>
    <n v="1"/>
    <n v="10"/>
    <n v="355000"/>
    <n v="355000"/>
    <d v="2023-11-18T00:00:00"/>
    <s v="MP Nhanh - M.Hiệp"/>
    <x v="0"/>
    <n v="65000"/>
    <n v="0.18309859154929581"/>
    <n v="11"/>
    <n v="9.0909090909090912E-2"/>
    <n v="2023"/>
    <n v="11"/>
    <x v="7"/>
  </r>
  <r>
    <n v="701"/>
    <s v="KV1001"/>
    <x v="62"/>
    <s v="Gói"/>
    <n v="1125000"/>
    <n v="30"/>
    <n v="150"/>
    <n v="1350000"/>
    <n v="1350000"/>
    <d v="2023-11-18T00:00:00"/>
    <s v="MP Nhanh - M.Hiệp"/>
    <x v="0"/>
    <n v="225000"/>
    <n v="0.16666666666666671"/>
    <n v="180"/>
    <n v="0.16666666666666671"/>
    <n v="2023"/>
    <n v="11"/>
    <x v="0"/>
  </r>
  <r>
    <n v="702"/>
    <s v="GC605"/>
    <x v="28"/>
    <s v="Cây"/>
    <n v="290000"/>
    <n v="1"/>
    <n v="10"/>
    <n v="355000"/>
    <n v="355000"/>
    <d v="2023-11-18T00:00:00"/>
    <s v="TT Nguyễn Thị Định - M.Xương"/>
    <x v="2"/>
    <n v="65000"/>
    <n v="0.18309859154929581"/>
    <n v="11"/>
    <n v="9.0909090909090912E-2"/>
    <n v="2023"/>
    <n v="11"/>
    <x v="7"/>
  </r>
  <r>
    <n v="703"/>
    <s v="KT50-4"/>
    <x v="204"/>
    <s v="Hộp"/>
    <n v="160000"/>
    <n v="0"/>
    <n v="10"/>
    <n v="180000"/>
    <n v="180000"/>
    <d v="2023-11-18T00:00:00"/>
    <s v="TT Nguyễn Thị Định - M.Xương"/>
    <x v="2"/>
    <n v="20000"/>
    <n v="0.1111111111111111"/>
    <n v="10"/>
    <n v="0"/>
    <n v="2023"/>
    <n v="11"/>
    <x v="6"/>
  </r>
  <r>
    <n v="704"/>
    <s v="KU1505"/>
    <x v="205"/>
    <s v="Gói"/>
    <n v="100000"/>
    <n v="2"/>
    <n v="10"/>
    <n v="150000"/>
    <n v="150000"/>
    <d v="2023-11-18T00:00:00"/>
    <s v="TT Kim Dung - M.Hiệp"/>
    <x v="0"/>
    <n v="50000"/>
    <n v="0.33333333333333331"/>
    <n v="12"/>
    <n v="0.16666666666666671"/>
    <n v="2023"/>
    <n v="11"/>
    <x v="3"/>
  </r>
  <r>
    <n v="706"/>
    <s v="TBTE20003"/>
    <x v="11"/>
    <s v="Hộp"/>
    <n v="231000"/>
    <n v="2"/>
    <n v="12"/>
    <n v="288000"/>
    <n v="288000"/>
    <d v="2023-11-18T00:00:00"/>
    <s v="Thế Giới Con Cưng - HCL"/>
    <x v="2"/>
    <n v="57000"/>
    <n v="0.19791666666666671"/>
    <n v="14"/>
    <n v="0.14285714285714279"/>
    <n v="2023"/>
    <n v="11"/>
    <x v="5"/>
  </r>
  <r>
    <n v="707"/>
    <s v="KU100"/>
    <x v="7"/>
    <s v="Gói"/>
    <n v="102000"/>
    <n v="0"/>
    <n v="6"/>
    <n v="144000"/>
    <n v="144000"/>
    <d v="2023-11-18T00:00:00"/>
    <s v="Vương Quốc Sữa - B.H.Trung"/>
    <x v="0"/>
    <n v="42000"/>
    <n v="0.29166666666666669"/>
    <n v="6"/>
    <n v="0"/>
    <n v="2023"/>
    <n v="11"/>
    <x v="3"/>
  </r>
  <r>
    <n v="708"/>
    <s v="BCN198"/>
    <x v="206"/>
    <s v="Cây"/>
    <n v="135000"/>
    <n v="0"/>
    <n v="30"/>
    <n v="300000"/>
    <n v="300000"/>
    <d v="2023-11-18T00:00:00"/>
    <s v="Trinh Nữ - M.Trắng"/>
    <x v="2"/>
    <n v="165000"/>
    <n v="0.55000000000000004"/>
    <n v="30"/>
    <n v="0"/>
    <n v="2023"/>
    <n v="11"/>
    <x v="2"/>
  </r>
  <r>
    <n v="709"/>
    <s v="GC100"/>
    <x v="109"/>
    <s v="Bao"/>
    <n v="57000"/>
    <n v="0"/>
    <n v="1"/>
    <n v="75000"/>
    <n v="75000"/>
    <d v="2023-11-18T00:00:00"/>
    <s v="Trinh Nữ - M.Trắng"/>
    <x v="2"/>
    <n v="18000"/>
    <n v="0.24"/>
    <n v="1"/>
    <n v="0"/>
    <n v="2023"/>
    <n v="11"/>
    <x v="7"/>
  </r>
  <r>
    <n v="710"/>
    <s v="GC606"/>
    <x v="83"/>
    <s v="Cây"/>
    <n v="155004"/>
    <n v="0"/>
    <n v="6"/>
    <n v="222000"/>
    <n v="222000"/>
    <d v="2023-11-18T00:00:00"/>
    <s v="Trinh Nữ - M.Trắng"/>
    <x v="2"/>
    <n v="66996"/>
    <n v="0.30178378378378379"/>
    <n v="6"/>
    <n v="0"/>
    <n v="2023"/>
    <n v="11"/>
    <x v="7"/>
  </r>
  <r>
    <n v="712"/>
    <s v="KKDN300"/>
    <x v="14"/>
    <s v="Gói"/>
    <n v="1069200"/>
    <n v="3"/>
    <n v="27"/>
    <n v="1069200"/>
    <n v="1069200"/>
    <d v="2023-11-18T00:00:00"/>
    <s v="Thế Giới Con Cưng - B.H.Tây"/>
    <x v="4"/>
    <n v="0"/>
    <n v="0"/>
    <n v="30"/>
    <n v="0.1"/>
    <n v="2023"/>
    <n v="11"/>
    <x v="0"/>
  </r>
  <r>
    <n v="713"/>
    <s v="GC100"/>
    <x v="109"/>
    <s v="Bao"/>
    <n v="114000"/>
    <n v="0"/>
    <n v="2"/>
    <n v="140000"/>
    <n v="140000"/>
    <d v="2023-11-18T00:00:00"/>
    <s v="Tuấn Kiệt - M.Long"/>
    <x v="0"/>
    <n v="26000"/>
    <n v="0.18571428571428569"/>
    <n v="2"/>
    <n v="0"/>
    <n v="2023"/>
    <n v="11"/>
    <x v="7"/>
  </r>
  <r>
    <n v="714"/>
    <s v="HTBG145"/>
    <x v="200"/>
    <s v="Gói"/>
    <n v="156640"/>
    <n v="0"/>
    <n v="5"/>
    <n v="175000"/>
    <n v="175000"/>
    <d v="2023-11-18T00:00:00"/>
    <s v="Tuấn Kiệt - M.Long"/>
    <x v="0"/>
    <n v="18360"/>
    <n v="0.1049142857142857"/>
    <n v="5"/>
    <n v="0"/>
    <n v="2023"/>
    <n v="11"/>
    <x v="8"/>
  </r>
  <r>
    <n v="715"/>
    <s v="HTBG1502"/>
    <x v="201"/>
    <s v="Gói"/>
    <n v="138600"/>
    <n v="0"/>
    <n v="5"/>
    <n v="160000"/>
    <n v="160000"/>
    <d v="2023-11-18T00:00:00"/>
    <s v="Tuấn Kiệt - M.Long"/>
    <x v="0"/>
    <n v="21400"/>
    <n v="0.13375000000000001"/>
    <n v="5"/>
    <n v="0"/>
    <n v="2023"/>
    <n v="11"/>
    <x v="8"/>
  </r>
  <r>
    <n v="716"/>
    <s v="NSSK555"/>
    <x v="63"/>
    <s v="Thùng"/>
    <n v="156000"/>
    <n v="0"/>
    <n v="2"/>
    <n v="156000"/>
    <n v="156000"/>
    <d v="2023-11-18T00:00:00"/>
    <s v="Tuấn Kiệt - M.Long"/>
    <x v="0"/>
    <n v="0"/>
    <n v="0"/>
    <n v="2"/>
    <n v="0"/>
    <n v="2023"/>
    <n v="11"/>
    <x v="9"/>
  </r>
  <r>
    <n v="717"/>
    <s v="KR1001"/>
    <x v="122"/>
    <s v="Gói"/>
    <n v="960000"/>
    <n v="2"/>
    <n v="20"/>
    <n v="954000"/>
    <n v="954000"/>
    <d v="2023-11-18T00:00:00"/>
    <s v="Quán bê thui Cảnh Nhớ - HCL "/>
    <x v="4"/>
    <n v="-6000"/>
    <n v="-6.2893081761006293E-3"/>
    <n v="22"/>
    <n v="9.0909090909090912E-2"/>
    <n v="2023"/>
    <n v="11"/>
    <x v="0"/>
  </r>
  <r>
    <n v="719"/>
    <s v="HM608"/>
    <x v="36"/>
    <s v="Hộp"/>
    <n v="600000"/>
    <n v="6"/>
    <n v="6"/>
    <n v="654000"/>
    <n v="654000"/>
    <d v="2023-11-20T00:00:00"/>
    <s v="Chị Bích - T.Linh"/>
    <x v="0"/>
    <n v="54000"/>
    <n v="8.2568807339449546E-2"/>
    <n v="12"/>
    <n v="0.5"/>
    <n v="2023"/>
    <n v="11"/>
    <x v="7"/>
  </r>
  <r>
    <n v="721"/>
    <s v="HM608"/>
    <x v="36"/>
    <s v="Hộp"/>
    <n v="1200000"/>
    <n v="0"/>
    <n v="12"/>
    <n v="2616000"/>
    <n v="2616000"/>
    <d v="2023-11-20T00:00:00"/>
    <s v="TT Huệ Long - T.H.Trung"/>
    <x v="4"/>
    <n v="1416000"/>
    <n v="0.54128440366972475"/>
    <n v="12"/>
    <n v="0"/>
    <n v="2023"/>
    <n v="11"/>
    <x v="7"/>
  </r>
  <r>
    <n v="722"/>
    <s v="HM610"/>
    <x v="37"/>
    <s v="Hộp"/>
    <n v="600000"/>
    <n v="6"/>
    <n v="6"/>
    <n v="654000"/>
    <n v="654000"/>
    <d v="2023-11-20T00:00:00"/>
    <s v="TT Huệ Long - T.H.Trung"/>
    <x v="4"/>
    <n v="54000"/>
    <n v="8.2568807339449546E-2"/>
    <n v="12"/>
    <n v="0.5"/>
    <n v="2023"/>
    <n v="11"/>
    <x v="7"/>
  </r>
  <r>
    <n v="724"/>
    <s v="HM608"/>
    <x v="36"/>
    <s v="Hộp"/>
    <n v="600000"/>
    <n v="0"/>
    <n v="6"/>
    <n v="1308000"/>
    <n v="1308000"/>
    <d v="2023-11-20T00:00:00"/>
    <s v="Shop Thảo Tâm - A.Bình"/>
    <x v="4"/>
    <n v="708000"/>
    <n v="0.54128440366972475"/>
    <n v="6"/>
    <n v="0"/>
    <n v="2023"/>
    <n v="11"/>
    <x v="7"/>
  </r>
  <r>
    <n v="726"/>
    <s v="HTBSN903"/>
    <x v="60"/>
    <s v="Lon"/>
    <n v="332640"/>
    <n v="0"/>
    <n v="12"/>
    <n v="384000"/>
    <n v="384000"/>
    <d v="2023-11-20T00:00:00"/>
    <s v="Shop Thảo Tâm - A.Bình"/>
    <x v="4"/>
    <n v="51360"/>
    <n v="0.13375000000000001"/>
    <n v="12"/>
    <n v="0"/>
    <n v="2023"/>
    <n v="11"/>
    <x v="8"/>
  </r>
  <r>
    <n v="727"/>
    <s v="KV100"/>
    <x v="0"/>
    <s v="Gói"/>
    <n v="345600"/>
    <n v="4"/>
    <n v="48"/>
    <n v="536000"/>
    <n v="536000"/>
    <d v="2023-11-20T00:00:00"/>
    <s v="Thế Giới Con Cưng - HCL"/>
    <x v="2"/>
    <n v="190400"/>
    <n v="0.35522388059701487"/>
    <n v="52"/>
    <n v="7.6923076923076927E-2"/>
    <n v="2023"/>
    <n v="11"/>
    <x v="0"/>
  </r>
  <r>
    <n v="729"/>
    <s v="HM607"/>
    <x v="68"/>
    <s v="Hộp"/>
    <n v="100000"/>
    <n v="0"/>
    <n v="1"/>
    <n v="218000"/>
    <n v="218000"/>
    <d v="2023-11-20T00:00:00"/>
    <s v="Phúc Nguyên - B.Sao"/>
    <x v="2"/>
    <n v="118000"/>
    <n v="0.54128440366972475"/>
    <n v="1"/>
    <n v="0"/>
    <n v="2023"/>
    <n v="11"/>
    <x v="7"/>
  </r>
  <r>
    <n v="730"/>
    <s v="HM608"/>
    <x v="36"/>
    <s v="Hộp"/>
    <n v="100000"/>
    <n v="0"/>
    <n v="1"/>
    <n v="218000"/>
    <n v="218000"/>
    <d v="2023-11-20T00:00:00"/>
    <s v="Phúc Nguyên - B.Sao"/>
    <x v="2"/>
    <n v="118000"/>
    <n v="0.54128440366972475"/>
    <n v="1"/>
    <n v="0"/>
    <n v="2023"/>
    <n v="11"/>
    <x v="7"/>
  </r>
  <r>
    <n v="731"/>
    <s v="HM610"/>
    <x v="37"/>
    <s v="Hộp"/>
    <n v="100000"/>
    <n v="0"/>
    <n v="1"/>
    <n v="218000"/>
    <n v="218000"/>
    <d v="2023-11-20T00:00:00"/>
    <s v="Phúc Nguyên - B.Sao"/>
    <x v="2"/>
    <n v="118000"/>
    <n v="0.54128440366972475"/>
    <n v="1"/>
    <n v="0"/>
    <n v="2023"/>
    <n v="11"/>
    <x v="7"/>
  </r>
  <r>
    <n v="732"/>
    <s v="HM608"/>
    <x v="36"/>
    <s v="Hộp"/>
    <n v="900000"/>
    <n v="3"/>
    <n v="9"/>
    <n v="1635000"/>
    <n v="1635000"/>
    <d v="2023-11-20T00:00:00"/>
    <s v="Tú Anh - T.Nghĩa"/>
    <x v="4"/>
    <n v="735000"/>
    <n v="0.44954128440366969"/>
    <n v="12"/>
    <n v="0.25"/>
    <n v="2023"/>
    <n v="11"/>
    <x v="7"/>
  </r>
  <r>
    <n v="734"/>
    <s v="HTBSN80"/>
    <x v="57"/>
    <s v="Lon"/>
    <n v="55440"/>
    <n v="0"/>
    <n v="2"/>
    <n v="60000"/>
    <n v="60000"/>
    <d v="2023-11-20T00:00:00"/>
    <s v="Kim Thủy - Chợ 307"/>
    <x v="2"/>
    <n v="4560"/>
    <n v="7.5999999999999998E-2"/>
    <n v="2"/>
    <n v="0"/>
    <n v="2023"/>
    <n v="11"/>
    <x v="8"/>
  </r>
  <r>
    <n v="735"/>
    <s v="HTBSN90"/>
    <x v="58"/>
    <s v="Lon"/>
    <n v="55440"/>
    <n v="0"/>
    <n v="2"/>
    <n v="60000"/>
    <n v="60000"/>
    <d v="2023-11-20T00:00:00"/>
    <s v="Kim Thủy - Chợ 307"/>
    <x v="2"/>
    <n v="4560"/>
    <n v="7.5999999999999998E-2"/>
    <n v="2"/>
    <n v="0"/>
    <n v="2023"/>
    <n v="11"/>
    <x v="8"/>
  </r>
  <r>
    <n v="736"/>
    <s v="HTBSN901"/>
    <x v="207"/>
    <s v="Lon"/>
    <n v="55440"/>
    <n v="0"/>
    <n v="2"/>
    <n v="60000"/>
    <n v="60000"/>
    <d v="2023-11-20T00:00:00"/>
    <s v="Kim Thủy - Chợ 307"/>
    <x v="2"/>
    <n v="4560"/>
    <n v="7.5999999999999998E-2"/>
    <n v="2"/>
    <n v="0"/>
    <n v="2023"/>
    <n v="11"/>
    <x v="8"/>
  </r>
  <r>
    <n v="737"/>
    <s v="HTBSN902"/>
    <x v="59"/>
    <s v="Lon"/>
    <n v="55440"/>
    <n v="0"/>
    <n v="2"/>
    <n v="60000"/>
    <n v="60000"/>
    <d v="2023-11-20T00:00:00"/>
    <s v="Kim Thủy - Chợ 307"/>
    <x v="2"/>
    <n v="4560"/>
    <n v="7.5999999999999998E-2"/>
    <n v="2"/>
    <n v="0"/>
    <n v="2023"/>
    <n v="11"/>
    <x v="8"/>
  </r>
  <r>
    <n v="738"/>
    <s v="HTBSN903"/>
    <x v="60"/>
    <s v="Lon"/>
    <n v="55440"/>
    <n v="0"/>
    <n v="2"/>
    <n v="60000"/>
    <n v="60000"/>
    <d v="2023-11-20T00:00:00"/>
    <s v="Kim Thủy - Chợ 307"/>
    <x v="2"/>
    <n v="4560"/>
    <n v="7.5999999999999998E-2"/>
    <n v="2"/>
    <n v="0"/>
    <n v="2023"/>
    <n v="11"/>
    <x v="8"/>
  </r>
  <r>
    <n v="739"/>
    <s v="HTBSN904"/>
    <x v="61"/>
    <s v="Lon"/>
    <n v="55440"/>
    <n v="0"/>
    <n v="2"/>
    <n v="60000"/>
    <n v="60000"/>
    <d v="2023-11-20T00:00:00"/>
    <s v="Kim Thủy - Chợ 307"/>
    <x v="2"/>
    <n v="4560"/>
    <n v="7.5999999999999998E-2"/>
    <n v="2"/>
    <n v="0"/>
    <n v="2023"/>
    <n v="11"/>
    <x v="8"/>
  </r>
  <r>
    <n v="740"/>
    <s v="HTBSN80"/>
    <x v="57"/>
    <s v="Lon"/>
    <n v="55440"/>
    <n v="0"/>
    <n v="2"/>
    <n v="64000"/>
    <n v="64000"/>
    <d v="2023-11-20T00:00:00"/>
    <s v="Thuận Kiều (nhà may) - Chợ 307"/>
    <x v="2"/>
    <n v="8560"/>
    <n v="0.13375000000000001"/>
    <n v="2"/>
    <n v="0"/>
    <n v="2023"/>
    <n v="11"/>
    <x v="8"/>
  </r>
  <r>
    <n v="741"/>
    <s v="HTBSN90"/>
    <x v="58"/>
    <s v="Lon"/>
    <n v="55440"/>
    <n v="0"/>
    <n v="2"/>
    <n v="64000"/>
    <n v="64000"/>
    <d v="2023-11-20T00:00:00"/>
    <s v="Thuận Kiều (nhà may) - Chợ 307"/>
    <x v="2"/>
    <n v="8560"/>
    <n v="0.13375000000000001"/>
    <n v="2"/>
    <n v="0"/>
    <n v="2023"/>
    <n v="11"/>
    <x v="8"/>
  </r>
  <r>
    <n v="742"/>
    <s v="HTBSN901"/>
    <x v="207"/>
    <s v="Lon"/>
    <n v="55440"/>
    <n v="0"/>
    <n v="2"/>
    <n v="64000"/>
    <n v="64000"/>
    <d v="2023-11-20T00:00:00"/>
    <s v="Thuận Kiều (nhà may) - Chợ 307"/>
    <x v="2"/>
    <n v="8560"/>
    <n v="0.13375000000000001"/>
    <n v="2"/>
    <n v="0"/>
    <n v="2023"/>
    <n v="11"/>
    <x v="8"/>
  </r>
  <r>
    <n v="743"/>
    <s v="HTBSN902"/>
    <x v="59"/>
    <s v="Lon"/>
    <n v="55440"/>
    <n v="0"/>
    <n v="2"/>
    <n v="64000"/>
    <n v="64000"/>
    <d v="2023-11-20T00:00:00"/>
    <s v="Thuận Kiều (nhà may) - Chợ 307"/>
    <x v="2"/>
    <n v="8560"/>
    <n v="0.13375000000000001"/>
    <n v="2"/>
    <n v="0"/>
    <n v="2023"/>
    <n v="11"/>
    <x v="8"/>
  </r>
  <r>
    <n v="744"/>
    <s v="HTBSN903"/>
    <x v="60"/>
    <s v="Lon"/>
    <n v="55440"/>
    <n v="0"/>
    <n v="2"/>
    <n v="64000"/>
    <n v="64000"/>
    <d v="2023-11-20T00:00:00"/>
    <s v="Thuận Kiều (nhà may) - Chợ 307"/>
    <x v="2"/>
    <n v="8560"/>
    <n v="0.13375000000000001"/>
    <n v="2"/>
    <n v="0"/>
    <n v="2023"/>
    <n v="11"/>
    <x v="8"/>
  </r>
  <r>
    <n v="745"/>
    <s v="HM8"/>
    <x v="208"/>
    <s v="Hộp"/>
    <n v="392000"/>
    <n v="0"/>
    <n v="4"/>
    <n v="960000"/>
    <n v="960000"/>
    <d v="2023-11-22T00:00:00"/>
    <s v="Nhung Nhựt - N.V.Tiếp"/>
    <x v="2"/>
    <n v="568000"/>
    <n v="0.59166666666666667"/>
    <n v="4"/>
    <n v="0"/>
    <n v="2023"/>
    <n v="11"/>
    <x v="7"/>
  </r>
  <r>
    <n v="746"/>
    <s v="HM801"/>
    <x v="209"/>
    <s v="Hộp"/>
    <n v="392000"/>
    <n v="0"/>
    <n v="4"/>
    <n v="960000"/>
    <n v="960000"/>
    <d v="2023-11-22T00:00:00"/>
    <s v="Nhung Nhựt - N.V.Tiếp"/>
    <x v="2"/>
    <n v="568000"/>
    <n v="0.59166666666666667"/>
    <n v="4"/>
    <n v="0"/>
    <n v="2023"/>
    <n v="11"/>
    <x v="7"/>
  </r>
  <r>
    <n v="747"/>
    <s v="HMK1"/>
    <x v="203"/>
    <s v="Hộp"/>
    <n v="80000"/>
    <n v="3"/>
    <n v="5"/>
    <n v="111000"/>
    <n v="111000"/>
    <d v="2023-11-22T00:00:00"/>
    <s v="Thái Nguyên - T.Linh"/>
    <x v="2"/>
    <n v="31000"/>
    <n v="0.27927927927927931"/>
    <n v="8"/>
    <n v="0.375"/>
    <n v="2023"/>
    <n v="11"/>
    <x v="10"/>
  </r>
  <r>
    <n v="748"/>
    <s v="HMK102"/>
    <x v="210"/>
    <s v="Hộp"/>
    <n v="80000"/>
    <n v="2"/>
    <n v="5"/>
    <n v="137000"/>
    <n v="137000"/>
    <d v="2023-11-22T00:00:00"/>
    <s v="Thái Nguyên - T.Linh"/>
    <x v="2"/>
    <n v="57000"/>
    <n v="0.41605839416058388"/>
    <n v="7"/>
    <n v="0.2857142857142857"/>
    <n v="2023"/>
    <n v="11"/>
    <x v="10"/>
  </r>
  <r>
    <n v="749"/>
    <s v="HM8"/>
    <x v="208"/>
    <s v="Hộp"/>
    <n v="392000"/>
    <n v="0"/>
    <n v="4"/>
    <n v="960000"/>
    <n v="960000"/>
    <d v="2023-11-22T00:00:00"/>
    <s v="Tuấn Quyên - P.Thịnh"/>
    <x v="2"/>
    <n v="568000"/>
    <n v="0.59166666666666667"/>
    <n v="4"/>
    <n v="0"/>
    <n v="2023"/>
    <n v="11"/>
    <x v="7"/>
  </r>
  <r>
    <n v="750"/>
    <s v="HM801"/>
    <x v="209"/>
    <s v="Hộp"/>
    <n v="392000"/>
    <n v="0"/>
    <n v="4"/>
    <n v="960000"/>
    <n v="960000"/>
    <d v="2023-11-22T00:00:00"/>
    <s v="Tuấn Quyên - P.Thịnh"/>
    <x v="2"/>
    <n v="568000"/>
    <n v="0.59166666666666667"/>
    <n v="4"/>
    <n v="0"/>
    <n v="2023"/>
    <n v="11"/>
    <x v="7"/>
  </r>
  <r>
    <n v="751"/>
    <s v="KTN2002"/>
    <x v="144"/>
    <s v="Gói"/>
    <n v="61000"/>
    <n v="0"/>
    <n v="5"/>
    <n v="70000"/>
    <n v="70000"/>
    <d v="2023-11-22T00:00:00"/>
    <s v="Tuấn Quyên - P.Thịnh"/>
    <x v="2"/>
    <n v="9000"/>
    <n v="0.12857142857142859"/>
    <n v="5"/>
    <n v="0"/>
    <n v="2023"/>
    <n v="11"/>
    <x v="4"/>
  </r>
  <r>
    <n v="752"/>
    <s v="KTN2003"/>
    <x v="145"/>
    <s v="Gói"/>
    <n v="61000"/>
    <n v="0"/>
    <n v="5"/>
    <n v="70000"/>
    <n v="70000"/>
    <d v="2023-11-22T00:00:00"/>
    <s v="Tuấn Quyên - P.Thịnh"/>
    <x v="2"/>
    <n v="9000"/>
    <n v="0.12857142857142859"/>
    <n v="5"/>
    <n v="0"/>
    <n v="2023"/>
    <n v="11"/>
    <x v="4"/>
  </r>
  <r>
    <n v="753"/>
    <s v="GC603"/>
    <x v="74"/>
    <s v="Cây"/>
    <n v="300000"/>
    <n v="1"/>
    <n v="12"/>
    <n v="410000"/>
    <n v="410000"/>
    <d v="2023-11-22T00:00:00"/>
    <s v="Chị Tuyết - HCL (N.Mỹ)"/>
    <x v="2"/>
    <n v="110000"/>
    <n v="0.26829268292682928"/>
    <n v="13"/>
    <n v="7.6923076923076927E-2"/>
    <n v="2023"/>
    <n v="11"/>
    <x v="7"/>
  </r>
  <r>
    <n v="754"/>
    <s v="KR1500"/>
    <x v="191"/>
    <s v="Gói"/>
    <n v="285000"/>
    <n v="0"/>
    <n v="15"/>
    <n v="375000"/>
    <n v="375000"/>
    <d v="2023-11-22T00:00:00"/>
    <s v="Chị Tuyết - HCL (N.Mỹ)"/>
    <x v="2"/>
    <n v="90000"/>
    <n v="0.24"/>
    <n v="15"/>
    <n v="0"/>
    <n v="2023"/>
    <n v="11"/>
    <x v="0"/>
  </r>
  <r>
    <n v="755"/>
    <s v="HM608"/>
    <x v="36"/>
    <s v="Hộp"/>
    <n v="600000"/>
    <n v="0"/>
    <n v="6"/>
    <n v="1308000"/>
    <n v="1308000"/>
    <d v="2023-11-22T00:00:00"/>
    <s v="Ngọc Thu - P.Thịnh"/>
    <x v="4"/>
    <n v="708000"/>
    <n v="0.54128440366972475"/>
    <n v="6"/>
    <n v="0"/>
    <n v="2023"/>
    <n v="11"/>
    <x v="7"/>
  </r>
  <r>
    <n v="757"/>
    <s v="KU250"/>
    <x v="13"/>
    <s v="Gói"/>
    <n v="1155000"/>
    <n v="0"/>
    <n v="150"/>
    <n v="1350000"/>
    <n v="1350000"/>
    <d v="2023-11-22T00:00:00"/>
    <s v="Ngọc Thu - P.Thịnh"/>
    <x v="4"/>
    <n v="195000"/>
    <n v="0.1444444444444444"/>
    <n v="150"/>
    <n v="0"/>
    <n v="2023"/>
    <n v="11"/>
    <x v="3"/>
  </r>
  <r>
    <n v="758"/>
    <s v="GC603"/>
    <x v="74"/>
    <s v="Cây"/>
    <n v="300000"/>
    <n v="0"/>
    <n v="12"/>
    <n v="408000"/>
    <n v="408000"/>
    <d v="2023-11-23T00:00:00"/>
    <s v="Thông Thảo - P.Mỹ (QL30)"/>
    <x v="0"/>
    <n v="108000"/>
    <n v="0.26470588235294118"/>
    <n v="12"/>
    <n v="0"/>
    <n v="2023"/>
    <n v="11"/>
    <x v="7"/>
  </r>
  <r>
    <n v="759"/>
    <s v="KV1001"/>
    <x v="62"/>
    <s v="Gói"/>
    <n v="450000"/>
    <n v="0"/>
    <n v="60"/>
    <n v="540000"/>
    <n v="540000"/>
    <d v="2023-11-23T00:00:00"/>
    <s v="Thông Thảo - P.Mỹ (QL30)"/>
    <x v="0"/>
    <n v="90000"/>
    <n v="0.16666666666666671"/>
    <n v="60"/>
    <n v="0"/>
    <n v="2023"/>
    <n v="11"/>
    <x v="0"/>
  </r>
  <r>
    <n v="760"/>
    <s v="BG5200"/>
    <x v="179"/>
    <s v="Gói"/>
    <n v="1411920"/>
    <n v="0"/>
    <n v="12"/>
    <n v="1908000"/>
    <n v="1908000"/>
    <d v="2023-11-24T00:00:00"/>
    <s v="Thu Thủy - P.Mỹ (cầu Trâu Trắng)"/>
    <x v="0"/>
    <n v="496080"/>
    <n v="0.26"/>
    <n v="12"/>
    <n v="0"/>
    <n v="2023"/>
    <n v="11"/>
    <x v="1"/>
  </r>
  <r>
    <n v="763"/>
    <s v="KV100"/>
    <x v="0"/>
    <s v="Gói"/>
    <n v="172800"/>
    <n v="2"/>
    <n v="24"/>
    <n v="268000"/>
    <n v="268000"/>
    <d v="2023-11-24T00:00:00"/>
    <s v="Phượng Loan - N.V.Tiếp"/>
    <x v="2"/>
    <n v="95200"/>
    <n v="0.35522388059701487"/>
    <n v="26"/>
    <n v="7.6923076923076927E-2"/>
    <n v="2023"/>
    <n v="11"/>
    <x v="0"/>
  </r>
  <r>
    <n v="764"/>
    <s v="GC617"/>
    <x v="67"/>
    <s v="Cây"/>
    <n v="265716"/>
    <n v="0"/>
    <n v="12"/>
    <n v="360000"/>
    <n v="360000"/>
    <d v="2023-11-24T00:00:00"/>
    <s v="Căn tin BV Phổi( Chị Duyên) - BV phổi"/>
    <x v="0"/>
    <n v="94284"/>
    <n v="0.26190000000000002"/>
    <n v="12"/>
    <n v="0"/>
    <n v="2023"/>
    <n v="11"/>
    <x v="7"/>
  </r>
  <r>
    <n v="765"/>
    <s v="KV1002"/>
    <x v="3"/>
    <s v="Gói"/>
    <n v="648000"/>
    <n v="0"/>
    <n v="90"/>
    <n v="846000"/>
    <n v="846000"/>
    <d v="2023-11-24T00:00:00"/>
    <s v="Căn tin BV Phổi( Chị Duyên) - BV phổi"/>
    <x v="0"/>
    <n v="198000"/>
    <n v="0.23404255319148939"/>
    <n v="90"/>
    <n v="0"/>
    <n v="2023"/>
    <n v="11"/>
    <x v="0"/>
  </r>
  <r>
    <n v="769"/>
    <s v="NGT3600"/>
    <x v="101"/>
    <s v="Túi"/>
    <n v="370000"/>
    <n v="0"/>
    <n v="5"/>
    <n v="675000"/>
    <n v="675000"/>
    <d v="2023-11-25T00:00:00"/>
    <s v="Minh Hiền (chị Ớ) - B.H.Trung"/>
    <x v="0"/>
    <n v="305000"/>
    <n v="0.45185185185185178"/>
    <n v="5"/>
    <n v="0"/>
    <n v="2023"/>
    <n v="11"/>
    <x v="1"/>
  </r>
  <r>
    <n v="770"/>
    <s v="NGT36001"/>
    <x v="102"/>
    <s v="Túi"/>
    <n v="740000"/>
    <n v="0"/>
    <n v="10"/>
    <n v="1350000"/>
    <n v="1350000"/>
    <d v="2023-11-25T00:00:00"/>
    <s v="Minh Hiền (chị Ớ) - B.H.Trung"/>
    <x v="0"/>
    <n v="610000"/>
    <n v="0.45185185185185178"/>
    <n v="10"/>
    <n v="0"/>
    <n v="2023"/>
    <n v="11"/>
    <x v="1"/>
  </r>
  <r>
    <n v="771"/>
    <s v="GC10"/>
    <x v="140"/>
    <s v="Dây"/>
    <n v="260000"/>
    <n v="0"/>
    <n v="10"/>
    <n v="240000"/>
    <n v="240000"/>
    <d v="2023-11-25T00:00:00"/>
    <s v="Chị Linh (bán bọc) - HCL"/>
    <x v="0"/>
    <n v="-20000"/>
    <n v="-8.3333333333333329E-2"/>
    <n v="10"/>
    <n v="0"/>
    <n v="2023"/>
    <n v="11"/>
    <x v="7"/>
  </r>
  <r>
    <n v="772"/>
    <s v="KV1001"/>
    <x v="62"/>
    <s v="Gói"/>
    <n v="450000"/>
    <n v="0"/>
    <n v="60"/>
    <n v="510000"/>
    <n v="510000"/>
    <d v="2023-11-25T00:00:00"/>
    <s v="Chị Linh (bán bọc) - HCL"/>
    <x v="0"/>
    <n v="60000"/>
    <n v="0.1176470588235294"/>
    <n v="60"/>
    <n v="0"/>
    <n v="2023"/>
    <n v="11"/>
    <x v="0"/>
  </r>
  <r>
    <n v="773"/>
    <s v="KV320"/>
    <x v="8"/>
    <s v="Gói"/>
    <n v="528000"/>
    <n v="0"/>
    <n v="48"/>
    <n v="432000"/>
    <n v="432000"/>
    <d v="2023-11-25T00:00:00"/>
    <s v="Thanh Trang - HCL"/>
    <x v="2"/>
    <n v="-96000"/>
    <n v="-0.22222222222222221"/>
    <n v="48"/>
    <n v="0"/>
    <n v="2023"/>
    <n v="11"/>
    <x v="0"/>
  </r>
  <r>
    <n v="774"/>
    <s v="KV100"/>
    <x v="0"/>
    <s v="Gói"/>
    <n v="345600"/>
    <n v="0"/>
    <n v="48"/>
    <n v="518400"/>
    <n v="518400"/>
    <d v="2023-11-25T00:00:00"/>
    <s v="Xuân Bình - M.Hiệp"/>
    <x v="0"/>
    <n v="172800"/>
    <n v="0.33333333333333331"/>
    <n v="48"/>
    <n v="0"/>
    <n v="2023"/>
    <n v="11"/>
    <x v="0"/>
  </r>
  <r>
    <n v="776"/>
    <s v="HM613"/>
    <x v="166"/>
    <s v="Hộp"/>
    <n v="130000"/>
    <n v="0"/>
    <n v="1"/>
    <n v="280000"/>
    <n v="280000"/>
    <d v="2023-11-25T00:00:00"/>
    <s v="Chị Thắm (Hồng Thắm) - B.H.Tây"/>
    <x v="0"/>
    <n v="150000"/>
    <n v="0.5357142857142857"/>
    <n v="1"/>
    <n v="0"/>
    <n v="2023"/>
    <n v="11"/>
    <x v="7"/>
  </r>
  <r>
    <n v="777"/>
    <s v="KV1009"/>
    <x v="46"/>
    <s v="Gói"/>
    <n v="288000"/>
    <n v="0"/>
    <n v="48"/>
    <n v="360000"/>
    <n v="360000"/>
    <d v="2023-11-25T00:00:00"/>
    <s v="Chị Đào - T.H.Trung"/>
    <x v="0"/>
    <n v="72000"/>
    <n v="0.2"/>
    <n v="48"/>
    <n v="0"/>
    <n v="2023"/>
    <n v="11"/>
    <x v="0"/>
  </r>
  <r>
    <n v="778"/>
    <s v="A1K15"/>
    <x v="9"/>
    <s v="Hộp"/>
    <n v="362268"/>
    <n v="1"/>
    <n v="6"/>
    <n v="340000"/>
    <n v="340000"/>
    <d v="2023-11-25T00:00:00"/>
    <s v="TT Đông Nguyên - M.Long"/>
    <x v="0"/>
    <n v="-22268"/>
    <n v="-6.5494117647058828E-2"/>
    <n v="7"/>
    <n v="0.14285714285714279"/>
    <n v="2023"/>
    <n v="11"/>
    <x v="4"/>
  </r>
  <r>
    <n v="779"/>
    <s v="KU801"/>
    <x v="38"/>
    <s v="Gói"/>
    <n v="200000"/>
    <n v="0"/>
    <n v="50"/>
    <n v="300000"/>
    <n v="300000"/>
    <d v="2023-11-25T00:00:00"/>
    <s v="TT Đông Nguyên - M.Long"/>
    <x v="0"/>
    <n v="100000"/>
    <n v="0.33333333333333331"/>
    <n v="50"/>
    <n v="0"/>
    <n v="2023"/>
    <n v="11"/>
    <x v="3"/>
  </r>
  <r>
    <n v="780"/>
    <s v="BBL13"/>
    <x v="211"/>
    <s v="Hộp"/>
    <n v="102000"/>
    <n v="0"/>
    <n v="6"/>
    <n v="126000"/>
    <n v="126000"/>
    <d v="2023-11-25T00:00:00"/>
    <s v="Trung Phụng - T.H.Trung"/>
    <x v="0"/>
    <n v="24000"/>
    <n v="0.19047619047619049"/>
    <n v="6"/>
    <n v="0"/>
    <n v="2023"/>
    <n v="11"/>
    <x v="8"/>
  </r>
  <r>
    <n v="781"/>
    <s v="BBL131"/>
    <x v="212"/>
    <s v="Hộp"/>
    <n v="102000"/>
    <n v="0"/>
    <n v="6"/>
    <n v="126000"/>
    <n v="126000"/>
    <d v="2023-11-25T00:00:00"/>
    <s v="Trung Phụng - T.H.Trung"/>
    <x v="0"/>
    <n v="24000"/>
    <n v="0.19047619047619049"/>
    <n v="6"/>
    <n v="0"/>
    <n v="2023"/>
    <n v="11"/>
    <x v="8"/>
  </r>
  <r>
    <n v="782"/>
    <s v="BBL132"/>
    <x v="213"/>
    <s v="Hộp"/>
    <n v="102000"/>
    <n v="0"/>
    <n v="6"/>
    <n v="126000"/>
    <n v="126000"/>
    <d v="2023-11-25T00:00:00"/>
    <s v="Trung Phụng - T.H.Trung"/>
    <x v="0"/>
    <n v="24000"/>
    <n v="0.19047619047619049"/>
    <n v="6"/>
    <n v="0"/>
    <n v="2023"/>
    <n v="11"/>
    <x v="8"/>
  </r>
  <r>
    <n v="783"/>
    <s v="BCN198"/>
    <x v="206"/>
    <s v="Cây"/>
    <n v="180000"/>
    <n v="0"/>
    <n v="40"/>
    <n v="320000"/>
    <n v="320000"/>
    <d v="2023-11-25T00:00:00"/>
    <s v="Ngọc Như - M.Long"/>
    <x v="0"/>
    <n v="140000"/>
    <n v="0.4375"/>
    <n v="40"/>
    <n v="0"/>
    <n v="2023"/>
    <n v="11"/>
    <x v="2"/>
  </r>
  <r>
    <n v="784"/>
    <s v="GC100"/>
    <x v="109"/>
    <s v="Bao"/>
    <n v="114000"/>
    <n v="0"/>
    <n v="2"/>
    <n v="140000"/>
    <n v="140000"/>
    <d v="2023-11-25T00:00:00"/>
    <s v="Ngọc Như - M.Long"/>
    <x v="0"/>
    <n v="26000"/>
    <n v="0.18571428571428569"/>
    <n v="2"/>
    <n v="0"/>
    <n v="2023"/>
    <n v="11"/>
    <x v="7"/>
  </r>
  <r>
    <n v="785"/>
    <s v="KV1011"/>
    <x v="16"/>
    <s v="Gói"/>
    <n v="200010"/>
    <n v="0"/>
    <n v="30"/>
    <n v="210000"/>
    <n v="210000"/>
    <d v="2023-11-25T00:00:00"/>
    <s v="Ngọc Như - M.Long"/>
    <x v="0"/>
    <n v="9990"/>
    <n v="4.757142857142857E-2"/>
    <n v="30"/>
    <n v="0"/>
    <n v="2023"/>
    <n v="11"/>
    <x v="0"/>
  </r>
  <r>
    <n v="786"/>
    <s v="TBTE1001"/>
    <x v="65"/>
    <s v="Túi"/>
    <n v="126000"/>
    <n v="2"/>
    <n v="24"/>
    <n v="144000"/>
    <n v="144000"/>
    <d v="2023-11-25T00:00:00"/>
    <s v="Ngọc Như - M.Long"/>
    <x v="0"/>
    <n v="18000"/>
    <n v="0.125"/>
    <n v="26"/>
    <n v="7.6923076923076927E-2"/>
    <n v="2023"/>
    <n v="11"/>
    <x v="5"/>
  </r>
  <r>
    <n v="787"/>
    <s v="GC606"/>
    <x v="83"/>
    <s v="Cây"/>
    <n v="620016"/>
    <n v="4"/>
    <n v="24"/>
    <n v="762000"/>
    <n v="762000"/>
    <d v="2023-11-25T00:00:00"/>
    <s v="Chú 7 Vân - B.H.Tây"/>
    <x v="0"/>
    <n v="141984"/>
    <n v="0.18633070866141729"/>
    <n v="28"/>
    <n v="0.14285714285714279"/>
    <n v="2023"/>
    <n v="11"/>
    <x v="7"/>
  </r>
  <r>
    <n v="788"/>
    <s v="KV100"/>
    <x v="0"/>
    <s v="Gói"/>
    <n v="345600"/>
    <n v="4"/>
    <n v="48"/>
    <n v="536000"/>
    <n v="536000"/>
    <d v="2023-11-25T00:00:00"/>
    <s v="TH Trinh (Mỹ Trinh) - HCL (cuối chợ)"/>
    <x v="0"/>
    <n v="190400"/>
    <n v="0.35522388059701487"/>
    <n v="52"/>
    <n v="7.6923076923076927E-2"/>
    <n v="2023"/>
    <n v="11"/>
    <x v="0"/>
  </r>
  <r>
    <n v="789"/>
    <s v="8936017991012"/>
    <x v="214"/>
    <s v="Dây"/>
    <n v="824040"/>
    <n v="0"/>
    <n v="10"/>
    <n v="570000"/>
    <n v="570000"/>
    <d v="2023-11-25T00:00:00"/>
    <s v="MP Nhanh - M.Hiệp"/>
    <x v="0"/>
    <n v="-254040"/>
    <n v="-0.44568421052631579"/>
    <n v="10"/>
    <n v="0"/>
    <n v="2023"/>
    <n v="11"/>
    <x v="11"/>
  </r>
  <r>
    <n v="790"/>
    <s v="KDL1301"/>
    <x v="51"/>
    <s v="Gói"/>
    <n v="35000"/>
    <n v="0"/>
    <n v="10"/>
    <n v="65000"/>
    <n v="65000"/>
    <d v="2023-11-25T00:00:00"/>
    <s v="TT Kim Dung - M.Hiệp"/>
    <x v="0"/>
    <n v="30000"/>
    <n v="0.46153846153846162"/>
    <n v="10"/>
    <n v="0"/>
    <n v="2023"/>
    <n v="11"/>
    <x v="0"/>
  </r>
  <r>
    <n v="791"/>
    <s v="KU203"/>
    <x v="152"/>
    <s v="Gói"/>
    <n v="25000"/>
    <n v="0"/>
    <n v="10"/>
    <n v="40000"/>
    <n v="40000"/>
    <d v="2023-11-25T00:00:00"/>
    <s v="TT Kim Dung - M.Hiệp"/>
    <x v="0"/>
    <n v="15000"/>
    <n v="0.375"/>
    <n v="10"/>
    <n v="0"/>
    <n v="2023"/>
    <n v="11"/>
    <x v="3"/>
  </r>
  <r>
    <n v="793"/>
    <s v="HM603"/>
    <x v="35"/>
    <s v="Hộp"/>
    <n v="100000"/>
    <n v="0"/>
    <n v="1"/>
    <n v="170000"/>
    <n v="170000"/>
    <d v="2023-11-25T00:00:00"/>
    <s v="Vương Quốc Sữa - B.H.Trung"/>
    <x v="0"/>
    <n v="70000"/>
    <n v="0.41176470588235292"/>
    <n v="1"/>
    <n v="0"/>
    <n v="2023"/>
    <n v="11"/>
    <x v="7"/>
  </r>
  <r>
    <n v="794"/>
    <s v="HMH8"/>
    <x v="215"/>
    <s v="Hộp"/>
    <n v="253800"/>
    <n v="0"/>
    <n v="1"/>
    <n v="243000"/>
    <n v="243000"/>
    <d v="2023-11-25T00:00:00"/>
    <s v="Vương Quốc Sữa - B.H.Trung"/>
    <x v="0"/>
    <n v="-10800"/>
    <n v="-4.4444444444444453E-2"/>
    <n v="1"/>
    <n v="0"/>
    <n v="2023"/>
    <n v="11"/>
    <x v="10"/>
  </r>
  <r>
    <n v="795"/>
    <s v="GC100"/>
    <x v="109"/>
    <s v="Bao"/>
    <n v="285000"/>
    <n v="0"/>
    <n v="5"/>
    <n v="350000"/>
    <n v="350000"/>
    <d v="2023-11-25T00:00:00"/>
    <s v="Anh Tân (chị Phớt) - M.Xương"/>
    <x v="4"/>
    <n v="65000"/>
    <n v="0.18571428571428569"/>
    <n v="5"/>
    <n v="0"/>
    <n v="2023"/>
    <n v="11"/>
    <x v="7"/>
  </r>
  <r>
    <n v="796"/>
    <s v="HM601"/>
    <x v="22"/>
    <s v="Hộp"/>
    <n v="1536000"/>
    <n v="2"/>
    <n v="8"/>
    <n v="1536000"/>
    <n v="1536000"/>
    <d v="2023-11-25T00:00:00"/>
    <s v="Anh Tân (chị Phớt) - M.Xương"/>
    <x v="4"/>
    <n v="0"/>
    <n v="0"/>
    <n v="10"/>
    <n v="0.2"/>
    <n v="2023"/>
    <n v="11"/>
    <x v="7"/>
  </r>
  <r>
    <n v="798"/>
    <s v="KU1508"/>
    <x v="216"/>
    <s v="Gói"/>
    <n v="400000"/>
    <n v="0"/>
    <n v="40"/>
    <n v="720000"/>
    <n v="720000"/>
    <d v="2023-11-25T00:00:00"/>
    <s v="Tuấn Kiệt - M.Long"/>
    <x v="0"/>
    <n v="320000"/>
    <n v="0.44444444444444442"/>
    <n v="40"/>
    <n v="0"/>
    <n v="2023"/>
    <n v="11"/>
    <x v="3"/>
  </r>
  <r>
    <n v="799"/>
    <s v="KU2501"/>
    <x v="135"/>
    <s v="Gói"/>
    <n v="230000"/>
    <n v="0"/>
    <n v="20"/>
    <n v="360000"/>
    <n v="360000"/>
    <d v="2023-11-25T00:00:00"/>
    <s v="Tuấn Kiệt - M.Long"/>
    <x v="0"/>
    <n v="130000"/>
    <n v="0.3611111111111111"/>
    <n v="20"/>
    <n v="0"/>
    <n v="2023"/>
    <n v="11"/>
    <x v="3"/>
  </r>
  <r>
    <n v="800"/>
    <s v="KU250"/>
    <x v="13"/>
    <s v="Gói"/>
    <n v="231000"/>
    <n v="0"/>
    <n v="30"/>
    <n v="300000"/>
    <n v="300000"/>
    <d v="2023-11-25T00:00:00"/>
    <s v="Cô Trúc - M.Hội "/>
    <x v="4"/>
    <n v="69000"/>
    <n v="0.23"/>
    <n v="30"/>
    <n v="0"/>
    <n v="2023"/>
    <n v="11"/>
    <x v="3"/>
  </r>
  <r>
    <n v="801"/>
    <s v="BBL13"/>
    <x v="211"/>
    <s v="Hộp"/>
    <n v="102000"/>
    <n v="0"/>
    <n v="6"/>
    <n v="132000"/>
    <n v="132000"/>
    <d v="2023-11-25T00:00:00"/>
    <s v="Cẩm Giang - M.Xương"/>
    <x v="0"/>
    <n v="30000"/>
    <n v="0.22727272727272729"/>
    <n v="6"/>
    <n v="0"/>
    <n v="2023"/>
    <n v="11"/>
    <x v="8"/>
  </r>
  <r>
    <n v="802"/>
    <s v="BBL131"/>
    <x v="212"/>
    <s v="Hộp"/>
    <n v="102000"/>
    <n v="0"/>
    <n v="6"/>
    <n v="132000"/>
    <n v="132000"/>
    <d v="2023-11-25T00:00:00"/>
    <s v="Cẩm Giang - M.Xương"/>
    <x v="0"/>
    <n v="30000"/>
    <n v="0.22727272727272729"/>
    <n v="6"/>
    <n v="0"/>
    <n v="2023"/>
    <n v="11"/>
    <x v="8"/>
  </r>
  <r>
    <n v="803"/>
    <s v="BBL132"/>
    <x v="213"/>
    <s v="Hộp"/>
    <n v="102000"/>
    <n v="0"/>
    <n v="6"/>
    <n v="132000"/>
    <n v="132000"/>
    <d v="2023-11-25T00:00:00"/>
    <s v="Cẩm Giang - M.Xương"/>
    <x v="0"/>
    <n v="30000"/>
    <n v="0.22727272727272729"/>
    <n v="6"/>
    <n v="0"/>
    <n v="2023"/>
    <n v="11"/>
    <x v="8"/>
  </r>
  <r>
    <n v="804"/>
    <s v="HTBD121"/>
    <x v="94"/>
    <s v="Hộp"/>
    <n v="42084"/>
    <n v="0"/>
    <n v="1"/>
    <n v="48000"/>
    <n v="48000"/>
    <d v="2023-11-25T00:00:00"/>
    <s v="Cẩm Giang - M.Xương"/>
    <x v="0"/>
    <n v="5916"/>
    <n v="0.12325"/>
    <n v="1"/>
    <n v="0"/>
    <n v="2023"/>
    <n v="11"/>
    <x v="8"/>
  </r>
  <r>
    <n v="808"/>
    <s v="HM613"/>
    <x v="166"/>
    <s v="Hộp"/>
    <n v="780000"/>
    <n v="0"/>
    <n v="6"/>
    <n v="1680000"/>
    <n v="1680000"/>
    <d v="2023-11-25T00:00:00"/>
    <s v="Sữa tả Hoàng Trúc - HCL (T.Mỹ)"/>
    <x v="0"/>
    <n v="900000"/>
    <n v="0.5357142857142857"/>
    <n v="6"/>
    <n v="0"/>
    <n v="2023"/>
    <n v="11"/>
    <x v="7"/>
  </r>
  <r>
    <n v="810"/>
    <s v="TBND500"/>
    <x v="54"/>
    <s v="Thùng"/>
    <n v="326970"/>
    <n v="0"/>
    <n v="2"/>
    <n v="378000"/>
    <n v="378000"/>
    <d v="2023-11-25T00:00:00"/>
    <s v="Quán Cafe Sakê - HCL ( Thanh Mỹ)"/>
    <x v="4"/>
    <n v="51030"/>
    <n v="0.13500000000000001"/>
    <n v="2"/>
    <n v="0"/>
    <n v="2023"/>
    <n v="11"/>
    <x v="9"/>
  </r>
  <r>
    <n v="811"/>
    <s v="BBL13"/>
    <x v="211"/>
    <s v="Hộp"/>
    <n v="102000"/>
    <n v="0"/>
    <n v="6"/>
    <n v="126000"/>
    <n v="126000"/>
    <d v="2023-11-25T00:00:00"/>
    <s v="ĐL Bia Anh Vũ - Láng Biển"/>
    <x v="2"/>
    <n v="24000"/>
    <n v="0.19047619047619049"/>
    <n v="6"/>
    <n v="0"/>
    <n v="2023"/>
    <n v="11"/>
    <x v="8"/>
  </r>
  <r>
    <n v="812"/>
    <s v="BBL131"/>
    <x v="212"/>
    <s v="Hộp"/>
    <n v="102000"/>
    <n v="0"/>
    <n v="6"/>
    <n v="126000"/>
    <n v="126000"/>
    <d v="2023-11-25T00:00:00"/>
    <s v="ĐL Bia Anh Vũ - Láng Biển"/>
    <x v="2"/>
    <n v="24000"/>
    <n v="0.19047619047619049"/>
    <n v="6"/>
    <n v="0"/>
    <n v="2023"/>
    <n v="11"/>
    <x v="8"/>
  </r>
  <r>
    <n v="813"/>
    <s v="BBL132"/>
    <x v="213"/>
    <s v="Hộp"/>
    <n v="102000"/>
    <n v="0"/>
    <n v="6"/>
    <n v="126000"/>
    <n v="126000"/>
    <d v="2023-11-25T00:00:00"/>
    <s v="ĐL Bia Anh Vũ - Láng Biển"/>
    <x v="2"/>
    <n v="24000"/>
    <n v="0.19047619047619049"/>
    <n v="6"/>
    <n v="0"/>
    <n v="2023"/>
    <n v="11"/>
    <x v="8"/>
  </r>
  <r>
    <n v="814"/>
    <s v="KV1007"/>
    <x v="39"/>
    <s v="Gói"/>
    <n v="270000"/>
    <n v="0"/>
    <n v="40"/>
    <n v="320000"/>
    <n v="320000"/>
    <d v="2023-11-25T00:00:00"/>
    <s v="ĐL Bia Anh Vũ - Láng Biển"/>
    <x v="2"/>
    <n v="50000"/>
    <n v="0.15625"/>
    <n v="40"/>
    <n v="0"/>
    <n v="2023"/>
    <n v="11"/>
    <x v="0"/>
  </r>
  <r>
    <n v="815"/>
    <s v="KV320"/>
    <x v="8"/>
    <s v="Gói"/>
    <n v="528000"/>
    <n v="0"/>
    <n v="48"/>
    <n v="432000"/>
    <n v="432000"/>
    <d v="2023-11-25T00:00:00"/>
    <s v="ĐL Bia Anh Vũ - Láng Biển"/>
    <x v="2"/>
    <n v="-96000"/>
    <n v="-0.22222222222222221"/>
    <n v="48"/>
    <n v="0"/>
    <n v="2023"/>
    <n v="11"/>
    <x v="0"/>
  </r>
  <r>
    <n v="818"/>
    <s v="BV500"/>
    <x v="217"/>
    <s v="Gói"/>
    <n v="109250"/>
    <n v="0"/>
    <n v="5"/>
    <n v="150000"/>
    <n v="150000"/>
    <d v="2023-11-30T00:00:00"/>
    <s v="Chị Bích - T.Linh"/>
    <x v="0"/>
    <n v="40750"/>
    <n v="0.27166666666666672"/>
    <n v="5"/>
    <n v="0"/>
    <n v="2023"/>
    <n v="11"/>
    <x v="10"/>
  </r>
  <r>
    <n v="819"/>
    <s v="CV500"/>
    <x v="218"/>
    <s v="Gói"/>
    <n v="106750"/>
    <n v="0"/>
    <n v="5"/>
    <n v="150000"/>
    <n v="150000"/>
    <d v="2023-11-30T00:00:00"/>
    <s v="Chị Bích - T.Linh"/>
    <x v="0"/>
    <n v="43250"/>
    <n v="0.28833333333333327"/>
    <n v="5"/>
    <n v="0"/>
    <n v="2023"/>
    <n v="11"/>
    <x v="10"/>
  </r>
  <r>
    <n v="820"/>
    <s v="XX500"/>
    <x v="219"/>
    <s v="Gói"/>
    <n v="135000"/>
    <n v="0"/>
    <n v="5"/>
    <n v="175000"/>
    <n v="175000"/>
    <d v="2023-11-30T00:00:00"/>
    <s v="Chị Bích - T.Linh"/>
    <x v="0"/>
    <n v="40000"/>
    <n v="0.22857142857142859"/>
    <n v="5"/>
    <n v="0"/>
    <n v="2023"/>
    <n v="11"/>
    <x v="4"/>
  </r>
  <r>
    <n v="821"/>
    <s v="HTK151"/>
    <x v="120"/>
    <s v="Dây"/>
    <n v="150000"/>
    <n v="0"/>
    <n v="4"/>
    <n v="164000"/>
    <n v="164000"/>
    <d v="2023-11-30T00:00:00"/>
    <s v="Chị Thủy - P.Thịnh"/>
    <x v="4"/>
    <n v="14000"/>
    <n v="8.5365853658536592E-2"/>
    <n v="4"/>
    <n v="0"/>
    <n v="2023"/>
    <n v="11"/>
    <x v="4"/>
  </r>
  <r>
    <n v="822"/>
    <s v="BV500"/>
    <x v="217"/>
    <s v="Gói"/>
    <n v="109250"/>
    <n v="0"/>
    <n v="5"/>
    <n v="140000"/>
    <n v="140000"/>
    <d v="2023-11-30T00:00:00"/>
    <s v="8 Kịp - P.Thịnh"/>
    <x v="2"/>
    <n v="30750"/>
    <n v="0.21964285714285711"/>
    <n v="5"/>
    <n v="0"/>
    <n v="2023"/>
    <n v="11"/>
    <x v="10"/>
  </r>
  <r>
    <n v="823"/>
    <s v="CV500"/>
    <x v="218"/>
    <s v="Gói"/>
    <n v="106750"/>
    <n v="0"/>
    <n v="5"/>
    <n v="140000"/>
    <n v="140000"/>
    <d v="2023-11-30T00:00:00"/>
    <s v="8 Kịp - P.Thịnh"/>
    <x v="2"/>
    <n v="33250"/>
    <n v="0.23749999999999999"/>
    <n v="5"/>
    <n v="0"/>
    <n v="2023"/>
    <n v="11"/>
    <x v="10"/>
  </r>
  <r>
    <n v="824"/>
    <s v="GC10"/>
    <x v="140"/>
    <s v="Dây"/>
    <n v="260000"/>
    <n v="0"/>
    <n v="10"/>
    <n v="240000"/>
    <n v="240000"/>
    <d v="2023-11-30T00:00:00"/>
    <s v="8 Kịp - P.Thịnh"/>
    <x v="2"/>
    <n v="-20000"/>
    <n v="-8.3333333333333329E-2"/>
    <n v="10"/>
    <n v="0"/>
    <n v="2023"/>
    <n v="11"/>
    <x v="7"/>
  </r>
  <r>
    <n v="826"/>
    <s v="KU250"/>
    <x v="13"/>
    <s v="Gói"/>
    <n v="77000"/>
    <n v="0"/>
    <n v="10"/>
    <n v="100000"/>
    <n v="100000"/>
    <d v="2023-11-30T00:00:00"/>
    <s v="Chị Thắm - P.Thịnh"/>
    <x v="4"/>
    <n v="23000"/>
    <n v="0.23"/>
    <n v="10"/>
    <n v="0"/>
    <n v="2023"/>
    <n v="11"/>
    <x v="3"/>
  </r>
  <r>
    <n v="827"/>
    <s v="BV500"/>
    <x v="217"/>
    <s v="Gói"/>
    <n v="43700"/>
    <n v="0"/>
    <n v="2"/>
    <n v="56000"/>
    <n v="56000"/>
    <d v="2023-11-30T00:00:00"/>
    <s v="TT Chị Điệp - P.Thịnh"/>
    <x v="2"/>
    <n v="12300"/>
    <n v="0.21964285714285711"/>
    <n v="2"/>
    <n v="0"/>
    <n v="2023"/>
    <n v="11"/>
    <x v="10"/>
  </r>
  <r>
    <n v="828"/>
    <s v="CV500"/>
    <x v="218"/>
    <s v="Gói"/>
    <n v="42700"/>
    <n v="0"/>
    <n v="2"/>
    <n v="52000"/>
    <n v="52000"/>
    <d v="2023-11-30T00:00:00"/>
    <s v="TT Chị Điệp - P.Thịnh"/>
    <x v="2"/>
    <n v="9300"/>
    <n v="0.17884615384615379"/>
    <n v="2"/>
    <n v="0"/>
    <n v="2023"/>
    <n v="11"/>
    <x v="10"/>
  </r>
  <r>
    <n v="830"/>
    <s v="HM614"/>
    <x v="104"/>
    <s v="Hộp"/>
    <n v="260000"/>
    <n v="0"/>
    <n v="2"/>
    <n v="560000"/>
    <n v="560000"/>
    <d v="2023-11-30T00:00:00"/>
    <s v="TT Chị Điệp - P.Thịnh"/>
    <x v="2"/>
    <n v="300000"/>
    <n v="0.5357142857142857"/>
    <n v="2"/>
    <n v="0"/>
    <n v="2023"/>
    <n v="11"/>
    <x v="7"/>
  </r>
  <r>
    <n v="831"/>
    <s v="XX500"/>
    <x v="219"/>
    <s v="Gói"/>
    <n v="54000"/>
    <n v="0"/>
    <n v="2"/>
    <n v="66000"/>
    <n v="66000"/>
    <d v="2023-11-30T00:00:00"/>
    <s v="TT Chị Điệp - P.Thịnh"/>
    <x v="2"/>
    <n v="12000"/>
    <n v="0.1818181818181818"/>
    <n v="2"/>
    <n v="0"/>
    <n v="2023"/>
    <n v="11"/>
    <x v="4"/>
  </r>
  <r>
    <n v="832"/>
    <s v="BV500"/>
    <x v="217"/>
    <s v="Gói"/>
    <n v="109250"/>
    <n v="0"/>
    <n v="5"/>
    <n v="140000"/>
    <n v="140000"/>
    <d v="2023-11-30T00:00:00"/>
    <s v="5 Bún - P.Thịnh"/>
    <x v="2"/>
    <n v="30750"/>
    <n v="0.21964285714285711"/>
    <n v="5"/>
    <n v="0"/>
    <n v="2023"/>
    <n v="11"/>
    <x v="10"/>
  </r>
  <r>
    <n v="833"/>
    <s v="CV500"/>
    <x v="218"/>
    <s v="Gói"/>
    <n v="106750"/>
    <n v="0"/>
    <n v="5"/>
    <n v="140000"/>
    <n v="140000"/>
    <d v="2023-11-30T00:00:00"/>
    <s v="5 Bún - P.Thịnh"/>
    <x v="2"/>
    <n v="33250"/>
    <n v="0.23749999999999999"/>
    <n v="5"/>
    <n v="0"/>
    <n v="2023"/>
    <n v="11"/>
    <x v="10"/>
  </r>
  <r>
    <n v="834"/>
    <s v="XX500"/>
    <x v="219"/>
    <s v="Gói"/>
    <n v="135000"/>
    <n v="0"/>
    <n v="5"/>
    <n v="165000"/>
    <n v="165000"/>
    <d v="2023-11-30T00:00:00"/>
    <s v="5 Bún - P.Thịnh"/>
    <x v="2"/>
    <n v="30000"/>
    <n v="0.1818181818181818"/>
    <n v="5"/>
    <n v="0"/>
    <n v="2023"/>
    <n v="11"/>
    <x v="4"/>
  </r>
  <r>
    <n v="837"/>
    <s v="BV500"/>
    <x v="217"/>
    <s v="Gói"/>
    <n v="43700"/>
    <n v="0"/>
    <n v="2"/>
    <n v="60000"/>
    <n v="60000"/>
    <d v="2023-11-30T00:00:00"/>
    <s v="Tú Kiều - T.Nghĩa"/>
    <x v="2"/>
    <n v="16300"/>
    <n v="0.27166666666666672"/>
    <n v="2"/>
    <n v="0"/>
    <n v="2023"/>
    <n v="11"/>
    <x v="10"/>
  </r>
  <r>
    <n v="838"/>
    <s v="GC10"/>
    <x v="140"/>
    <s v="Dây"/>
    <n v="260000"/>
    <n v="0"/>
    <n v="10"/>
    <n v="230000"/>
    <n v="230000"/>
    <d v="2023-11-30T00:00:00"/>
    <s v="Tú Kiều - T.Nghĩa"/>
    <x v="2"/>
    <n v="-30000"/>
    <n v="-0.13043478260869559"/>
    <n v="10"/>
    <n v="0"/>
    <n v="2023"/>
    <n v="11"/>
    <x v="7"/>
  </r>
  <r>
    <n v="839"/>
    <s v="GC1023"/>
    <x v="141"/>
    <s v="Dây"/>
    <n v="245000"/>
    <n v="0"/>
    <n v="10"/>
    <n v="230000"/>
    <n v="230000"/>
    <d v="2023-11-30T00:00:00"/>
    <s v="Tú Kiều - T.Nghĩa"/>
    <x v="2"/>
    <n v="-15000"/>
    <n v="-6.5217391304347824E-2"/>
    <n v="10"/>
    <n v="0"/>
    <n v="2023"/>
    <n v="11"/>
    <x v="7"/>
  </r>
  <r>
    <n v="840"/>
    <s v="GC603"/>
    <x v="74"/>
    <s v="Cây"/>
    <n v="150000"/>
    <n v="0"/>
    <n v="6"/>
    <n v="192000"/>
    <n v="192000"/>
    <d v="2023-11-30T00:00:00"/>
    <s v="Tú Kiều - T.Nghĩa"/>
    <x v="2"/>
    <n v="42000"/>
    <n v="0.21875"/>
    <n v="6"/>
    <n v="0"/>
    <n v="2023"/>
    <n v="11"/>
    <x v="7"/>
  </r>
  <r>
    <n v="841"/>
    <s v="XX500"/>
    <x v="219"/>
    <s v="Gói"/>
    <n v="54000"/>
    <n v="0"/>
    <n v="2"/>
    <n v="70000"/>
    <n v="70000"/>
    <d v="2023-11-30T00:00:00"/>
    <s v="Tú Kiều - T.Nghĩa"/>
    <x v="2"/>
    <n v="16000"/>
    <n v="0.22857142857142859"/>
    <n v="2"/>
    <n v="0"/>
    <n v="2023"/>
    <n v="11"/>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s v="Khách hàng VIP"/>
    <n v="345600"/>
    <n v="0.33333333333333331"/>
    <n v="96"/>
    <n v="0"/>
    <n v="2023"/>
    <n v="9"/>
    <x v="0"/>
  </r>
  <r>
    <n v="2"/>
    <s v="TLM"/>
    <x v="1"/>
    <s v="Chai"/>
    <n v="800040"/>
    <n v="0"/>
    <n v="60"/>
    <n v="1100040"/>
    <n v="1100040"/>
    <d v="2023-09-01T00:00:00"/>
    <s v="Xuân Bình - M.Hiệp"/>
    <s v="Khách hàng VIP"/>
    <n v="300000"/>
    <n v="0.27271735573251882"/>
    <n v="60"/>
    <n v="0"/>
    <n v="2023"/>
    <n v="9"/>
    <x v="1"/>
  </r>
  <r>
    <n v="3"/>
    <s v="NG3600"/>
    <x v="2"/>
    <s v="Bình"/>
    <n v="365000"/>
    <n v="0"/>
    <n v="4"/>
    <n v="480000"/>
    <n v="480000"/>
    <d v="2023-09-01T00:00:00"/>
    <s v="Bé Bắp - N.Mỹ"/>
    <s v="Khách hàng Cần chú ý"/>
    <n v="115000"/>
    <n v="0.23958333333333329"/>
    <n v="4"/>
    <n v="0"/>
    <n v="2023"/>
    <n v="9"/>
    <x v="1"/>
  </r>
  <r>
    <n v="4"/>
    <s v="KV1002"/>
    <x v="3"/>
    <s v="Gói"/>
    <n v="1296000"/>
    <n v="0"/>
    <n v="180"/>
    <n v="1692000"/>
    <n v="1692000"/>
    <d v="2023-09-01T00:00:00"/>
    <s v="Căn tin BV Phổi( Chị Duyên) - BV phổi"/>
    <s v="Khách hàng VIP"/>
    <n v="396000"/>
    <n v="0.23404255319148939"/>
    <n v="180"/>
    <n v="0"/>
    <n v="2023"/>
    <n v="9"/>
    <x v="0"/>
  </r>
  <r>
    <n v="5"/>
    <s v="BCTEM32"/>
    <x v="4"/>
    <s v="Cây"/>
    <n v="46800"/>
    <n v="0"/>
    <n v="6"/>
    <n v="66000"/>
    <n v="66000"/>
    <d v="2023-09-01T00:00:00"/>
    <s v="MP Nhanh - M.Hiệp"/>
    <s v="Khách hàng VIP"/>
    <n v="19200"/>
    <n v="0.29090909090909089"/>
    <n v="6"/>
    <n v="0"/>
    <n v="2023"/>
    <n v="9"/>
    <x v="2"/>
  </r>
  <r>
    <n v="6"/>
    <s v="BCTEM35"/>
    <x v="5"/>
    <s v="Cây"/>
    <n v="46800"/>
    <n v="0"/>
    <n v="6"/>
    <n v="66000"/>
    <n v="66000"/>
    <d v="2023-09-01T00:00:00"/>
    <s v="MP Nhanh - M.Hiệp"/>
    <s v="Khách hàng VIP"/>
    <n v="19200"/>
    <n v="0.29090909090909089"/>
    <n v="6"/>
    <n v="0"/>
    <n v="2023"/>
    <n v="9"/>
    <x v="2"/>
  </r>
  <r>
    <n v="7"/>
    <s v="BCTEN36"/>
    <x v="6"/>
    <s v="Cây"/>
    <n v="46800"/>
    <n v="0"/>
    <n v="6"/>
    <n v="66000"/>
    <n v="66000"/>
    <d v="2023-09-01T00:00:00"/>
    <s v="MP Nhanh - M.Hiệp"/>
    <s v="Khách hàng VIP"/>
    <n v="19200"/>
    <n v="0.29090909090909089"/>
    <n v="6"/>
    <n v="0"/>
    <n v="2023"/>
    <n v="9"/>
    <x v="2"/>
  </r>
  <r>
    <n v="8"/>
    <s v="KU100"/>
    <x v="7"/>
    <s v="Gói"/>
    <n v="340000"/>
    <n v="5"/>
    <n v="20"/>
    <n v="480000"/>
    <n v="480000"/>
    <d v="2023-09-01T00:00:00"/>
    <s v="MP Nhanh - M.Hiệp"/>
    <s v="Khách hàng VIP"/>
    <n v="140000"/>
    <n v="0.29166666666666669"/>
    <n v="25"/>
    <n v="0.2"/>
    <n v="2023"/>
    <n v="9"/>
    <x v="3"/>
  </r>
  <r>
    <n v="10"/>
    <s v="KV320"/>
    <x v="8"/>
    <s v="Gói"/>
    <n v="528000"/>
    <n v="0"/>
    <n v="48"/>
    <n v="576000"/>
    <n v="576000"/>
    <d v="2023-09-04T00:00:00"/>
    <s v="Chị Nga - HCL"/>
    <s v="Khách hàng Trung thành"/>
    <n v="48000"/>
    <n v="8.3333333333333329E-2"/>
    <n v="48"/>
    <n v="0"/>
    <n v="2023"/>
    <n v="9"/>
    <x v="0"/>
  </r>
  <r>
    <n v="11"/>
    <s v="KV320"/>
    <x v="8"/>
    <s v="Gói"/>
    <n v="1056000"/>
    <n v="0"/>
    <n v="96"/>
    <n v="960000"/>
    <n v="960000"/>
    <d v="2023-09-04T00:00:00"/>
    <s v="Mỹ Nhân - N.Mỹ"/>
    <s v="Khách hàng Trung thành"/>
    <n v="-96000"/>
    <n v="-0.1"/>
    <n v="96"/>
    <n v="0"/>
    <n v="2023"/>
    <n v="9"/>
    <x v="0"/>
  </r>
  <r>
    <n v="12"/>
    <s v="KV100"/>
    <x v="0"/>
    <s v="Gói"/>
    <n v="345600"/>
    <n v="0"/>
    <n v="48"/>
    <n v="576000"/>
    <n v="576000"/>
    <d v="2023-09-04T00:00:00"/>
    <s v="Điện thoại Tuấn - N.Mỹ"/>
    <s v="Khách hàng Cần chú ý"/>
    <n v="230400"/>
    <n v="0.4"/>
    <n v="48"/>
    <n v="0"/>
    <n v="2023"/>
    <n v="9"/>
    <x v="0"/>
  </r>
  <r>
    <n v="16"/>
    <s v="A1K15"/>
    <x v="9"/>
    <s v="Hộp"/>
    <n v="120756"/>
    <n v="0"/>
    <n v="2"/>
    <n v="112000"/>
    <n v="112000"/>
    <d v="2023-09-04T00:00:00"/>
    <s v="TT Hải Hà - HCL"/>
    <s v="Khách hàng Cần chú ý"/>
    <n v="-8756"/>
    <n v="-7.8178571428571431E-2"/>
    <n v="2"/>
    <n v="0"/>
    <n v="2023"/>
    <n v="9"/>
    <x v="4"/>
  </r>
  <r>
    <n v="17"/>
    <s v="KDL01"/>
    <x v="10"/>
    <s v="Cây"/>
    <n v="39312"/>
    <n v="0"/>
    <n v="4"/>
    <n v="46000"/>
    <n v="46000"/>
    <d v="2023-09-04T00:00:00"/>
    <s v="TT Hải Hà - HCL"/>
    <s v="Khách hàng Cần chú ý"/>
    <n v="6688"/>
    <n v="0.1453913043478261"/>
    <n v="4"/>
    <n v="0"/>
    <n v="2023"/>
    <n v="9"/>
    <x v="0"/>
  </r>
  <r>
    <n v="18"/>
    <s v="TBTE20003"/>
    <x v="11"/>
    <s v="Hộp"/>
    <n v="231000"/>
    <n v="0"/>
    <n v="12"/>
    <n v="240000"/>
    <n v="240000"/>
    <d v="2023-09-04T00:00:00"/>
    <s v="TT Hải Hà - HCL"/>
    <s v="Khách hàng Cần chú ý"/>
    <n v="9000"/>
    <n v="3.7499999999999999E-2"/>
    <n v="12"/>
    <n v="0"/>
    <n v="2023"/>
    <n v="9"/>
    <x v="5"/>
  </r>
  <r>
    <n v="19"/>
    <s v="DCTD708"/>
    <x v="12"/>
    <s v="Vỉ"/>
    <n v="52800"/>
    <n v="0"/>
    <n v="2"/>
    <n v="72000"/>
    <n v="72000"/>
    <d v="2023-09-04T00:00:00"/>
    <s v="TH Trương Vy - A.Bình 2"/>
    <s v="Khách hàng Cần chú ý"/>
    <n v="19200"/>
    <n v="0.26666666666666672"/>
    <n v="2"/>
    <n v="0"/>
    <n v="2023"/>
    <n v="9"/>
    <x v="2"/>
  </r>
  <r>
    <n v="20"/>
    <s v="KU250"/>
    <x v="13"/>
    <s v="Gói"/>
    <n v="77000"/>
    <n v="0"/>
    <n v="10"/>
    <n v="100000"/>
    <n v="100000"/>
    <d v="2023-09-04T00:00:00"/>
    <s v="TH Trương Vy - A.Bình 2"/>
    <s v="Khách hàng Cần chú ý"/>
    <n v="23000"/>
    <n v="0.23"/>
    <n v="10"/>
    <n v="0"/>
    <n v="2023"/>
    <n v="9"/>
    <x v="3"/>
  </r>
  <r>
    <n v="21"/>
    <s v="KKDN300"/>
    <x v="14"/>
    <s v="Gói"/>
    <n v="792000"/>
    <n v="0"/>
    <n v="20"/>
    <n v="792000"/>
    <n v="792000"/>
    <d v="2023-09-04T00:00:00"/>
    <s v="Thế Giới Con Cưng - HCL"/>
    <s v="Khách hàng Trung thành"/>
    <n v="0"/>
    <n v="0"/>
    <n v="20"/>
    <n v="0"/>
    <n v="2023"/>
    <n v="9"/>
    <x v="0"/>
  </r>
  <r>
    <n v="24"/>
    <s v="KU1506"/>
    <x v="15"/>
    <s v="Gói"/>
    <n v="570000"/>
    <n v="0"/>
    <n v="60"/>
    <n v="1080000"/>
    <n v="1080000"/>
    <d v="2023-09-04T00:00:00"/>
    <s v="Chị Tuyết - HCL (N.Mỹ)"/>
    <s v="Khách hàng Trung thành"/>
    <n v="510000"/>
    <n v="0.47222222222222221"/>
    <n v="60"/>
    <n v="0"/>
    <n v="2023"/>
    <n v="9"/>
    <x v="3"/>
  </r>
  <r>
    <n v="25"/>
    <s v="KV1011"/>
    <x v="16"/>
    <s v="Gói"/>
    <n v="200010"/>
    <n v="0"/>
    <n v="30"/>
    <n v="240000"/>
    <n v="240000"/>
    <d v="2023-09-04T00:00:00"/>
    <s v="Chị Tuyết - HCL (N.Mỹ)"/>
    <s v="Khách hàng Trung thành"/>
    <n v="39990"/>
    <n v="0.166625"/>
    <n v="30"/>
    <n v="0"/>
    <n v="2023"/>
    <n v="9"/>
    <x v="0"/>
  </r>
  <r>
    <n v="27"/>
    <s v="HTF3000"/>
    <x v="17"/>
    <s v="Bình"/>
    <n v="340000"/>
    <n v="0"/>
    <n v="4"/>
    <n v="520000"/>
    <n v="520000"/>
    <d v="2023-09-05T00:00:00"/>
    <s v="TH Trương Vy - A.Bình 2"/>
    <s v="Khách hàng Cần chú ý"/>
    <n v="180000"/>
    <n v="0.34615384615384609"/>
    <n v="4"/>
    <n v="0"/>
    <n v="2023"/>
    <n v="9"/>
    <x v="1"/>
  </r>
  <r>
    <n v="28"/>
    <s v="KV1011"/>
    <x v="16"/>
    <s v="Gói"/>
    <n v="200010"/>
    <n v="0"/>
    <n v="30"/>
    <n v="220500"/>
    <n v="220500"/>
    <d v="2023-09-06T00:00:00"/>
    <s v="Thanh Nhàn - N.Mỹ"/>
    <s v="Khách hàng Cần chú ý"/>
    <n v="20490"/>
    <n v="9.292517006802721E-2"/>
    <n v="30"/>
    <n v="0"/>
    <n v="2023"/>
    <n v="9"/>
    <x v="0"/>
  </r>
  <r>
    <n v="29"/>
    <s v="CG50"/>
    <x v="18"/>
    <s v="Cái"/>
    <n v="165000"/>
    <n v="0"/>
    <n v="30"/>
    <n v="195000"/>
    <n v="195000"/>
    <d v="2023-09-07T00:00:00"/>
    <s v="Hồng Hạnh - P.Mỹ (cầu Trâu Trắng)"/>
    <s v="Khách hàng Cần chú ý"/>
    <n v="30000"/>
    <n v="0.15384615384615391"/>
    <n v="30"/>
    <n v="0"/>
    <n v="2023"/>
    <n v="9"/>
    <x v="4"/>
  </r>
  <r>
    <n v="30"/>
    <s v="CG501"/>
    <x v="19"/>
    <s v="Cái"/>
    <n v="165000"/>
    <n v="0"/>
    <n v="30"/>
    <n v="195000"/>
    <n v="195000"/>
    <d v="2023-09-07T00:00:00"/>
    <s v="Hồng Hạnh - P.Mỹ (cầu Trâu Trắng)"/>
    <s v="Khách hàng Cần chú ý"/>
    <n v="30000"/>
    <n v="0.15384615384615391"/>
    <n v="30"/>
    <n v="0"/>
    <n v="2023"/>
    <n v="9"/>
    <x v="4"/>
  </r>
  <r>
    <n v="31"/>
    <s v="NV004"/>
    <x v="20"/>
    <s v="Hộp"/>
    <n v="240000"/>
    <n v="0"/>
    <n v="1"/>
    <n v="250000"/>
    <n v="250000"/>
    <d v="2023-09-07T00:00:00"/>
    <s v="Hồng Hạnh - P.Mỹ (cầu Trâu Trắng)"/>
    <s v="Khách hàng Cần chú ý"/>
    <n v="10000"/>
    <n v="0.04"/>
    <n v="1"/>
    <n v="0"/>
    <n v="2023"/>
    <n v="9"/>
    <x v="6"/>
  </r>
  <r>
    <n v="32"/>
    <s v="NV101"/>
    <x v="21"/>
    <s v="Hộp"/>
    <n v="240000"/>
    <n v="0"/>
    <n v="1"/>
    <n v="250000"/>
    <n v="250000"/>
    <d v="2023-09-07T00:00:00"/>
    <s v="Hồng Hạnh - P.Mỹ (cầu Trâu Trắng)"/>
    <s v="Khách hàng Cần chú ý"/>
    <n v="10000"/>
    <n v="0.04"/>
    <n v="1"/>
    <n v="0"/>
    <n v="2023"/>
    <n v="9"/>
    <x v="6"/>
  </r>
  <r>
    <n v="35"/>
    <s v="HM601"/>
    <x v="22"/>
    <s v="Hộp"/>
    <n v="768000"/>
    <n v="1"/>
    <n v="4"/>
    <n v="960000"/>
    <n v="960000"/>
    <d v="2023-09-11T00:00:00"/>
    <s v="TT Hoàng Yến - M.Long"/>
    <s v="Khách hàng Trung thành"/>
    <n v="192000"/>
    <n v="0.2"/>
    <n v="5"/>
    <n v="0.2"/>
    <n v="2023"/>
    <n v="9"/>
    <x v="7"/>
  </r>
  <r>
    <n v="36"/>
    <s v="KV100"/>
    <x v="0"/>
    <s v="Gói"/>
    <n v="345600"/>
    <n v="4"/>
    <n v="48"/>
    <n v="576000"/>
    <n v="576000"/>
    <d v="2023-09-11T00:00:00"/>
    <s v="TT Hoàng Yến - M.Long"/>
    <s v="Khách hàng Trung thành"/>
    <n v="230400"/>
    <n v="0.4"/>
    <n v="52"/>
    <n v="7.6923076923076927E-2"/>
    <n v="2023"/>
    <n v="9"/>
    <x v="0"/>
  </r>
  <r>
    <n v="38"/>
    <s v="NG50002"/>
    <x v="23"/>
    <s v="Bình"/>
    <n v="920000"/>
    <n v="0"/>
    <n v="8"/>
    <n v="1800000"/>
    <n v="1800000"/>
    <d v="2023-09-11T00:00:00"/>
    <s v="Minh Hiền (chị Ớ) - B.H.Trung"/>
    <s v="Khách hàng VIP"/>
    <n v="880000"/>
    <n v="0.48888888888888887"/>
    <n v="8"/>
    <n v="0"/>
    <n v="2023"/>
    <n v="9"/>
    <x v="1"/>
  </r>
  <r>
    <n v="39"/>
    <s v="TNS1"/>
    <x v="24"/>
    <s v="Chai"/>
    <n v="190008"/>
    <n v="0"/>
    <n v="12"/>
    <n v="276000"/>
    <n v="276000"/>
    <d v="2023-09-11T00:00:00"/>
    <s v="Chị Xuyên - M.Long"/>
    <s v="Khách hàng Trung thành"/>
    <n v="85992"/>
    <n v="0.31156521739130433"/>
    <n v="12"/>
    <n v="0"/>
    <n v="2023"/>
    <n v="9"/>
    <x v="1"/>
  </r>
  <r>
    <n v="40"/>
    <s v="KV100"/>
    <x v="0"/>
    <s v="Gói"/>
    <n v="345600"/>
    <n v="4"/>
    <n v="48"/>
    <n v="532000"/>
    <n v="532000"/>
    <d v="2023-09-11T00:00:00"/>
    <s v="Chị Linh (bán bọc) - HCL"/>
    <s v="Khách hàng VIP"/>
    <n v="186400"/>
    <n v="0.35037593984962412"/>
    <n v="52"/>
    <n v="7.6923076923076927E-2"/>
    <n v="2023"/>
    <n v="9"/>
    <x v="0"/>
  </r>
  <r>
    <n v="41"/>
    <s v="TB10003"/>
    <x v="25"/>
    <s v="Túi"/>
    <n v="735000"/>
    <n v="24"/>
    <n v="120"/>
    <n v="750000"/>
    <n v="750000"/>
    <d v="2023-09-11T00:00:00"/>
    <s v="TT Ngọc Hạnh - Đ.Mối"/>
    <s v="Khách hàng Trung thành"/>
    <n v="15000"/>
    <n v="0.02"/>
    <n v="144"/>
    <n v="0.16666666666666671"/>
    <n v="2023"/>
    <n v="9"/>
    <x v="5"/>
  </r>
  <r>
    <n v="42"/>
    <s v="JA1KG"/>
    <x v="26"/>
    <s v="Chai"/>
    <n v="90000"/>
    <n v="2"/>
    <n v="12"/>
    <n v="132000"/>
    <n v="132000"/>
    <d v="2023-09-11T00:00:00"/>
    <s v="TH Trinh (Mỹ Trinh) - HCL (cuối chợ)"/>
    <s v="Khách hàng VIP"/>
    <n v="42000"/>
    <n v="0.31818181818181818"/>
    <n v="14"/>
    <n v="0.14285714285714279"/>
    <n v="2023"/>
    <n v="9"/>
    <x v="1"/>
  </r>
  <r>
    <n v="44"/>
    <s v="BT001"/>
    <x v="27"/>
    <s v="Cái"/>
    <n v="84000"/>
    <n v="0"/>
    <n v="6"/>
    <n v="84000"/>
    <n v="84000"/>
    <d v="2023-09-11T00:00:00"/>
    <s v="TT Nguyễn Thị Định - M.Xương"/>
    <s v="Khách hàng Trung thành"/>
    <n v="0"/>
    <n v="0"/>
    <n v="6"/>
    <n v="0"/>
    <n v="2023"/>
    <n v="9"/>
    <x v="5"/>
  </r>
  <r>
    <n v="45"/>
    <s v="GC605"/>
    <x v="28"/>
    <s v="Cây"/>
    <n v="290000"/>
    <n v="1"/>
    <n v="10"/>
    <n v="355000"/>
    <n v="355000"/>
    <d v="2023-09-11T00:00:00"/>
    <s v="TT Nguyễn Thị Định - M.Xương"/>
    <s v="Khách hàng Trung thành"/>
    <n v="65000"/>
    <n v="0.18309859154929581"/>
    <n v="11"/>
    <n v="9.0909090909090912E-2"/>
    <n v="2023"/>
    <n v="9"/>
    <x v="7"/>
  </r>
  <r>
    <n v="46"/>
    <s v="HTCTBC180"/>
    <x v="29"/>
    <s v="Hủ"/>
    <n v="52500"/>
    <n v="0"/>
    <n v="2"/>
    <n v="60000"/>
    <n v="60000"/>
    <d v="2023-09-11T00:00:00"/>
    <s v="TT Nguyễn Thị Định - M.Xương"/>
    <s v="Khách hàng Trung thành"/>
    <n v="7500"/>
    <n v="0.125"/>
    <n v="2"/>
    <n v="0"/>
    <n v="2023"/>
    <n v="9"/>
    <x v="1"/>
  </r>
  <r>
    <n v="47"/>
    <s v="KU102"/>
    <x v="30"/>
    <s v="Gói"/>
    <n v="120835"/>
    <n v="0"/>
    <n v="5"/>
    <n v="125000"/>
    <n v="125000"/>
    <d v="2023-09-11T00:00:00"/>
    <s v="TT Nguyễn Thị Định - M.Xương"/>
    <s v="Khách hàng Trung thành"/>
    <n v="4165"/>
    <n v="3.3320000000000002E-2"/>
    <n v="5"/>
    <n v="0"/>
    <n v="2023"/>
    <n v="9"/>
    <x v="3"/>
  </r>
  <r>
    <n v="48"/>
    <s v="KU250"/>
    <x v="13"/>
    <s v="Gói"/>
    <n v="77000"/>
    <n v="0"/>
    <n v="10"/>
    <n v="100000"/>
    <n v="100000"/>
    <d v="2023-09-11T00:00:00"/>
    <s v="TT Nguyễn Thị Định - M.Xương"/>
    <s v="Khách hàng Trung thành"/>
    <n v="23000"/>
    <n v="0.23"/>
    <n v="10"/>
    <n v="0"/>
    <n v="2023"/>
    <n v="9"/>
    <x v="3"/>
  </r>
  <r>
    <n v="49"/>
    <s v="TC1800"/>
    <x v="31"/>
    <s v="Chai"/>
    <n v="59000"/>
    <n v="0"/>
    <n v="2"/>
    <n v="80000"/>
    <n v="80000"/>
    <d v="2023-09-11T00:00:00"/>
    <s v="TT Nguyễn Thị Định - M.Xương"/>
    <s v="Khách hàng Trung thành"/>
    <n v="21000"/>
    <n v="0.26250000000000001"/>
    <n v="2"/>
    <n v="0"/>
    <n v="2023"/>
    <n v="9"/>
    <x v="1"/>
  </r>
  <r>
    <n v="50"/>
    <s v="TB20002"/>
    <x v="32"/>
    <s v="Hộp"/>
    <n v="388512"/>
    <n v="6"/>
    <n v="24"/>
    <n v="384000"/>
    <n v="384000"/>
    <d v="2023-09-11T00:00:00"/>
    <s v="TT Trung Tuấn - B.H.Tây"/>
    <s v="Khách hàng Cần chú ý"/>
    <n v="-4512"/>
    <n v="-1.175E-2"/>
    <n v="30"/>
    <n v="0.2"/>
    <n v="2023"/>
    <n v="9"/>
    <x v="5"/>
  </r>
  <r>
    <n v="51"/>
    <s v="TBTE20002"/>
    <x v="33"/>
    <s v="Hộp"/>
    <n v="178500"/>
    <n v="0"/>
    <n v="12"/>
    <n v="216000"/>
    <n v="216000"/>
    <d v="2023-09-11T00:00:00"/>
    <s v="TT Trung Tuấn - B.H.Tây"/>
    <s v="Khách hàng Cần chú ý"/>
    <n v="37500"/>
    <n v="0.1736111111111111"/>
    <n v="12"/>
    <n v="0"/>
    <n v="2023"/>
    <n v="9"/>
    <x v="5"/>
  </r>
  <r>
    <n v="54"/>
    <s v="HM10"/>
    <x v="34"/>
    <s v="Hộp"/>
    <n v="95000"/>
    <n v="0"/>
    <n v="1"/>
    <n v="218000"/>
    <n v="218000"/>
    <d v="2023-09-11T00:00:00"/>
    <s v="Vương Quốc Sữa - B.H.Trung"/>
    <s v="Khách hàng VIP"/>
    <n v="123000"/>
    <n v="0.56422018348623848"/>
    <n v="1"/>
    <n v="0"/>
    <n v="2023"/>
    <n v="9"/>
    <x v="7"/>
  </r>
  <r>
    <n v="55"/>
    <s v="HM603"/>
    <x v="35"/>
    <s v="Hộp"/>
    <n v="100000"/>
    <n v="1"/>
    <n v="1"/>
    <n v="218000"/>
    <n v="218000"/>
    <d v="2023-09-11T00:00:00"/>
    <s v="Vương Quốc Sữa - B.H.Trung"/>
    <s v="Khách hàng VIP"/>
    <n v="118000"/>
    <n v="0.54128440366972475"/>
    <n v="2"/>
    <n v="0.5"/>
    <n v="2023"/>
    <n v="9"/>
    <x v="7"/>
  </r>
  <r>
    <n v="56"/>
    <s v="HM608"/>
    <x v="36"/>
    <s v="Hộp"/>
    <n v="100000"/>
    <n v="0"/>
    <n v="1"/>
    <n v="218000"/>
    <n v="218000"/>
    <d v="2023-09-11T00:00:00"/>
    <s v="Vương Quốc Sữa - B.H.Trung"/>
    <s v="Khách hàng VIP"/>
    <n v="118000"/>
    <n v="0.54128440366972475"/>
    <n v="1"/>
    <n v="0"/>
    <n v="2023"/>
    <n v="9"/>
    <x v="7"/>
  </r>
  <r>
    <n v="57"/>
    <s v="HM610"/>
    <x v="37"/>
    <s v="Hộp"/>
    <n v="100000"/>
    <n v="0"/>
    <n v="1"/>
    <n v="218000"/>
    <n v="218000"/>
    <d v="2023-09-11T00:00:00"/>
    <s v="Vương Quốc Sữa - B.H.Trung"/>
    <s v="Khách hàng VIP"/>
    <n v="118000"/>
    <n v="0.54128440366972475"/>
    <n v="1"/>
    <n v="0"/>
    <n v="2023"/>
    <n v="9"/>
    <x v="7"/>
  </r>
  <r>
    <n v="58"/>
    <s v="KU100"/>
    <x v="7"/>
    <s v="Gói"/>
    <n v="102000"/>
    <n v="0"/>
    <n v="6"/>
    <n v="144000"/>
    <n v="144000"/>
    <d v="2023-09-11T00:00:00"/>
    <s v="Vương Quốc Sữa - B.H.Trung"/>
    <s v="Khách hàng VIP"/>
    <n v="42000"/>
    <n v="0.29166666666666669"/>
    <n v="6"/>
    <n v="0"/>
    <n v="2023"/>
    <n v="9"/>
    <x v="3"/>
  </r>
  <r>
    <n v="59"/>
    <s v="KU1506"/>
    <x v="15"/>
    <s v="Gói"/>
    <n v="285000"/>
    <n v="0"/>
    <n v="30"/>
    <n v="420000"/>
    <n v="420000"/>
    <d v="2023-09-11T00:00:00"/>
    <s v="Chị Oanh - M.Long"/>
    <s v="Khách hàng Trung thành"/>
    <n v="135000"/>
    <n v="0.32142857142857151"/>
    <n v="30"/>
    <n v="0"/>
    <n v="2023"/>
    <n v="9"/>
    <x v="3"/>
  </r>
  <r>
    <n v="60"/>
    <s v="KU801"/>
    <x v="38"/>
    <s v="Gói"/>
    <n v="80000"/>
    <n v="0"/>
    <n v="20"/>
    <n v="130000"/>
    <n v="130000"/>
    <d v="2023-09-11T00:00:00"/>
    <s v="Chị Oanh - M.Long"/>
    <s v="Khách hàng Trung thành"/>
    <n v="50000"/>
    <n v="0.38461538461538458"/>
    <n v="20"/>
    <n v="0"/>
    <n v="2023"/>
    <n v="9"/>
    <x v="3"/>
  </r>
  <r>
    <n v="61"/>
    <s v="KV1007"/>
    <x v="39"/>
    <s v="Gói"/>
    <n v="270000"/>
    <n v="0"/>
    <n v="40"/>
    <n v="300000"/>
    <n v="300000"/>
    <d v="2023-09-11T00:00:00"/>
    <s v="Chị Oanh - M.Long"/>
    <s v="Khách hàng Trung thành"/>
    <n v="30000"/>
    <n v="0.1"/>
    <n v="40"/>
    <n v="0"/>
    <n v="2023"/>
    <n v="9"/>
    <x v="0"/>
  </r>
  <r>
    <n v="62"/>
    <s v="JA2KG"/>
    <x v="40"/>
    <s v="Chai"/>
    <n v="90000"/>
    <n v="0"/>
    <n v="6"/>
    <n v="144000"/>
    <n v="144000"/>
    <d v="2023-09-11T00:00:00"/>
    <s v="Thiên Phú - M.Long"/>
    <s v="Khách hàng Cần chú ý"/>
    <n v="54000"/>
    <n v="0.375"/>
    <n v="6"/>
    <n v="0"/>
    <n v="2023"/>
    <n v="9"/>
    <x v="1"/>
  </r>
  <r>
    <n v="66"/>
    <s v="KU100"/>
    <x v="7"/>
    <s v="Gói"/>
    <n v="340000"/>
    <n v="0"/>
    <n v="20"/>
    <n v="500000"/>
    <n v="500000"/>
    <d v="2023-09-12T00:00:00"/>
    <s v="Sữa tả Hoàng Trúc - HCL (T.Mỹ)"/>
    <s v="Khách hàng VIP"/>
    <n v="160000"/>
    <n v="0.32"/>
    <n v="20"/>
    <n v="0"/>
    <n v="2023"/>
    <n v="9"/>
    <x v="3"/>
  </r>
  <r>
    <n v="68"/>
    <s v="KTN3001"/>
    <x v="41"/>
    <s v="Hộp"/>
    <n v="43500"/>
    <n v="0"/>
    <n v="3"/>
    <n v="42000"/>
    <n v="42000"/>
    <d v="2023-09-12T00:00:00"/>
    <s v="Su Trường - T.H.Trung"/>
    <s v="Khách hàng Tiềm năng"/>
    <n v="-1500"/>
    <n v="-3.5714285714285712E-2"/>
    <n v="3"/>
    <n v="0"/>
    <n v="2023"/>
    <n v="9"/>
    <x v="4"/>
  </r>
  <r>
    <n v="69"/>
    <s v="KTN3002"/>
    <x v="42"/>
    <s v="Hộp"/>
    <n v="58000"/>
    <n v="0"/>
    <n v="4"/>
    <n v="56000"/>
    <n v="56000"/>
    <d v="2023-09-12T00:00:00"/>
    <s v="Su Trường - T.H.Trung"/>
    <s v="Khách hàng Tiềm năng"/>
    <n v="-2000"/>
    <n v="-3.5714285714285712E-2"/>
    <n v="4"/>
    <n v="0"/>
    <n v="2023"/>
    <n v="9"/>
    <x v="4"/>
  </r>
  <r>
    <n v="70"/>
    <s v="KTN3003"/>
    <x v="43"/>
    <s v="Hộp"/>
    <n v="43500"/>
    <n v="0"/>
    <n v="3"/>
    <n v="42000"/>
    <n v="42000"/>
    <d v="2023-09-12T00:00:00"/>
    <s v="Su Trường - T.H.Trung"/>
    <s v="Khách hàng Tiềm năng"/>
    <n v="-1500"/>
    <n v="-3.5714285714285712E-2"/>
    <n v="3"/>
    <n v="0"/>
    <n v="2023"/>
    <n v="9"/>
    <x v="4"/>
  </r>
  <r>
    <n v="71"/>
    <s v="A1K15"/>
    <x v="9"/>
    <s v="Hộp"/>
    <n v="362268"/>
    <n v="1"/>
    <n v="6"/>
    <n v="340000"/>
    <n v="340000"/>
    <d v="2023-09-14T00:00:00"/>
    <s v="TT Đông Nghi - P.Mỹ"/>
    <s v="Khách hàng Cần chú ý"/>
    <n v="-22268"/>
    <n v="-6.5494117647058828E-2"/>
    <n v="7"/>
    <n v="0.14285714285714279"/>
    <n v="2023"/>
    <n v="9"/>
    <x v="4"/>
  </r>
  <r>
    <n v="73"/>
    <s v="BG32001"/>
    <x v="44"/>
    <s v="Gói"/>
    <n v="305000"/>
    <n v="0"/>
    <n v="4"/>
    <n v="424000"/>
    <n v="424000"/>
    <d v="2023-09-14T00:00:00"/>
    <s v="Anh Nghiệp (Cậu 2 Nhựt) - Ngã 4"/>
    <s v="Khách hàng Cần chú ý"/>
    <n v="119000"/>
    <n v="0.28066037735849059"/>
    <n v="4"/>
    <n v="0"/>
    <n v="2023"/>
    <n v="9"/>
    <x v="1"/>
  </r>
  <r>
    <n v="74"/>
    <s v="LLDORCOTITAN"/>
    <x v="45"/>
    <s v="Hộp"/>
    <n v="294000"/>
    <n v="1"/>
    <n v="6"/>
    <n v="310000"/>
    <n v="310000"/>
    <d v="2023-09-14T00:00:00"/>
    <s v="Anh Nghiệp (Cậu 2 Nhựt) - Ngã 4"/>
    <s v="Khách hàng Cần chú ý"/>
    <n v="16000"/>
    <n v="5.1612903225806452E-2"/>
    <n v="7"/>
    <n v="0.14285714285714279"/>
    <n v="2023"/>
    <n v="9"/>
    <x v="2"/>
  </r>
  <r>
    <n v="75"/>
    <s v="KV1009"/>
    <x v="46"/>
    <s v="Gói"/>
    <n v="144000"/>
    <n v="0"/>
    <n v="24"/>
    <n v="192000"/>
    <n v="192000"/>
    <d v="2023-09-14T00:00:00"/>
    <s v="Thanh Tâm - Ngã 4"/>
    <s v="Khách hàng Trung thành"/>
    <n v="48000"/>
    <n v="0.25"/>
    <n v="24"/>
    <n v="0"/>
    <n v="2023"/>
    <n v="9"/>
    <x v="0"/>
  </r>
  <r>
    <n v="79"/>
    <s v="BSOGI121"/>
    <x v="47"/>
    <s v="Hủ"/>
    <n v="63000"/>
    <n v="0"/>
    <n v="1"/>
    <n v="69000"/>
    <n v="69000"/>
    <d v="2023-09-14T00:00:00"/>
    <s v="Thế giới sữa Tony - T.Nghĩa"/>
    <s v="Khách hàng Trung thành"/>
    <n v="6000"/>
    <n v="8.6956521739130432E-2"/>
    <n v="1"/>
    <n v="0"/>
    <n v="2023"/>
    <n v="9"/>
    <x v="8"/>
  </r>
  <r>
    <n v="80"/>
    <s v="CG26"/>
    <x v="48"/>
    <s v="Cái"/>
    <n v="110000"/>
    <n v="0"/>
    <n v="20"/>
    <n v="130000"/>
    <n v="130000"/>
    <d v="2023-09-14T00:00:00"/>
    <s v="Thế giới sữa Tony - T.Nghĩa"/>
    <s v="Khách hàng Trung thành"/>
    <n v="20000"/>
    <n v="0.15384615384615391"/>
    <n v="20"/>
    <n v="0"/>
    <n v="2023"/>
    <n v="9"/>
    <x v="4"/>
  </r>
  <r>
    <n v="81"/>
    <s v="CG50"/>
    <x v="18"/>
    <s v="Cái"/>
    <n v="165000"/>
    <n v="0"/>
    <n v="30"/>
    <n v="195000"/>
    <n v="195000"/>
    <d v="2023-09-14T00:00:00"/>
    <s v="Thế giới sữa Tony - T.Nghĩa"/>
    <s v="Khách hàng Trung thành"/>
    <n v="30000"/>
    <n v="0.15384615384615391"/>
    <n v="30"/>
    <n v="0"/>
    <n v="2023"/>
    <n v="9"/>
    <x v="4"/>
  </r>
  <r>
    <n v="82"/>
    <s v="CG501"/>
    <x v="19"/>
    <s v="Cái"/>
    <n v="165000"/>
    <n v="0"/>
    <n v="30"/>
    <n v="195000"/>
    <n v="195000"/>
    <d v="2023-09-14T00:00:00"/>
    <s v="Thế giới sữa Tony - T.Nghĩa"/>
    <s v="Khách hàng Trung thành"/>
    <n v="30000"/>
    <n v="0.15384615384615391"/>
    <n v="30"/>
    <n v="0"/>
    <n v="2023"/>
    <n v="9"/>
    <x v="4"/>
  </r>
  <r>
    <n v="84"/>
    <s v="SD1000"/>
    <x v="49"/>
    <s v="Lon"/>
    <n v="820800"/>
    <n v="0"/>
    <n v="24"/>
    <n v="840000"/>
    <n v="840000"/>
    <d v="2023-09-14T00:00:00"/>
    <s v="Thế giới sữa Tony - T.Nghĩa"/>
    <s v="Khách hàng Trung thành"/>
    <n v="19200"/>
    <n v="2.2857142857142861E-2"/>
    <n v="24"/>
    <n v="0"/>
    <n v="2023"/>
    <n v="9"/>
    <x v="4"/>
  </r>
  <r>
    <n v="85"/>
    <s v="CC16"/>
    <x v="50"/>
    <s v="Dây"/>
    <n v="138000"/>
    <n v="0"/>
    <n v="6"/>
    <n v="162000"/>
    <n v="162000"/>
    <d v="2023-09-14T00:00:00"/>
    <s v="5 Phụng - T.Nghĩa"/>
    <s v="Khách hàng Trung thành"/>
    <n v="24000"/>
    <n v="0.14814814814814811"/>
    <n v="6"/>
    <n v="0"/>
    <n v="2023"/>
    <n v="9"/>
    <x v="4"/>
  </r>
  <r>
    <n v="86"/>
    <s v="KTN3001"/>
    <x v="41"/>
    <s v="Hộp"/>
    <n v="72500"/>
    <n v="0"/>
    <n v="5"/>
    <n v="70000"/>
    <n v="70000"/>
    <d v="2023-09-14T00:00:00"/>
    <s v="5 Phụng - T.Nghĩa"/>
    <s v="Khách hàng Trung thành"/>
    <n v="-2500"/>
    <n v="-3.5714285714285712E-2"/>
    <n v="5"/>
    <n v="0"/>
    <n v="2023"/>
    <n v="9"/>
    <x v="4"/>
  </r>
  <r>
    <n v="87"/>
    <s v="KTN3002"/>
    <x v="42"/>
    <s v="Hộp"/>
    <n v="72500"/>
    <n v="0"/>
    <n v="5"/>
    <n v="70000"/>
    <n v="70000"/>
    <d v="2023-09-14T00:00:00"/>
    <s v="5 Phụng - T.Nghĩa"/>
    <s v="Khách hàng Trung thành"/>
    <n v="-2500"/>
    <n v="-3.5714285714285712E-2"/>
    <n v="5"/>
    <n v="0"/>
    <n v="2023"/>
    <n v="9"/>
    <x v="4"/>
  </r>
  <r>
    <n v="88"/>
    <s v="KTN3003"/>
    <x v="43"/>
    <s v="Hộp"/>
    <n v="72500"/>
    <n v="0"/>
    <n v="5"/>
    <n v="70000"/>
    <n v="70000"/>
    <d v="2023-09-14T00:00:00"/>
    <s v="5 Phụng - T.Nghĩa"/>
    <s v="Khách hàng Trung thành"/>
    <n v="-2500"/>
    <n v="-3.5714285714285712E-2"/>
    <n v="5"/>
    <n v="0"/>
    <n v="2023"/>
    <n v="9"/>
    <x v="4"/>
  </r>
  <r>
    <n v="89"/>
    <s v="SD1000"/>
    <x v="49"/>
    <s v="Lon"/>
    <n v="171000"/>
    <n v="0"/>
    <n v="5"/>
    <n v="175000"/>
    <n v="175000"/>
    <d v="2023-09-14T00:00:00"/>
    <s v="5 Phụng - T.Nghĩa"/>
    <s v="Khách hàng Trung thành"/>
    <n v="4000"/>
    <n v="2.2857142857142861E-2"/>
    <n v="5"/>
    <n v="0"/>
    <n v="2023"/>
    <n v="9"/>
    <x v="4"/>
  </r>
  <r>
    <n v="90"/>
    <s v="KDL1301"/>
    <x v="51"/>
    <s v="Gói"/>
    <n v="42000"/>
    <n v="1"/>
    <n v="12"/>
    <n v="72000"/>
    <n v="72000"/>
    <d v="2023-09-14T00:00:00"/>
    <s v="Tường Sang - T.Nghĩa"/>
    <s v="Khách hàng Cần chú ý"/>
    <n v="30000"/>
    <n v="0.41666666666666669"/>
    <n v="13"/>
    <n v="7.6923076923076927E-2"/>
    <n v="2023"/>
    <n v="9"/>
    <x v="0"/>
  </r>
  <r>
    <n v="91"/>
    <s v="KR500"/>
    <x v="52"/>
    <s v="Gói"/>
    <n v="70400"/>
    <n v="2"/>
    <n v="8"/>
    <n v="136000"/>
    <n v="136000"/>
    <d v="2023-09-14T00:00:00"/>
    <s v="Tường Sang - T.Nghĩa"/>
    <s v="Khách hàng Cần chú ý"/>
    <n v="65600"/>
    <n v="0.4823529411764706"/>
    <n v="10"/>
    <n v="0.2"/>
    <n v="2023"/>
    <n v="9"/>
    <x v="0"/>
  </r>
  <r>
    <n v="92"/>
    <s v="SRT500"/>
    <x v="53"/>
    <s v="Chai"/>
    <n v="77500"/>
    <n v="1"/>
    <n v="5"/>
    <n v="175000"/>
    <n v="175000"/>
    <d v="2023-09-14T00:00:00"/>
    <s v="Tường Sang - T.Nghĩa"/>
    <s v="Khách hàng Cần chú ý"/>
    <n v="97500"/>
    <n v="0.55714285714285716"/>
    <n v="6"/>
    <n v="0.16666666666666671"/>
    <n v="2023"/>
    <n v="9"/>
    <x v="1"/>
  </r>
  <r>
    <n v="93"/>
    <s v="CC16"/>
    <x v="50"/>
    <s v="Dây"/>
    <n v="46000"/>
    <n v="0"/>
    <n v="2"/>
    <n v="56000"/>
    <n v="56000"/>
    <d v="2023-09-14T00:00:00"/>
    <s v="An Nhiên - T.Nghĩa"/>
    <s v="Khách hàng Trung thành"/>
    <n v="10000"/>
    <n v="0.1785714285714286"/>
    <n v="2"/>
    <n v="0"/>
    <n v="2023"/>
    <n v="9"/>
    <x v="4"/>
  </r>
  <r>
    <n v="94"/>
    <s v="CG50"/>
    <x v="18"/>
    <s v="Cái"/>
    <n v="110000"/>
    <n v="0"/>
    <n v="20"/>
    <n v="130000"/>
    <n v="130000"/>
    <d v="2023-09-14T00:00:00"/>
    <s v="An Nhiên - T.Nghĩa"/>
    <s v="Khách hàng Trung thành"/>
    <n v="20000"/>
    <n v="0.15384615384615391"/>
    <n v="20"/>
    <n v="0"/>
    <n v="2023"/>
    <n v="9"/>
    <x v="4"/>
  </r>
  <r>
    <n v="95"/>
    <s v="SD1000"/>
    <x v="49"/>
    <s v="Lon"/>
    <n v="171000"/>
    <n v="0"/>
    <n v="5"/>
    <n v="175000"/>
    <n v="175000"/>
    <d v="2023-09-14T00:00:00"/>
    <s v="An Nhiên - T.Nghĩa"/>
    <s v="Khách hàng Trung thành"/>
    <n v="4000"/>
    <n v="2.2857142857142861E-2"/>
    <n v="5"/>
    <n v="0"/>
    <n v="2023"/>
    <n v="9"/>
    <x v="4"/>
  </r>
  <r>
    <n v="96"/>
    <s v="TBND500"/>
    <x v="54"/>
    <s v="Thùng"/>
    <n v="163485"/>
    <n v="0"/>
    <n v="1"/>
    <n v="175000"/>
    <n v="175000"/>
    <d v="2023-09-14T00:00:00"/>
    <s v="An Nhiên - T.Nghĩa"/>
    <s v="Khách hàng Trung thành"/>
    <n v="11515"/>
    <n v="6.5799999999999997E-2"/>
    <n v="1"/>
    <n v="0"/>
    <n v="2023"/>
    <n v="9"/>
    <x v="9"/>
  </r>
  <r>
    <n v="99"/>
    <s v="JA350G"/>
    <x v="55"/>
    <s v="Chai"/>
    <n v="90000"/>
    <n v="0"/>
    <n v="30"/>
    <n v="165000"/>
    <n v="165000"/>
    <d v="2023-09-15T00:00:00"/>
    <s v="Đạt Hường - P.Thịnh"/>
    <s v="Khách hàng Cần chú ý"/>
    <n v="75000"/>
    <n v="0.45454545454545447"/>
    <n v="30"/>
    <n v="0"/>
    <n v="2023"/>
    <n v="9"/>
    <x v="1"/>
  </r>
  <r>
    <n v="100"/>
    <s v="JA500G"/>
    <x v="56"/>
    <s v="Chai"/>
    <n v="90000"/>
    <n v="0"/>
    <n v="24"/>
    <n v="168000"/>
    <n v="168000"/>
    <d v="2023-09-15T00:00:00"/>
    <s v="Đạt Hường - P.Thịnh"/>
    <s v="Khách hàng Cần chú ý"/>
    <n v="78000"/>
    <n v="0.4642857142857143"/>
    <n v="24"/>
    <n v="0"/>
    <n v="2023"/>
    <n v="9"/>
    <x v="1"/>
  </r>
  <r>
    <n v="101"/>
    <s v="HTBSN80"/>
    <x v="57"/>
    <s v="Lon"/>
    <n v="55440"/>
    <n v="0"/>
    <n v="2"/>
    <n v="64000"/>
    <n v="64000"/>
    <d v="2023-09-16T00:00:00"/>
    <s v="Mỹ Hạnh - HCL"/>
    <s v="Khách hàng Trung thành"/>
    <n v="8560"/>
    <n v="0.13375000000000001"/>
    <n v="2"/>
    <n v="0"/>
    <n v="2023"/>
    <n v="9"/>
    <x v="8"/>
  </r>
  <r>
    <n v="102"/>
    <s v="HTBSN90"/>
    <x v="58"/>
    <s v="Lon"/>
    <n v="55440"/>
    <n v="0"/>
    <n v="2"/>
    <n v="64000"/>
    <n v="64000"/>
    <d v="2023-09-16T00:00:00"/>
    <s v="Mỹ Hạnh - HCL"/>
    <s v="Khách hàng Trung thành"/>
    <n v="8560"/>
    <n v="0.13375000000000001"/>
    <n v="2"/>
    <n v="0"/>
    <n v="2023"/>
    <n v="9"/>
    <x v="8"/>
  </r>
  <r>
    <n v="103"/>
    <s v="HTBSN902"/>
    <x v="59"/>
    <s v="Lon"/>
    <n v="55440"/>
    <n v="0"/>
    <n v="2"/>
    <n v="64000"/>
    <n v="64000"/>
    <d v="2023-09-16T00:00:00"/>
    <s v="Mỹ Hạnh - HCL"/>
    <s v="Khách hàng Trung thành"/>
    <n v="8560"/>
    <n v="0.13375000000000001"/>
    <n v="2"/>
    <n v="0"/>
    <n v="2023"/>
    <n v="9"/>
    <x v="8"/>
  </r>
  <r>
    <n v="104"/>
    <s v="HTBSN903"/>
    <x v="60"/>
    <s v="Lon"/>
    <n v="83160"/>
    <n v="0"/>
    <n v="3"/>
    <n v="96000"/>
    <n v="96000"/>
    <d v="2023-09-16T00:00:00"/>
    <s v="Mỹ Hạnh - HCL"/>
    <s v="Khách hàng Trung thành"/>
    <n v="12840"/>
    <n v="0.13375000000000001"/>
    <n v="3"/>
    <n v="0"/>
    <n v="2023"/>
    <n v="9"/>
    <x v="8"/>
  </r>
  <r>
    <n v="105"/>
    <s v="HTBSN904"/>
    <x v="61"/>
    <s v="Lon"/>
    <n v="83160"/>
    <n v="0"/>
    <n v="3"/>
    <n v="96000"/>
    <n v="96000"/>
    <d v="2023-09-16T00:00:00"/>
    <s v="Mỹ Hạnh - HCL"/>
    <s v="Khách hàng Trung thành"/>
    <n v="12840"/>
    <n v="0.13375000000000001"/>
    <n v="3"/>
    <n v="0"/>
    <n v="2023"/>
    <n v="9"/>
    <x v="8"/>
  </r>
  <r>
    <n v="106"/>
    <s v="KV1001"/>
    <x v="62"/>
    <s v="Gói"/>
    <n v="450000"/>
    <n v="0"/>
    <n v="60"/>
    <n v="480000"/>
    <n v="480000"/>
    <d v="2023-09-16T00:00:00"/>
    <s v="Mỹ Hạnh - HCL"/>
    <s v="Khách hàng Trung thành"/>
    <n v="30000"/>
    <n v="6.25E-2"/>
    <n v="60"/>
    <n v="0"/>
    <n v="2023"/>
    <n v="9"/>
    <x v="0"/>
  </r>
  <r>
    <n v="107"/>
    <s v="NSSK555"/>
    <x v="63"/>
    <s v="Thùng"/>
    <n v="390000"/>
    <n v="0"/>
    <n v="5"/>
    <n v="390000"/>
    <n v="390000"/>
    <d v="2023-09-16T00:00:00"/>
    <s v="Mỹ Hạnh - HCL"/>
    <s v="Khách hàng Trung thành"/>
    <n v="0"/>
    <n v="0"/>
    <n v="5"/>
    <n v="0"/>
    <n v="2023"/>
    <n v="9"/>
    <x v="9"/>
  </r>
  <r>
    <n v="108"/>
    <s v="KU100"/>
    <x v="7"/>
    <s v="Gói"/>
    <n v="340000"/>
    <n v="0"/>
    <n v="20"/>
    <n v="500000"/>
    <n v="500000"/>
    <d v="2023-09-16T00:00:00"/>
    <s v="TT Hải Châu - T.H.Trung"/>
    <s v="Khách hàng Cần chú ý"/>
    <n v="160000"/>
    <n v="0.32"/>
    <n v="20"/>
    <n v="0"/>
    <n v="2023"/>
    <n v="9"/>
    <x v="3"/>
  </r>
  <r>
    <n v="109"/>
    <s v="BTT160"/>
    <x v="64"/>
    <s v="Cây"/>
    <n v="144000"/>
    <n v="0"/>
    <n v="6"/>
    <n v="180000"/>
    <n v="180000"/>
    <d v="2023-09-16T00:00:00"/>
    <s v="TT Ngọc Trinh - B.H.Trung"/>
    <s v="Khách hàng Trung thành"/>
    <n v="36000"/>
    <n v="0.2"/>
    <n v="6"/>
    <n v="0"/>
    <n v="2023"/>
    <n v="9"/>
    <x v="5"/>
  </r>
  <r>
    <n v="110"/>
    <s v="KDL01"/>
    <x v="10"/>
    <s v="Cây"/>
    <n v="98280"/>
    <n v="0"/>
    <n v="10"/>
    <n v="115000"/>
    <n v="115000"/>
    <d v="2023-09-16T00:00:00"/>
    <s v="TT Ngọc Trinh - B.H.Trung"/>
    <s v="Khách hàng Trung thành"/>
    <n v="16720"/>
    <n v="0.1453913043478261"/>
    <n v="10"/>
    <n v="0"/>
    <n v="2023"/>
    <n v="9"/>
    <x v="0"/>
  </r>
  <r>
    <n v="111"/>
    <s v="TBTE1001"/>
    <x v="65"/>
    <s v="Túi"/>
    <n v="126000"/>
    <n v="4"/>
    <n v="24"/>
    <n v="168000"/>
    <n v="168000"/>
    <d v="2023-09-16T00:00:00"/>
    <s v="TT Ngọc Trinh - B.H.Trung"/>
    <s v="Khách hàng Trung thành"/>
    <n v="42000"/>
    <n v="0.25"/>
    <n v="28"/>
    <n v="0.14285714285714279"/>
    <n v="2023"/>
    <n v="9"/>
    <x v="5"/>
  </r>
  <r>
    <n v="112"/>
    <s v="GC106"/>
    <x v="66"/>
    <s v="Cây"/>
    <n v="180000"/>
    <n v="0"/>
    <n v="10"/>
    <n v="220000"/>
    <n v="220000"/>
    <d v="2023-09-16T00:00:00"/>
    <s v="Chị Thắm (Hồng Thắm) - B.H.Tây"/>
    <s v="Khách hàng VIP"/>
    <n v="40000"/>
    <n v="0.1818181818181818"/>
    <n v="10"/>
    <n v="0"/>
    <n v="2023"/>
    <n v="9"/>
    <x v="7"/>
  </r>
  <r>
    <n v="113"/>
    <s v="GC617"/>
    <x v="67"/>
    <s v="Cây"/>
    <n v="265716"/>
    <n v="0"/>
    <n v="12"/>
    <n v="360000"/>
    <n v="360000"/>
    <d v="2023-09-16T00:00:00"/>
    <s v="Chị Thắm (Hồng Thắm) - B.H.Tây"/>
    <s v="Khách hàng VIP"/>
    <n v="94284"/>
    <n v="0.26190000000000002"/>
    <n v="12"/>
    <n v="0"/>
    <n v="2023"/>
    <n v="9"/>
    <x v="7"/>
  </r>
  <r>
    <n v="114"/>
    <s v="GC617"/>
    <x v="67"/>
    <s v="Cây"/>
    <n v="265716"/>
    <n v="0"/>
    <n v="12"/>
    <n v="360000"/>
    <n v="360000"/>
    <d v="2023-09-16T00:00:00"/>
    <s v="4 Điều - M.Trắng"/>
    <s v="Khách hàng Cần chú ý"/>
    <n v="94284"/>
    <n v="0.26190000000000002"/>
    <n v="12"/>
    <n v="0"/>
    <n v="2023"/>
    <n v="9"/>
    <x v="7"/>
  </r>
  <r>
    <n v="115"/>
    <s v="KTN3001"/>
    <x v="41"/>
    <s v="Hộp"/>
    <n v="43500"/>
    <n v="0"/>
    <n v="3"/>
    <n v="42000"/>
    <n v="42000"/>
    <d v="2023-09-16T00:00:00"/>
    <s v="TT Hữu Nghị - M.Trắng"/>
    <s v="Khách hàng Cần chú ý"/>
    <n v="-1500"/>
    <n v="-3.5714285714285712E-2"/>
    <n v="3"/>
    <n v="0"/>
    <n v="2023"/>
    <n v="9"/>
    <x v="4"/>
  </r>
  <r>
    <n v="116"/>
    <s v="KTN3002"/>
    <x v="42"/>
    <s v="Hộp"/>
    <n v="58000"/>
    <n v="0"/>
    <n v="4"/>
    <n v="56000"/>
    <n v="56000"/>
    <d v="2023-09-16T00:00:00"/>
    <s v="TT Hữu Nghị - M.Trắng"/>
    <s v="Khách hàng Cần chú ý"/>
    <n v="-2000"/>
    <n v="-3.5714285714285712E-2"/>
    <n v="4"/>
    <n v="0"/>
    <n v="2023"/>
    <n v="9"/>
    <x v="4"/>
  </r>
  <r>
    <n v="117"/>
    <s v="KTN3003"/>
    <x v="43"/>
    <s v="Hộp"/>
    <n v="43500"/>
    <n v="0"/>
    <n v="3"/>
    <n v="42000"/>
    <n v="42000"/>
    <d v="2023-09-16T00:00:00"/>
    <s v="TT Hữu Nghị - M.Trắng"/>
    <s v="Khách hàng Cần chú ý"/>
    <n v="-1500"/>
    <n v="-3.5714285714285712E-2"/>
    <n v="3"/>
    <n v="0"/>
    <n v="2023"/>
    <n v="9"/>
    <x v="4"/>
  </r>
  <r>
    <n v="118"/>
    <s v="KV1009"/>
    <x v="46"/>
    <s v="Gói"/>
    <n v="288000"/>
    <n v="0"/>
    <n v="48"/>
    <n v="360000"/>
    <n v="360000"/>
    <d v="2023-09-16T00:00:00"/>
    <s v="Chị Đào - T.H.Trung"/>
    <s v="Khách hàng VIP"/>
    <n v="72000"/>
    <n v="0.2"/>
    <n v="48"/>
    <n v="0"/>
    <n v="2023"/>
    <n v="9"/>
    <x v="0"/>
  </r>
  <r>
    <n v="119"/>
    <s v="HM607"/>
    <x v="68"/>
    <s v="Hộp"/>
    <n v="300000"/>
    <n v="0"/>
    <n v="3"/>
    <n v="654000"/>
    <n v="654000"/>
    <d v="2023-09-16T00:00:00"/>
    <s v="TH Ngân (chị Ngân) - T.H.Trung"/>
    <s v="Khách hàng Trung thành"/>
    <n v="354000"/>
    <n v="0.54128440366972475"/>
    <n v="3"/>
    <n v="0"/>
    <n v="2023"/>
    <n v="9"/>
    <x v="7"/>
  </r>
  <r>
    <n v="120"/>
    <s v="HM608"/>
    <x v="36"/>
    <s v="Hộp"/>
    <n v="300000"/>
    <n v="0"/>
    <n v="3"/>
    <n v="654000"/>
    <n v="654000"/>
    <d v="2023-09-16T00:00:00"/>
    <s v="TH Ngân (chị Ngân) - T.H.Trung"/>
    <s v="Khách hàng Trung thành"/>
    <n v="354000"/>
    <n v="0.54128440366972475"/>
    <n v="3"/>
    <n v="0"/>
    <n v="2023"/>
    <n v="9"/>
    <x v="7"/>
  </r>
  <r>
    <n v="122"/>
    <s v="KV100"/>
    <x v="0"/>
    <s v="Gói"/>
    <n v="345600"/>
    <n v="5"/>
    <n v="48"/>
    <n v="521000"/>
    <n v="521000"/>
    <d v="2023-09-16T00:00:00"/>
    <s v="Chị Hạnh - M.Trắng"/>
    <s v="Khách hàng Cần chú ý"/>
    <n v="175400"/>
    <n v="0.3366602687140115"/>
    <n v="53"/>
    <n v="9.4339622641509441E-2"/>
    <n v="2023"/>
    <n v="9"/>
    <x v="0"/>
  </r>
  <r>
    <n v="123"/>
    <s v="GC617"/>
    <x v="67"/>
    <s v="Cây"/>
    <n v="265716"/>
    <n v="1"/>
    <n v="12"/>
    <n v="377000"/>
    <n v="377000"/>
    <d v="2023-09-16T00:00:00"/>
    <s v="Kim Quyên - M.Trắng"/>
    <s v="Khách hàng Cần chú ý"/>
    <n v="111284"/>
    <n v="0.29518302387267897"/>
    <n v="13"/>
    <n v="7.6923076923076927E-2"/>
    <n v="2023"/>
    <n v="9"/>
    <x v="7"/>
  </r>
  <r>
    <n v="124"/>
    <s v="XM6007"/>
    <x v="69"/>
    <s v="Chai"/>
    <n v="216000"/>
    <n v="0"/>
    <n v="12"/>
    <n v="264000"/>
    <n v="264000"/>
    <d v="2023-09-16T00:00:00"/>
    <s v="Kim Quyên - M.Trắng"/>
    <s v="Khách hàng Cần chú ý"/>
    <n v="48000"/>
    <n v="0.1818181818181818"/>
    <n v="12"/>
    <n v="0"/>
    <n v="2023"/>
    <n v="9"/>
    <x v="1"/>
  </r>
  <r>
    <n v="125"/>
    <s v="GC6010"/>
    <x v="70"/>
    <s v="Cuộn"/>
    <n v="267000"/>
    <n v="2"/>
    <n v="10"/>
    <n v="270000"/>
    <n v="270000"/>
    <d v="2023-09-16T00:00:00"/>
    <s v="Như Ý - M.Trắng"/>
    <s v="Khách hàng Trung thành"/>
    <n v="3000"/>
    <n v="1.111111111111111E-2"/>
    <n v="12"/>
    <n v="0.16666666666666671"/>
    <n v="2023"/>
    <n v="9"/>
    <x v="7"/>
  </r>
  <r>
    <n v="126"/>
    <s v="KV100"/>
    <x v="0"/>
    <s v="Gói"/>
    <n v="345600"/>
    <n v="5"/>
    <n v="48"/>
    <n v="521000"/>
    <n v="521000"/>
    <d v="2023-09-16T00:00:00"/>
    <s v="Như Ý - M.Trắng"/>
    <s v="Khách hàng Trung thành"/>
    <n v="175400"/>
    <n v="0.3366602687140115"/>
    <n v="53"/>
    <n v="9.4339622641509441E-2"/>
    <n v="2023"/>
    <n v="9"/>
    <x v="0"/>
  </r>
  <r>
    <n v="127"/>
    <s v="KV100"/>
    <x v="0"/>
    <s v="Gói"/>
    <n v="345600"/>
    <n v="5"/>
    <n v="48"/>
    <n v="521000"/>
    <n v="521000"/>
    <d v="2023-09-16T00:00:00"/>
    <s v="Uốn tóc Kim Phụng - M.Trắng"/>
    <s v="Khách hàng Cần chú ý"/>
    <n v="175400"/>
    <n v="0.3366602687140115"/>
    <n v="53"/>
    <n v="9.4339622641509441E-2"/>
    <n v="2023"/>
    <n v="9"/>
    <x v="0"/>
  </r>
  <r>
    <n v="128"/>
    <s v="CC16"/>
    <x v="50"/>
    <s v="Dây"/>
    <n v="138000"/>
    <n v="0"/>
    <n v="6"/>
    <n v="162000"/>
    <n v="162000"/>
    <d v="2023-09-16T00:00:00"/>
    <s v="Chú 7 Vân - B.H.Tây"/>
    <s v="Khách hàng VIP"/>
    <n v="24000"/>
    <n v="0.14814814814814811"/>
    <n v="6"/>
    <n v="0"/>
    <n v="2023"/>
    <n v="9"/>
    <x v="4"/>
  </r>
  <r>
    <n v="129"/>
    <s v="HM600"/>
    <x v="71"/>
    <s v="Hộp"/>
    <n v="1215000"/>
    <n v="0"/>
    <n v="6"/>
    <n v="1620000"/>
    <n v="1620000"/>
    <d v="2023-09-16T00:00:00"/>
    <s v="Chú 7 Vân - B.H.Tây"/>
    <s v="Khách hàng VIP"/>
    <n v="405000"/>
    <n v="0.25"/>
    <n v="6"/>
    <n v="0"/>
    <n v="2023"/>
    <n v="9"/>
    <x v="7"/>
  </r>
  <r>
    <n v="130"/>
    <s v="HM601"/>
    <x v="22"/>
    <s v="Hộp"/>
    <n v="1152000"/>
    <n v="0"/>
    <n v="6"/>
    <n v="1440000"/>
    <n v="1440000"/>
    <d v="2023-09-16T00:00:00"/>
    <s v="Chú 7 Vân - B.H.Tây"/>
    <s v="Khách hàng VIP"/>
    <n v="288000"/>
    <n v="0.2"/>
    <n v="6"/>
    <n v="0"/>
    <n v="2023"/>
    <n v="9"/>
    <x v="7"/>
  </r>
  <r>
    <n v="133"/>
    <s v="HM609"/>
    <x v="72"/>
    <s v="Hộp"/>
    <n v="900000"/>
    <n v="0"/>
    <n v="6"/>
    <n v="1308000"/>
    <n v="1308000"/>
    <d v="2023-09-16T00:00:00"/>
    <s v="Chú 7 Vân - B.H.Tây"/>
    <s v="Khách hàng VIP"/>
    <n v="408000"/>
    <n v="0.31192660550458717"/>
    <n v="6"/>
    <n v="0"/>
    <n v="2023"/>
    <n v="9"/>
    <x v="7"/>
  </r>
  <r>
    <n v="134"/>
    <s v="HM610"/>
    <x v="37"/>
    <s v="Hộp"/>
    <n v="600000"/>
    <n v="0"/>
    <n v="6"/>
    <n v="1308000"/>
    <n v="1308000"/>
    <d v="2023-09-16T00:00:00"/>
    <s v="Chú 7 Vân - B.H.Tây"/>
    <s v="Khách hàng VIP"/>
    <n v="708000"/>
    <n v="0.54128440366972475"/>
    <n v="6"/>
    <n v="0"/>
    <n v="2023"/>
    <n v="9"/>
    <x v="7"/>
  </r>
  <r>
    <n v="136"/>
    <s v="KV1009"/>
    <x v="46"/>
    <s v="Gói"/>
    <n v="1440000"/>
    <n v="0"/>
    <n v="240"/>
    <n v="1920000"/>
    <n v="1920000"/>
    <d v="2023-09-16T00:00:00"/>
    <s v="Chú 7 Vân - B.H.Tây"/>
    <s v="Khách hàng VIP"/>
    <n v="480000"/>
    <n v="0.25"/>
    <n v="240"/>
    <n v="0"/>
    <n v="2023"/>
    <n v="9"/>
    <x v="0"/>
  </r>
  <r>
    <n v="137"/>
    <s v="KV100"/>
    <x v="0"/>
    <s v="Gói"/>
    <n v="345600"/>
    <n v="5"/>
    <n v="48"/>
    <n v="526000"/>
    <n v="526000"/>
    <d v="2023-09-16T00:00:00"/>
    <s v="6 Trạng - M.Trắng"/>
    <s v="Khách hàng Cần chú ý"/>
    <n v="180400"/>
    <n v="0.34296577946768059"/>
    <n v="53"/>
    <n v="9.4339622641509441E-2"/>
    <n v="2023"/>
    <n v="9"/>
    <x v="0"/>
  </r>
  <r>
    <n v="138"/>
    <s v="NG3600"/>
    <x v="2"/>
    <s v="Bình"/>
    <n v="182500"/>
    <n v="0"/>
    <n v="2"/>
    <n v="260000"/>
    <n v="260000"/>
    <d v="2023-09-16T00:00:00"/>
    <s v="6 Trạng - M.Trắng"/>
    <s v="Khách hàng Cần chú ý"/>
    <n v="77500"/>
    <n v="0.29807692307692307"/>
    <n v="2"/>
    <n v="0"/>
    <n v="2023"/>
    <n v="9"/>
    <x v="1"/>
  </r>
  <r>
    <n v="139"/>
    <s v="NG36002"/>
    <x v="73"/>
    <s v="Bình"/>
    <n v="182500"/>
    <n v="0"/>
    <n v="2"/>
    <n v="260000"/>
    <n v="260000"/>
    <d v="2023-09-16T00:00:00"/>
    <s v="6 Trạng - M.Trắng"/>
    <s v="Khách hàng Cần chú ý"/>
    <n v="77500"/>
    <n v="0.29807692307692307"/>
    <n v="2"/>
    <n v="0"/>
    <n v="2023"/>
    <n v="9"/>
    <x v="1"/>
  </r>
  <r>
    <n v="140"/>
    <s v="KV1009"/>
    <x v="46"/>
    <s v="Gói"/>
    <n v="288000"/>
    <n v="0"/>
    <n v="48"/>
    <n v="360000"/>
    <n v="360000"/>
    <d v="2023-09-16T00:00:00"/>
    <s v="Chị Thủy (đồ nhựa) - T.H.Trung"/>
    <s v="Khách hàng Cần chú ý"/>
    <n v="72000"/>
    <n v="0.2"/>
    <n v="48"/>
    <n v="0"/>
    <n v="2023"/>
    <n v="9"/>
    <x v="0"/>
  </r>
  <r>
    <n v="141"/>
    <s v="GC603"/>
    <x v="74"/>
    <s v="Cây"/>
    <n v="300000"/>
    <n v="1"/>
    <n v="12"/>
    <n v="409000"/>
    <n v="409000"/>
    <d v="2023-09-16T00:00:00"/>
    <s v="TT Kim Dung - M.Hiệp"/>
    <s v="Khách hàng VIP"/>
    <n v="109000"/>
    <n v="0.2665036674816626"/>
    <n v="13"/>
    <n v="7.6923076923076927E-2"/>
    <n v="2023"/>
    <n v="9"/>
    <x v="7"/>
  </r>
  <r>
    <n v="142"/>
    <s v="KU80"/>
    <x v="75"/>
    <s v="Gói"/>
    <n v="111000"/>
    <n v="0"/>
    <n v="6"/>
    <n v="162000"/>
    <n v="162000"/>
    <d v="2023-09-16T00:00:00"/>
    <s v="TT Kim Dung - M.Hiệp"/>
    <s v="Khách hàng VIP"/>
    <n v="51000"/>
    <n v="0.31481481481481483"/>
    <n v="6"/>
    <n v="0"/>
    <n v="2023"/>
    <n v="9"/>
    <x v="3"/>
  </r>
  <r>
    <n v="143"/>
    <s v="NLSDN280"/>
    <x v="76"/>
    <s v="Thùng"/>
    <n v="162000"/>
    <n v="0"/>
    <n v="1"/>
    <n v="180000"/>
    <n v="180000"/>
    <d v="2023-09-16T00:00:00"/>
    <s v="TT Kim Dung - M.Hiệp"/>
    <s v="Khách hàng VIP"/>
    <n v="18000"/>
    <n v="0.1"/>
    <n v="1"/>
    <n v="0"/>
    <n v="2023"/>
    <n v="9"/>
    <x v="9"/>
  </r>
  <r>
    <n v="144"/>
    <s v="TC301"/>
    <x v="77"/>
    <s v="Hộp"/>
    <n v="110000"/>
    <n v="0"/>
    <n v="10"/>
    <n v="160000"/>
    <n v="160000"/>
    <d v="2023-09-16T00:00:00"/>
    <s v="TT Kim Dung - M.Hiệp"/>
    <s v="Khách hàng VIP"/>
    <n v="50000"/>
    <n v="0.3125"/>
    <n v="10"/>
    <n v="0"/>
    <n v="2023"/>
    <n v="9"/>
    <x v="1"/>
  </r>
  <r>
    <n v="146"/>
    <s v="KU1506"/>
    <x v="15"/>
    <s v="Gói"/>
    <n v="855000"/>
    <n v="0"/>
    <n v="90"/>
    <n v="1620000"/>
    <n v="1620000"/>
    <d v="2023-09-16T00:00:00"/>
    <s v="Thế Giới Con Cưng - HCL"/>
    <s v="Khách hàng Trung thành"/>
    <n v="765000"/>
    <n v="0.47222222222222221"/>
    <n v="90"/>
    <n v="0"/>
    <n v="2023"/>
    <n v="9"/>
    <x v="3"/>
  </r>
  <r>
    <n v="147"/>
    <s v="KV1009"/>
    <x v="46"/>
    <s v="Gói"/>
    <n v="288000"/>
    <n v="0"/>
    <n v="48"/>
    <n v="408000"/>
    <n v="408000"/>
    <d v="2023-09-16T00:00:00"/>
    <s v="Trinh Nữ - M.Trắng"/>
    <s v="Khách hàng Trung thành"/>
    <n v="120000"/>
    <n v="0.29411764705882348"/>
    <n v="48"/>
    <n v="0"/>
    <n v="2023"/>
    <n v="9"/>
    <x v="0"/>
  </r>
  <r>
    <n v="148"/>
    <s v="SD1000"/>
    <x v="49"/>
    <s v="Lon"/>
    <n v="820800"/>
    <n v="0"/>
    <n v="24"/>
    <n v="840000"/>
    <n v="840000"/>
    <d v="2023-09-16T00:00:00"/>
    <s v="Trinh Nữ - M.Trắng"/>
    <s v="Khách hàng Trung thành"/>
    <n v="19200"/>
    <n v="2.2857142857142861E-2"/>
    <n v="24"/>
    <n v="0"/>
    <n v="2023"/>
    <n v="9"/>
    <x v="4"/>
  </r>
  <r>
    <n v="149"/>
    <s v="A1K15"/>
    <x v="9"/>
    <s v="Hộp"/>
    <n v="362268"/>
    <n v="1"/>
    <n v="6"/>
    <n v="340000"/>
    <n v="340000"/>
    <d v="2023-09-16T00:00:00"/>
    <s v="TT Bảo Hạnh - M.Trắng"/>
    <s v="Khách hàng Cần chú ý"/>
    <n v="-22268"/>
    <n v="-6.5494117647058828E-2"/>
    <n v="7"/>
    <n v="0.14285714285714279"/>
    <n v="2023"/>
    <n v="9"/>
    <x v="4"/>
  </r>
  <r>
    <n v="150"/>
    <s v="BSOGI12"/>
    <x v="78"/>
    <s v="Hủ"/>
    <n v="63000"/>
    <n v="0"/>
    <n v="1"/>
    <n v="70000"/>
    <n v="70000"/>
    <d v="2023-09-16T00:00:00"/>
    <s v="Ngọc Khánh ( Mỹ Khánh ) - M.Trắng"/>
    <s v="Khách hàng Cần chú ý"/>
    <n v="7000"/>
    <n v="0.1"/>
    <n v="1"/>
    <n v="0"/>
    <n v="2023"/>
    <n v="9"/>
    <x v="8"/>
  </r>
  <r>
    <n v="151"/>
    <s v="BSOGI121"/>
    <x v="47"/>
    <s v="Hủ"/>
    <n v="63000"/>
    <n v="0"/>
    <n v="1"/>
    <n v="70000"/>
    <n v="70000"/>
    <d v="2023-09-16T00:00:00"/>
    <s v="Ngọc Khánh ( Mỹ Khánh ) - M.Trắng"/>
    <s v="Khách hàng Cần chú ý"/>
    <n v="7000"/>
    <n v="0.1"/>
    <n v="1"/>
    <n v="0"/>
    <n v="2023"/>
    <n v="9"/>
    <x v="8"/>
  </r>
  <r>
    <n v="152"/>
    <s v="CG501"/>
    <x v="19"/>
    <s v="Cái"/>
    <n v="165000"/>
    <n v="0"/>
    <n v="30"/>
    <n v="195000"/>
    <n v="195000"/>
    <d v="2023-09-16T00:00:00"/>
    <s v="Ngọc Khánh ( Mỹ Khánh ) - M.Trắng"/>
    <s v="Khách hàng Cần chú ý"/>
    <n v="30000"/>
    <n v="0.15384615384615391"/>
    <n v="30"/>
    <n v="0"/>
    <n v="2023"/>
    <n v="9"/>
    <x v="4"/>
  </r>
  <r>
    <n v="153"/>
    <s v="HM605"/>
    <x v="79"/>
    <s v="Hộp"/>
    <n v="900000"/>
    <n v="0"/>
    <n v="6"/>
    <n v="1500000"/>
    <n v="1500000"/>
    <d v="2023-09-16T00:00:00"/>
    <s v="Ngọc Khánh ( Mỹ Khánh ) - M.Trắng"/>
    <s v="Khách hàng Cần chú ý"/>
    <n v="600000"/>
    <n v="0.4"/>
    <n v="6"/>
    <n v="0"/>
    <n v="2023"/>
    <n v="9"/>
    <x v="7"/>
  </r>
  <r>
    <n v="156"/>
    <s v="HM610"/>
    <x v="37"/>
    <s v="Hộp"/>
    <n v="600000"/>
    <n v="0"/>
    <n v="6"/>
    <n v="1308000"/>
    <n v="1308000"/>
    <d v="2023-09-16T00:00:00"/>
    <s v="Ngọc Khánh ( Mỹ Khánh ) - M.Trắng"/>
    <s v="Khách hàng Cần chú ý"/>
    <n v="708000"/>
    <n v="0.54128440366972475"/>
    <n v="6"/>
    <n v="0"/>
    <n v="2023"/>
    <n v="9"/>
    <x v="7"/>
  </r>
  <r>
    <n v="157"/>
    <s v="HM611"/>
    <x v="80"/>
    <s v="Hộp"/>
    <n v="660000"/>
    <n v="0"/>
    <n v="6"/>
    <n v="1368000"/>
    <n v="1368000"/>
    <d v="2023-09-16T00:00:00"/>
    <s v="Ngọc Khánh ( Mỹ Khánh ) - M.Trắng"/>
    <s v="Khách hàng Cần chú ý"/>
    <n v="708000"/>
    <n v="0.51754385964912286"/>
    <n v="6"/>
    <n v="0"/>
    <n v="2023"/>
    <n v="9"/>
    <x v="7"/>
  </r>
  <r>
    <n v="158"/>
    <s v="TB10003"/>
    <x v="25"/>
    <s v="Túi"/>
    <n v="147000"/>
    <n v="5"/>
    <n v="24"/>
    <n v="180000"/>
    <n v="180000"/>
    <d v="2023-09-16T00:00:00"/>
    <s v="Ngọc Khánh ( Mỹ Khánh ) - M.Trắng"/>
    <s v="Khách hàng Cần chú ý"/>
    <n v="33000"/>
    <n v="0.18333333333333329"/>
    <n v="29"/>
    <n v="0.17241379310344829"/>
    <n v="2023"/>
    <n v="9"/>
    <x v="5"/>
  </r>
  <r>
    <n v="160"/>
    <s v="XM6007"/>
    <x v="69"/>
    <s v="Chai"/>
    <n v="540000"/>
    <n v="0"/>
    <n v="30"/>
    <n v="630000"/>
    <n v="630000"/>
    <d v="2023-09-16T00:00:00"/>
    <s v="Ngọc Khánh ( Mỹ Khánh ) - M.Trắng"/>
    <s v="Khách hàng Cần chú ý"/>
    <n v="90000"/>
    <n v="0.14285714285714279"/>
    <n v="30"/>
    <n v="0"/>
    <n v="2023"/>
    <n v="9"/>
    <x v="1"/>
  </r>
  <r>
    <n v="161"/>
    <s v="SD1000"/>
    <x v="49"/>
    <s v="Lon"/>
    <n v="820800"/>
    <n v="0"/>
    <n v="24"/>
    <n v="816000"/>
    <n v="816000"/>
    <d v="2023-09-16T00:00:00"/>
    <s v="Thảo Vy - HCL"/>
    <s v="Khách hàng Cần chú ý"/>
    <n v="-4800"/>
    <n v="-5.8823529411764714E-3"/>
    <n v="24"/>
    <n v="0"/>
    <n v="2023"/>
    <n v="9"/>
    <x v="4"/>
  </r>
  <r>
    <n v="162"/>
    <s v="KTN3001"/>
    <x v="41"/>
    <s v="Hộp"/>
    <n v="58000"/>
    <n v="0"/>
    <n v="4"/>
    <n v="56000"/>
    <n v="56000"/>
    <d v="2023-09-16T00:00:00"/>
    <s v="Tuấn Kiệt - M.Long"/>
    <s v="Khách hàng VIP"/>
    <n v="-2000"/>
    <n v="-3.5714285714285712E-2"/>
    <n v="4"/>
    <n v="0"/>
    <n v="2023"/>
    <n v="9"/>
    <x v="4"/>
  </r>
  <r>
    <n v="163"/>
    <s v="KTN3002"/>
    <x v="42"/>
    <s v="Hộp"/>
    <n v="58000"/>
    <n v="0"/>
    <n v="4"/>
    <n v="56000"/>
    <n v="56000"/>
    <d v="2023-09-16T00:00:00"/>
    <s v="Tuấn Kiệt - M.Long"/>
    <s v="Khách hàng VIP"/>
    <n v="-2000"/>
    <n v="-3.5714285714285712E-2"/>
    <n v="4"/>
    <n v="0"/>
    <n v="2023"/>
    <n v="9"/>
    <x v="4"/>
  </r>
  <r>
    <n v="164"/>
    <s v="KTN3003"/>
    <x v="43"/>
    <s v="Hộp"/>
    <n v="58000"/>
    <n v="0"/>
    <n v="4"/>
    <n v="56000"/>
    <n v="56000"/>
    <d v="2023-09-16T00:00:00"/>
    <s v="Tuấn Kiệt - M.Long"/>
    <s v="Khách hàng VIP"/>
    <n v="-2000"/>
    <n v="-3.5714285714285712E-2"/>
    <n v="4"/>
    <n v="0"/>
    <n v="2023"/>
    <n v="9"/>
    <x v="4"/>
  </r>
  <r>
    <n v="165"/>
    <s v="TBME500"/>
    <x v="81"/>
    <s v="Thùng"/>
    <n v="163485"/>
    <n v="0"/>
    <n v="1"/>
    <n v="175000"/>
    <n v="175000"/>
    <d v="2023-09-16T00:00:00"/>
    <s v="Tuấn Kiệt - M.Long"/>
    <s v="Khách hàng VIP"/>
    <n v="11515"/>
    <n v="6.5799999999999997E-2"/>
    <n v="1"/>
    <n v="0"/>
    <n v="2023"/>
    <n v="9"/>
    <x v="9"/>
  </r>
  <r>
    <n v="166"/>
    <s v="GC32"/>
    <x v="82"/>
    <s v="Bịch"/>
    <n v="504000"/>
    <n v="2"/>
    <n v="12"/>
    <n v="473000"/>
    <n v="473000"/>
    <d v="2023-09-21T00:00:00"/>
    <s v="Thông Thảo - P.Mỹ (QL30)"/>
    <s v="Khách hàng VIP"/>
    <n v="-31000"/>
    <n v="-6.5539112050739964E-2"/>
    <n v="14"/>
    <n v="0.14285714285714279"/>
    <n v="2023"/>
    <n v="9"/>
    <x v="7"/>
  </r>
  <r>
    <n v="167"/>
    <s v="GC606"/>
    <x v="83"/>
    <s v="Cây"/>
    <n v="620016"/>
    <n v="4"/>
    <n v="24"/>
    <n v="762000"/>
    <n v="762000"/>
    <d v="2023-09-23T00:00:00"/>
    <s v="TT Hoàng Yến - M.Long"/>
    <s v="Khách hàng Trung thành"/>
    <n v="141984"/>
    <n v="0.18633070866141729"/>
    <n v="28"/>
    <n v="0.14285714285714279"/>
    <n v="2023"/>
    <n v="9"/>
    <x v="7"/>
  </r>
  <r>
    <n v="168"/>
    <s v="SBOMGROW900"/>
    <x v="84"/>
    <s v="Lon"/>
    <n v="637200"/>
    <n v="0"/>
    <n v="3"/>
    <n v="716400"/>
    <n v="716400"/>
    <d v="2023-09-23T00:00:00"/>
    <s v="TT Hoàng Yến - M.Long"/>
    <s v="Khách hàng Trung thành"/>
    <n v="79200"/>
    <n v="0.1105527638190955"/>
    <n v="3"/>
    <n v="0"/>
    <n v="2023"/>
    <n v="9"/>
    <x v="10"/>
  </r>
  <r>
    <n v="169"/>
    <s v="GC1202"/>
    <x v="85"/>
    <s v="Cây"/>
    <n v="467508"/>
    <n v="1"/>
    <n v="12"/>
    <n v="444000"/>
    <n v="444000"/>
    <d v="2023-09-23T00:00:00"/>
    <s v="Mỹ Hạnh - HCL"/>
    <s v="Khách hàng Trung thành"/>
    <n v="-23508"/>
    <n v="-5.2945945945945948E-2"/>
    <n v="13"/>
    <n v="7.6923076923076927E-2"/>
    <n v="2023"/>
    <n v="9"/>
    <x v="7"/>
  </r>
  <r>
    <n v="170"/>
    <s v="GC606"/>
    <x v="83"/>
    <s v="Cây"/>
    <n v="620016"/>
    <n v="4"/>
    <n v="24"/>
    <n v="762000"/>
    <n v="762000"/>
    <d v="2023-09-23T00:00:00"/>
    <s v="Chị Xuyên - M.Long"/>
    <s v="Khách hàng Trung thành"/>
    <n v="141984"/>
    <n v="0.18633070866141729"/>
    <n v="28"/>
    <n v="0.14285714285714279"/>
    <n v="2023"/>
    <n v="9"/>
    <x v="7"/>
  </r>
  <r>
    <n v="171"/>
    <s v="A1K15"/>
    <x v="9"/>
    <s v="Hộp"/>
    <n v="301890"/>
    <n v="0"/>
    <n v="5"/>
    <n v="260000"/>
    <n v="260000"/>
    <d v="2023-09-23T00:00:00"/>
    <s v="TT Minh Huệ - B.H.Trung"/>
    <s v="Khách hàng Cần chú ý"/>
    <n v="-41890"/>
    <n v="-0.1611153846153846"/>
    <n v="5"/>
    <n v="0"/>
    <n v="2023"/>
    <n v="9"/>
    <x v="4"/>
  </r>
  <r>
    <n v="172"/>
    <s v="KDL01"/>
    <x v="10"/>
    <s v="Cây"/>
    <n v="98280"/>
    <n v="0"/>
    <n v="10"/>
    <n v="115000"/>
    <n v="115000"/>
    <d v="2023-09-23T00:00:00"/>
    <s v="Hoàng Huyên - M.Long"/>
    <s v="Khách hàng Trung thành"/>
    <n v="16720"/>
    <n v="0.1453913043478261"/>
    <n v="10"/>
    <n v="0"/>
    <n v="2023"/>
    <n v="9"/>
    <x v="0"/>
  </r>
  <r>
    <n v="173"/>
    <s v="KV100"/>
    <x v="0"/>
    <s v="Gói"/>
    <n v="1728000"/>
    <n v="0"/>
    <n v="240"/>
    <n v="2880000"/>
    <n v="2880000"/>
    <d v="2023-09-23T00:00:00"/>
    <s v="Hoàng Huyên - M.Long"/>
    <s v="Khách hàng Trung thành"/>
    <n v="1152000"/>
    <n v="0.4"/>
    <n v="240"/>
    <n v="0"/>
    <n v="2023"/>
    <n v="9"/>
    <x v="0"/>
  </r>
  <r>
    <n v="174"/>
    <s v="TBTE1001"/>
    <x v="65"/>
    <s v="Túi"/>
    <n v="378000"/>
    <n v="12"/>
    <n v="72"/>
    <n v="432000"/>
    <n v="432000"/>
    <d v="2023-09-23T00:00:00"/>
    <s v="TT Ngọc Hạnh - Đ.Mối"/>
    <s v="Khách hàng Trung thành"/>
    <n v="54000"/>
    <n v="0.125"/>
    <n v="84"/>
    <n v="0.14285714285714279"/>
    <n v="2023"/>
    <n v="9"/>
    <x v="5"/>
  </r>
  <r>
    <n v="175"/>
    <s v="A1Y600"/>
    <x v="86"/>
    <s v="Hộp"/>
    <n v="3000000"/>
    <n v="6"/>
    <n v="12"/>
    <n v="3360000"/>
    <n v="3360000"/>
    <d v="2023-09-23T00:00:00"/>
    <s v="Kim Hường - B.H.Tây"/>
    <s v="Khách hàng Mới"/>
    <n v="360000"/>
    <n v="0.1071428571428571"/>
    <n v="18"/>
    <n v="0.33333333333333331"/>
    <n v="2023"/>
    <n v="9"/>
    <x v="4"/>
  </r>
  <r>
    <n v="177"/>
    <s v="KV320"/>
    <x v="8"/>
    <s v="Gói"/>
    <n v="1056000"/>
    <n v="0"/>
    <n v="96"/>
    <n v="912000"/>
    <n v="912000"/>
    <d v="2023-09-23T00:00:00"/>
    <s v="Mỹ Nhân - N.Mỹ"/>
    <s v="Khách hàng Trung thành"/>
    <n v="-144000"/>
    <n v="-0.15789473684210531"/>
    <n v="96"/>
    <n v="0"/>
    <n v="2023"/>
    <n v="9"/>
    <x v="0"/>
  </r>
  <r>
    <n v="178"/>
    <s v="GC606"/>
    <x v="83"/>
    <s v="Cây"/>
    <n v="310008"/>
    <n v="1"/>
    <n v="12"/>
    <n v="410000"/>
    <n v="410000"/>
    <d v="2023-09-23T00:00:00"/>
    <s v="Chị Đào - T.H.Trung"/>
    <s v="Khách hàng VIP"/>
    <n v="99992"/>
    <n v="0.24388292682926829"/>
    <n v="13"/>
    <n v="7.6923076923076927E-2"/>
    <n v="2023"/>
    <n v="9"/>
    <x v="7"/>
  </r>
  <r>
    <n v="179"/>
    <s v="BCN189"/>
    <x v="87"/>
    <s v="Cây"/>
    <n v="144000"/>
    <n v="0"/>
    <n v="30"/>
    <n v="210000"/>
    <n v="210000"/>
    <d v="2023-09-23T00:00:00"/>
    <s v="TT Đông Nguyên - M.Long"/>
    <s v="Khách hàng VIP"/>
    <n v="66000"/>
    <n v="0.31428571428571428"/>
    <n v="30"/>
    <n v="0"/>
    <n v="2023"/>
    <n v="9"/>
    <x v="2"/>
  </r>
  <r>
    <n v="180"/>
    <s v="BCX6"/>
    <x v="88"/>
    <s v="Cây"/>
    <n v="40000"/>
    <n v="0"/>
    <n v="20"/>
    <n v="140000"/>
    <n v="140000"/>
    <d v="2023-09-23T00:00:00"/>
    <s v="TT Đông Nguyên - M.Long"/>
    <s v="Khách hàng VIP"/>
    <n v="100000"/>
    <n v="0.7142857142857143"/>
    <n v="20"/>
    <n v="0"/>
    <n v="2023"/>
    <n v="9"/>
    <x v="2"/>
  </r>
  <r>
    <n v="181"/>
    <s v="GC106"/>
    <x v="66"/>
    <s v="Cây"/>
    <n v="180000"/>
    <n v="0"/>
    <n v="10"/>
    <n v="220000"/>
    <n v="220000"/>
    <d v="2023-09-23T00:00:00"/>
    <s v="Ngọc Như - M.Long"/>
    <s v="Khách hàng VIP"/>
    <n v="40000"/>
    <n v="0.1818181818181818"/>
    <n v="10"/>
    <n v="0"/>
    <n v="2023"/>
    <n v="9"/>
    <x v="7"/>
  </r>
  <r>
    <n v="182"/>
    <s v="GC612"/>
    <x v="89"/>
    <s v="Cây"/>
    <n v="265008"/>
    <n v="0"/>
    <n v="12"/>
    <n v="360000"/>
    <n v="360000"/>
    <d v="2023-09-23T00:00:00"/>
    <s v="Ngọc Như - M.Long"/>
    <s v="Khách hàng VIP"/>
    <n v="94992"/>
    <n v="0.26386666666666669"/>
    <n v="12"/>
    <n v="0"/>
    <n v="2023"/>
    <n v="9"/>
    <x v="7"/>
  </r>
  <r>
    <n v="183"/>
    <s v="KV1011"/>
    <x v="16"/>
    <s v="Gói"/>
    <n v="200010"/>
    <n v="0"/>
    <n v="30"/>
    <n v="210000"/>
    <n v="210000"/>
    <d v="2023-09-23T00:00:00"/>
    <s v="Ngọc Như - M.Long"/>
    <s v="Khách hàng VIP"/>
    <n v="9990"/>
    <n v="4.757142857142857E-2"/>
    <n v="30"/>
    <n v="0"/>
    <n v="2023"/>
    <n v="9"/>
    <x v="0"/>
  </r>
  <r>
    <n v="184"/>
    <s v="KV100"/>
    <x v="0"/>
    <s v="Gói"/>
    <n v="345600"/>
    <n v="4"/>
    <n v="48"/>
    <n v="532000"/>
    <n v="532000"/>
    <d v="2023-09-23T00:00:00"/>
    <s v="TH Trinh (Mỹ Trinh) - HCL (cuối chợ)"/>
    <s v="Khách hàng VIP"/>
    <n v="186400"/>
    <n v="0.35037593984962412"/>
    <n v="52"/>
    <n v="7.6923076923076927E-2"/>
    <n v="2023"/>
    <n v="9"/>
    <x v="0"/>
  </r>
  <r>
    <n v="185"/>
    <s v="TC1000"/>
    <x v="90"/>
    <s v="Chai"/>
    <n v="131112"/>
    <n v="1"/>
    <n v="8"/>
    <n v="178000"/>
    <n v="178000"/>
    <d v="2023-09-23T00:00:00"/>
    <s v="Chị Thủy (đồ nhựa) - T.H.Trung"/>
    <s v="Khách hàng Cần chú ý"/>
    <n v="46888"/>
    <n v="0.26341573033707871"/>
    <n v="9"/>
    <n v="0.1111111111111111"/>
    <n v="2023"/>
    <n v="9"/>
    <x v="1"/>
  </r>
  <r>
    <n v="187"/>
    <s v="HM610"/>
    <x v="37"/>
    <s v="Hộp"/>
    <n v="600000"/>
    <n v="0"/>
    <n v="6"/>
    <n v="1308000"/>
    <n v="1308000"/>
    <d v="2023-09-23T00:00:00"/>
    <s v="Tố Quyên - T.H.Trung"/>
    <s v="Khách hàng Trung thành"/>
    <n v="708000"/>
    <n v="0.54128440366972475"/>
    <n v="6"/>
    <n v="0"/>
    <n v="2023"/>
    <n v="9"/>
    <x v="7"/>
  </r>
  <r>
    <n v="188"/>
    <s v="TNS1"/>
    <x v="24"/>
    <s v="Chai"/>
    <n v="190008"/>
    <n v="0"/>
    <n v="12"/>
    <n v="312000"/>
    <n v="312000"/>
    <d v="2023-09-23T00:00:00"/>
    <s v="Tuyết Lài ( Chị Lài) - B.H.Trung"/>
    <s v="Khách hàng Cần chú ý"/>
    <n v="121992"/>
    <n v="0.39100000000000001"/>
    <n v="12"/>
    <n v="0"/>
    <n v="2023"/>
    <n v="9"/>
    <x v="1"/>
  </r>
  <r>
    <n v="189"/>
    <s v="KV1001"/>
    <x v="62"/>
    <s v="Gói"/>
    <n v="225000"/>
    <n v="0"/>
    <n v="30"/>
    <n v="330000"/>
    <n v="330000"/>
    <d v="2023-09-23T00:00:00"/>
    <s v="Thế Giới Con Cưng - HCL"/>
    <s v="Khách hàng Trung thành"/>
    <n v="105000"/>
    <n v="0.31818181818181818"/>
    <n v="30"/>
    <n v="0"/>
    <n v="2023"/>
    <n v="9"/>
    <x v="0"/>
  </r>
  <r>
    <n v="191"/>
    <s v="VMS002"/>
    <x v="91"/>
    <s v="Túi"/>
    <n v="232810"/>
    <n v="0"/>
    <n v="10"/>
    <n v="325000"/>
    <n v="325000"/>
    <d v="2023-09-23T00:00:00"/>
    <s v="Thế Giới Con Cưng - HCL"/>
    <s v="Khách hàng Trung thành"/>
    <n v="92190"/>
    <n v="0.28366153846153852"/>
    <n v="10"/>
    <n v="0"/>
    <n v="2023"/>
    <n v="9"/>
    <x v="4"/>
  </r>
  <r>
    <n v="192"/>
    <s v="TC1000"/>
    <x v="90"/>
    <s v="Chai"/>
    <n v="131112"/>
    <n v="1"/>
    <n v="8"/>
    <n v="178000"/>
    <n v="178000"/>
    <d v="2023-09-23T00:00:00"/>
    <s v="Dung Vũ (đồ nhựa) - T.H.Trung"/>
    <s v="Khách hàng Cần chú ý"/>
    <n v="46888"/>
    <n v="0.26341573033707871"/>
    <n v="9"/>
    <n v="0.1111111111111111"/>
    <n v="2023"/>
    <n v="9"/>
    <x v="1"/>
  </r>
  <r>
    <n v="193"/>
    <s v="KV1011"/>
    <x v="16"/>
    <s v="Gói"/>
    <n v="200010"/>
    <n v="0"/>
    <n v="30"/>
    <n v="240000"/>
    <n v="240000"/>
    <d v="2023-09-23T00:00:00"/>
    <s v="Chị Tuyết - HCL (N.Mỹ)"/>
    <s v="Khách hàng Trung thành"/>
    <n v="39990"/>
    <n v="0.166625"/>
    <n v="30"/>
    <n v="0"/>
    <n v="2023"/>
    <n v="9"/>
    <x v="0"/>
  </r>
  <r>
    <n v="197"/>
    <s v="NRC400"/>
    <x v="92"/>
    <s v="Chai"/>
    <n v="950880"/>
    <n v="0"/>
    <n v="120"/>
    <n v="1380000"/>
    <n v="1380000"/>
    <d v="2023-09-27T00:00:00"/>
    <s v="Gas Hồng Ngọc - M.Hội"/>
    <s v="Khách hàng Cần chú ý"/>
    <n v="429120"/>
    <n v="0.31095652173913041"/>
    <n v="120"/>
    <n v="0"/>
    <n v="2023"/>
    <n v="9"/>
    <x v="1"/>
  </r>
  <r>
    <n v="198"/>
    <s v="HTBD12"/>
    <x v="93"/>
    <s v="Hộp"/>
    <n v="42084"/>
    <n v="0"/>
    <n v="1"/>
    <n v="48000"/>
    <n v="48000"/>
    <d v="2023-09-28T00:00:00"/>
    <s v="Thế giới sữa Tony - T.Nghĩa"/>
    <s v="Khách hàng Trung thành"/>
    <n v="5916"/>
    <n v="0.12325"/>
    <n v="1"/>
    <n v="0"/>
    <n v="2023"/>
    <n v="9"/>
    <x v="8"/>
  </r>
  <r>
    <n v="199"/>
    <s v="HTBD121"/>
    <x v="94"/>
    <s v="Hộp"/>
    <n v="42084"/>
    <n v="0"/>
    <n v="1"/>
    <n v="48000"/>
    <n v="48000"/>
    <d v="2023-09-28T00:00:00"/>
    <s v="Thế giới sữa Tony - T.Nghĩa"/>
    <s v="Khách hàng Trung thành"/>
    <n v="5916"/>
    <n v="0.12325"/>
    <n v="1"/>
    <n v="0"/>
    <n v="2023"/>
    <n v="9"/>
    <x v="8"/>
  </r>
  <r>
    <n v="201"/>
    <s v="KGC10"/>
    <x v="95"/>
    <s v="Gói"/>
    <n v="90000"/>
    <n v="0"/>
    <n v="25"/>
    <n v="100000"/>
    <n v="100000"/>
    <d v="2023-09-28T00:00:00"/>
    <s v="Chị Nhung - T.Nghĩa"/>
    <s v="Khách hàng Trung thành"/>
    <n v="10000"/>
    <n v="0.1"/>
    <n v="25"/>
    <n v="0"/>
    <n v="2023"/>
    <n v="9"/>
    <x v="4"/>
  </r>
  <r>
    <n v="202"/>
    <s v="KGLC10"/>
    <x v="96"/>
    <s v="Gói"/>
    <n v="90000"/>
    <n v="0"/>
    <n v="25"/>
    <n v="100000"/>
    <n v="100000"/>
    <d v="2023-09-28T00:00:00"/>
    <s v="Chị Nhung - T.Nghĩa"/>
    <s v="Khách hàng Trung thành"/>
    <n v="10000"/>
    <n v="0.1"/>
    <n v="25"/>
    <n v="0"/>
    <n v="2023"/>
    <n v="9"/>
    <x v="4"/>
  </r>
  <r>
    <n v="203"/>
    <s v="KL100"/>
    <x v="97"/>
    <s v="Túi"/>
    <n v="22000"/>
    <n v="0"/>
    <n v="5"/>
    <n v="30000"/>
    <n v="30000"/>
    <d v="2023-09-28T00:00:00"/>
    <s v="Chị Nhung - T.Nghĩa"/>
    <s v="Khách hàng Trung thành"/>
    <n v="8000"/>
    <n v="0.26666666666666672"/>
    <n v="5"/>
    <n v="0"/>
    <n v="2023"/>
    <n v="9"/>
    <x v="0"/>
  </r>
  <r>
    <n v="204"/>
    <s v="KTN802"/>
    <x v="98"/>
    <s v="Gói"/>
    <n v="105000"/>
    <n v="0"/>
    <n v="20"/>
    <n v="140000"/>
    <n v="140000"/>
    <d v="2023-09-28T00:00:00"/>
    <s v="Chị Nhung - T.Nghĩa"/>
    <s v="Khách hàng Trung thành"/>
    <n v="35000"/>
    <n v="0.25"/>
    <n v="20"/>
    <n v="0"/>
    <n v="2023"/>
    <n v="9"/>
    <x v="4"/>
  </r>
  <r>
    <n v="205"/>
    <s v="KU801"/>
    <x v="38"/>
    <s v="Gói"/>
    <n v="40000"/>
    <n v="0"/>
    <n v="10"/>
    <n v="65000"/>
    <n v="65000"/>
    <d v="2023-09-28T00:00:00"/>
    <s v="Chị Nhung - T.Nghĩa"/>
    <s v="Khách hàng Trung thành"/>
    <n v="25000"/>
    <n v="0.38461538461538458"/>
    <n v="10"/>
    <n v="0"/>
    <n v="2023"/>
    <n v="9"/>
    <x v="3"/>
  </r>
  <r>
    <n v="206"/>
    <s v="KU802"/>
    <x v="99"/>
    <s v="Gói"/>
    <n v="55000"/>
    <n v="0"/>
    <n v="10"/>
    <n v="65000"/>
    <n v="65000"/>
    <d v="2023-09-28T00:00:00"/>
    <s v="Chị Nhung - T.Nghĩa"/>
    <s v="Khách hàng Trung thành"/>
    <n v="10000"/>
    <n v="0.15384615384615391"/>
    <n v="10"/>
    <n v="0"/>
    <n v="2023"/>
    <n v="9"/>
    <x v="3"/>
  </r>
  <r>
    <n v="207"/>
    <s v="NG5000"/>
    <x v="100"/>
    <s v="Bình"/>
    <n v="115000"/>
    <n v="0"/>
    <n v="1"/>
    <n v="168000"/>
    <n v="168000"/>
    <d v="2023-09-28T00:00:00"/>
    <s v="Chị Nhung - T.Nghĩa"/>
    <s v="Khách hàng Trung thành"/>
    <n v="53000"/>
    <n v="0.31547619047619052"/>
    <n v="1"/>
    <n v="0"/>
    <n v="2023"/>
    <n v="9"/>
    <x v="1"/>
  </r>
  <r>
    <n v="208"/>
    <s v="NG50002"/>
    <x v="23"/>
    <s v="Bình"/>
    <n v="115000"/>
    <n v="0"/>
    <n v="1"/>
    <n v="168000"/>
    <n v="168000"/>
    <d v="2023-09-28T00:00:00"/>
    <s v="Chị Nhung - T.Nghĩa"/>
    <s v="Khách hàng Trung thành"/>
    <n v="53000"/>
    <n v="0.31547619047619052"/>
    <n v="1"/>
    <n v="0"/>
    <n v="2023"/>
    <n v="9"/>
    <x v="1"/>
  </r>
  <r>
    <n v="209"/>
    <s v="NGT3600"/>
    <x v="101"/>
    <s v="Túi"/>
    <n v="74000"/>
    <n v="0"/>
    <n v="1"/>
    <n v="108000"/>
    <n v="108000"/>
    <d v="2023-09-28T00:00:00"/>
    <s v="Chị Nhung - T.Nghĩa"/>
    <s v="Khách hàng Trung thành"/>
    <n v="34000"/>
    <n v="0.31481481481481483"/>
    <n v="1"/>
    <n v="0"/>
    <n v="2023"/>
    <n v="9"/>
    <x v="1"/>
  </r>
  <r>
    <n v="210"/>
    <s v="NGT36001"/>
    <x v="102"/>
    <s v="Túi"/>
    <n v="74000"/>
    <n v="0"/>
    <n v="1"/>
    <n v="108000"/>
    <n v="108000"/>
    <d v="2023-09-28T00:00:00"/>
    <s v="Chị Nhung - T.Nghĩa"/>
    <s v="Khách hàng Trung thành"/>
    <n v="34000"/>
    <n v="0.31481481481481483"/>
    <n v="1"/>
    <n v="0"/>
    <n v="2023"/>
    <n v="9"/>
    <x v="1"/>
  </r>
  <r>
    <n v="211"/>
    <s v="KU802"/>
    <x v="99"/>
    <s v="Gói"/>
    <n v="55000"/>
    <n v="0"/>
    <n v="10"/>
    <n v="60000"/>
    <n v="60000"/>
    <d v="2023-09-28T00:00:00"/>
    <s v="Ngọc Huyền - Gáo Giồng"/>
    <s v="Khách hàng Cần chú ý"/>
    <n v="5000"/>
    <n v="8.3333333333333329E-2"/>
    <n v="10"/>
    <n v="0"/>
    <n v="2023"/>
    <n v="9"/>
    <x v="3"/>
  </r>
  <r>
    <n v="212"/>
    <s v="KV1007"/>
    <x v="39"/>
    <s v="Gói"/>
    <n v="67500"/>
    <n v="0"/>
    <n v="10"/>
    <n v="75000"/>
    <n v="75000"/>
    <d v="2023-09-28T00:00:00"/>
    <s v="Ngọc Huyền - Gáo Giồng"/>
    <s v="Khách hàng Cần chú ý"/>
    <n v="7500"/>
    <n v="0.1"/>
    <n v="10"/>
    <n v="0"/>
    <n v="2023"/>
    <n v="9"/>
    <x v="0"/>
  </r>
  <r>
    <n v="213"/>
    <s v="KV1011"/>
    <x v="16"/>
    <s v="Gói"/>
    <n v="66670"/>
    <n v="0"/>
    <n v="10"/>
    <n v="75000"/>
    <n v="75000"/>
    <d v="2023-09-28T00:00:00"/>
    <s v="Ngọc Huyền - Gáo Giồng"/>
    <s v="Khách hàng Cần chú ý"/>
    <n v="8330"/>
    <n v="0.1110666666666667"/>
    <n v="10"/>
    <n v="0"/>
    <n v="2023"/>
    <n v="9"/>
    <x v="0"/>
  </r>
  <r>
    <n v="214"/>
    <s v="CG50"/>
    <x v="18"/>
    <s v="Cái"/>
    <n v="82500"/>
    <n v="0"/>
    <n v="15"/>
    <n v="97500"/>
    <n v="97500"/>
    <d v="2023-09-28T00:00:00"/>
    <s v="Ngọc Thắm - T.Nghĩa"/>
    <s v="Khách hàng Trung thành"/>
    <n v="15000"/>
    <n v="0.15384615384615391"/>
    <n v="15"/>
    <n v="0"/>
    <n v="2023"/>
    <n v="9"/>
    <x v="4"/>
  </r>
  <r>
    <n v="215"/>
    <s v="CG501"/>
    <x v="19"/>
    <s v="Cái"/>
    <n v="82500"/>
    <n v="0"/>
    <n v="15"/>
    <n v="97500"/>
    <n v="97500"/>
    <d v="2023-09-28T00:00:00"/>
    <s v="Ngọc Thắm - T.Nghĩa"/>
    <s v="Khách hàng Trung thành"/>
    <n v="15000"/>
    <n v="0.15384615384615391"/>
    <n v="15"/>
    <n v="0"/>
    <n v="2023"/>
    <n v="9"/>
    <x v="4"/>
  </r>
  <r>
    <n v="216"/>
    <s v="DCKAKA"/>
    <x v="103"/>
    <s v="Vỉ"/>
    <n v="24000"/>
    <n v="0"/>
    <n v="1"/>
    <n v="30000"/>
    <n v="30000"/>
    <d v="2023-09-28T00:00:00"/>
    <s v="Ngọc Thắm - T.Nghĩa"/>
    <s v="Khách hàng Trung thành"/>
    <n v="6000"/>
    <n v="0.2"/>
    <n v="1"/>
    <n v="0"/>
    <n v="2023"/>
    <n v="9"/>
    <x v="2"/>
  </r>
  <r>
    <n v="217"/>
    <s v="KV1007"/>
    <x v="39"/>
    <s v="Gói"/>
    <n v="270000"/>
    <n v="0"/>
    <n v="40"/>
    <n v="280000"/>
    <n v="280000"/>
    <d v="2023-09-28T00:00:00"/>
    <s v="Lợi Thủy - Gáo Giồng"/>
    <s v="Khách hàng Cần chú ý"/>
    <n v="10000"/>
    <n v="3.5714285714285712E-2"/>
    <n v="40"/>
    <n v="0"/>
    <n v="2023"/>
    <n v="9"/>
    <x v="0"/>
  </r>
  <r>
    <n v="218"/>
    <s v="XM6007"/>
    <x v="69"/>
    <s v="Chai"/>
    <n v="90000"/>
    <n v="0"/>
    <n v="5"/>
    <n v="95000"/>
    <n v="95000"/>
    <d v="2023-09-28T00:00:00"/>
    <s v="Lợi Thủy - Gáo Giồng"/>
    <s v="Khách hàng Cần chú ý"/>
    <n v="5000"/>
    <n v="5.2631578947368418E-2"/>
    <n v="5"/>
    <n v="0"/>
    <n v="2023"/>
    <n v="9"/>
    <x v="1"/>
  </r>
  <r>
    <n v="219"/>
    <s v="DCKAKA"/>
    <x v="103"/>
    <s v="Vỉ"/>
    <n v="24000"/>
    <n v="0"/>
    <n v="1"/>
    <n v="30000"/>
    <n v="30000"/>
    <d v="2023-09-28T00:00:00"/>
    <s v="Thu Trang - T.Nghĩa"/>
    <s v="Khách hàng Cần chú ý"/>
    <n v="6000"/>
    <n v="0.2"/>
    <n v="1"/>
    <n v="0"/>
    <n v="2023"/>
    <n v="9"/>
    <x v="2"/>
  </r>
  <r>
    <n v="220"/>
    <s v="DCTD708"/>
    <x v="12"/>
    <s v="Vỉ"/>
    <n v="26400"/>
    <n v="0"/>
    <n v="1"/>
    <n v="36000"/>
    <n v="36000"/>
    <d v="2023-09-28T00:00:00"/>
    <s v="Thu Trang - T.Nghĩa"/>
    <s v="Khách hàng Cần chú ý"/>
    <n v="9600"/>
    <n v="0.26666666666666672"/>
    <n v="1"/>
    <n v="0"/>
    <n v="2023"/>
    <n v="9"/>
    <x v="2"/>
  </r>
  <r>
    <n v="221"/>
    <s v="HM607"/>
    <x v="68"/>
    <s v="Hộp"/>
    <n v="100000"/>
    <n v="1"/>
    <n v="1"/>
    <n v="108000"/>
    <n v="108000"/>
    <d v="2023-09-29T00:00:00"/>
    <s v="Chị Bích - T.Linh"/>
    <s v="Khách hàng VIP"/>
    <n v="8000"/>
    <n v="7.407407407407407E-2"/>
    <n v="2"/>
    <n v="0.5"/>
    <n v="2023"/>
    <n v="9"/>
    <x v="7"/>
  </r>
  <r>
    <n v="222"/>
    <s v="HM608"/>
    <x v="36"/>
    <s v="Hộp"/>
    <n v="100000"/>
    <n v="1"/>
    <n v="1"/>
    <n v="108000"/>
    <n v="108000"/>
    <d v="2023-09-29T00:00:00"/>
    <s v="Chị Bích - T.Linh"/>
    <s v="Khách hàng VIP"/>
    <n v="8000"/>
    <n v="7.407407407407407E-2"/>
    <n v="2"/>
    <n v="0.5"/>
    <n v="2023"/>
    <n v="9"/>
    <x v="7"/>
  </r>
  <r>
    <n v="223"/>
    <s v="HM610"/>
    <x v="37"/>
    <s v="Hộp"/>
    <n v="100000"/>
    <n v="1"/>
    <n v="1"/>
    <n v="108000"/>
    <n v="108000"/>
    <d v="2023-09-29T00:00:00"/>
    <s v="Chị Bích - T.Linh"/>
    <s v="Khách hàng VIP"/>
    <n v="8000"/>
    <n v="7.407407407407407E-2"/>
    <n v="2"/>
    <n v="0.5"/>
    <n v="2023"/>
    <n v="9"/>
    <x v="7"/>
  </r>
  <r>
    <n v="224"/>
    <s v="GC603"/>
    <x v="74"/>
    <s v="Cây"/>
    <n v="300000"/>
    <n v="1"/>
    <n v="12"/>
    <n v="410000"/>
    <n v="410000"/>
    <d v="2023-09-29T00:00:00"/>
    <s v="Ánh Tuyết (Tuyết Thành) - T.Linh"/>
    <s v="Khách hàng Cần chú ý"/>
    <n v="110000"/>
    <n v="0.26829268292682928"/>
    <n v="13"/>
    <n v="7.6923076923076927E-2"/>
    <n v="2023"/>
    <n v="9"/>
    <x v="7"/>
  </r>
  <r>
    <n v="225"/>
    <s v="GC612"/>
    <x v="89"/>
    <s v="Cây"/>
    <n v="265008"/>
    <n v="0"/>
    <n v="12"/>
    <n v="360000"/>
    <n v="360000"/>
    <d v="2023-09-29T00:00:00"/>
    <s v="Căn tin BV Phổi( Chị Duyên) - BV phổi"/>
    <s v="Khách hàng VIP"/>
    <n v="94992"/>
    <n v="0.26386666666666669"/>
    <n v="12"/>
    <n v="0"/>
    <n v="2023"/>
    <n v="9"/>
    <x v="7"/>
  </r>
  <r>
    <n v="226"/>
    <s v="KV1002"/>
    <x v="3"/>
    <s v="Gói"/>
    <n v="1296000"/>
    <n v="0"/>
    <n v="180"/>
    <n v="1692000"/>
    <n v="1692000"/>
    <d v="2023-09-29T00:00:00"/>
    <s v="Căn tin BV Phổi( Chị Duyên) - BV phổi"/>
    <s v="Khách hàng VIP"/>
    <n v="396000"/>
    <n v="0.23404255319148939"/>
    <n v="180"/>
    <n v="0"/>
    <n v="2023"/>
    <n v="9"/>
    <x v="0"/>
  </r>
  <r>
    <n v="227"/>
    <s v="HM607"/>
    <x v="68"/>
    <s v="Hộp"/>
    <n v="600000"/>
    <n v="6"/>
    <n v="6"/>
    <n v="648000"/>
    <n v="648000"/>
    <d v="2023-09-29T00:00:00"/>
    <s v="Tuấn Quyên - P.Thịnh"/>
    <s v="Khách hàng Trung thành"/>
    <n v="48000"/>
    <n v="7.407407407407407E-2"/>
    <n v="12"/>
    <n v="0.5"/>
    <n v="2023"/>
    <n v="9"/>
    <x v="7"/>
  </r>
  <r>
    <n v="228"/>
    <s v="HM608"/>
    <x v="36"/>
    <s v="Hộp"/>
    <n v="600000"/>
    <n v="6"/>
    <n v="6"/>
    <n v="648000"/>
    <n v="648000"/>
    <d v="2023-09-29T00:00:00"/>
    <s v="Tuấn Quyên - P.Thịnh"/>
    <s v="Khách hàng Trung thành"/>
    <n v="48000"/>
    <n v="7.407407407407407E-2"/>
    <n v="12"/>
    <n v="0.5"/>
    <n v="2023"/>
    <n v="9"/>
    <x v="7"/>
  </r>
  <r>
    <n v="229"/>
    <s v="HM610"/>
    <x v="37"/>
    <s v="Hộp"/>
    <n v="600000"/>
    <n v="6"/>
    <n v="6"/>
    <n v="648000"/>
    <n v="648000"/>
    <d v="2023-09-29T00:00:00"/>
    <s v="Tuấn Quyên - P.Thịnh"/>
    <s v="Khách hàng Trung thành"/>
    <n v="48000"/>
    <n v="7.407407407407407E-2"/>
    <n v="12"/>
    <n v="0.5"/>
    <n v="2023"/>
    <n v="9"/>
    <x v="7"/>
  </r>
  <r>
    <n v="230"/>
    <s v="HM608"/>
    <x v="36"/>
    <s v="Hộp"/>
    <n v="600000"/>
    <n v="6"/>
    <n v="6"/>
    <n v="648000"/>
    <n v="648000"/>
    <d v="2023-09-29T00:00:00"/>
    <s v="Đạt Hường - P.Thịnh"/>
    <s v="Khách hàng Cần chú ý"/>
    <n v="48000"/>
    <n v="7.407407407407407E-2"/>
    <n v="12"/>
    <n v="0.5"/>
    <n v="2023"/>
    <n v="9"/>
    <x v="7"/>
  </r>
  <r>
    <n v="232"/>
    <s v="HM608"/>
    <x v="36"/>
    <s v="Hộp"/>
    <n v="600000"/>
    <n v="0"/>
    <n v="6"/>
    <n v="1308000"/>
    <n v="1308000"/>
    <d v="2023-09-29T00:00:00"/>
    <s v="Chị Thúy - Gáo Giồng"/>
    <s v="Khách hàng Cần chú ý"/>
    <n v="708000"/>
    <n v="0.54128440366972475"/>
    <n v="6"/>
    <n v="0"/>
    <n v="2023"/>
    <n v="9"/>
    <x v="7"/>
  </r>
  <r>
    <n v="234"/>
    <s v="HM614"/>
    <x v="104"/>
    <s v="Hộp"/>
    <n v="260000"/>
    <n v="0"/>
    <n v="2"/>
    <n v="560000"/>
    <n v="560000"/>
    <d v="2023-09-30T00:00:00"/>
    <s v="Minh Hiền (chị Ớ) - B.H.Trung"/>
    <s v="Khách hàng VIP"/>
    <n v="300000"/>
    <n v="0.5357142857142857"/>
    <n v="2"/>
    <n v="0"/>
    <n v="2023"/>
    <n v="9"/>
    <x v="7"/>
  </r>
  <r>
    <n v="235"/>
    <s v="TB20001"/>
    <x v="105"/>
    <s v="Hộp"/>
    <n v="399000"/>
    <n v="6"/>
    <n v="24"/>
    <n v="461000"/>
    <n v="461000"/>
    <d v="2023-09-30T00:00:00"/>
    <s v="Chị Nga - HCL"/>
    <s v="Khách hàng Trung thành"/>
    <n v="62000"/>
    <n v="0.13449023861171369"/>
    <n v="30"/>
    <n v="0.2"/>
    <n v="2023"/>
    <n v="9"/>
    <x v="5"/>
  </r>
  <r>
    <n v="236"/>
    <s v="TBTE20002"/>
    <x v="33"/>
    <s v="Hộp"/>
    <n v="178500"/>
    <n v="0"/>
    <n v="12"/>
    <n v="216000"/>
    <n v="216000"/>
    <d v="2023-09-30T00:00:00"/>
    <s v="Chị Nga - HCL"/>
    <s v="Khách hàng Trung thành"/>
    <n v="37500"/>
    <n v="0.1736111111111111"/>
    <n v="12"/>
    <n v="0"/>
    <n v="2023"/>
    <n v="9"/>
    <x v="5"/>
  </r>
  <r>
    <n v="237"/>
    <s v="NRC38001"/>
    <x v="106"/>
    <s v="Bình"/>
    <n v="90000"/>
    <n v="1"/>
    <n v="3"/>
    <n v="180000"/>
    <n v="180000"/>
    <d v="2023-09-30T00:00:00"/>
    <s v="Tuyết Lan - B.H.Tây"/>
    <s v="Khách hàng Cần chú ý"/>
    <n v="90000"/>
    <n v="0.5"/>
    <n v="4"/>
    <n v="0.25"/>
    <n v="2023"/>
    <n v="9"/>
    <x v="1"/>
  </r>
  <r>
    <n v="238"/>
    <s v="GC109"/>
    <x v="107"/>
    <s v="Cây"/>
    <n v="186500"/>
    <n v="1"/>
    <n v="5"/>
    <n v="195000"/>
    <n v="195000"/>
    <d v="2023-09-30T00:00:00"/>
    <s v="TT Kim Thoa - M.Long"/>
    <s v="Khách hàng Trung thành"/>
    <n v="8500"/>
    <n v="4.3589743589743588E-2"/>
    <n v="6"/>
    <n v="0.16666666666666671"/>
    <n v="2023"/>
    <n v="9"/>
    <x v="7"/>
  </r>
  <r>
    <n v="239"/>
    <s v="HTKDR16001"/>
    <x v="108"/>
    <s v="Cây"/>
    <n v="110004"/>
    <n v="0"/>
    <n v="6"/>
    <n v="144000"/>
    <n v="144000"/>
    <d v="2023-09-30T00:00:00"/>
    <s v="TT Kim Thoa - M.Long"/>
    <s v="Khách hàng Trung thành"/>
    <n v="33996"/>
    <n v="0.23608333333333331"/>
    <n v="6"/>
    <n v="0"/>
    <n v="2023"/>
    <n v="9"/>
    <x v="2"/>
  </r>
  <r>
    <n v="240"/>
    <s v="KDL01"/>
    <x v="10"/>
    <s v="Cây"/>
    <n v="9828"/>
    <n v="0"/>
    <n v="1"/>
    <n v="11500"/>
    <n v="11500"/>
    <d v="2023-09-30T00:00:00"/>
    <s v="TT Kim Thoa - M.Long"/>
    <s v="Khách hàng Trung thành"/>
    <n v="1672"/>
    <n v="0.1453913043478261"/>
    <n v="1"/>
    <n v="0"/>
    <n v="2023"/>
    <n v="9"/>
    <x v="0"/>
  </r>
  <r>
    <n v="241"/>
    <s v="TC301"/>
    <x v="77"/>
    <s v="Hộp"/>
    <n v="220000"/>
    <n v="0"/>
    <n v="20"/>
    <n v="280000"/>
    <n v="280000"/>
    <d v="2023-09-30T00:00:00"/>
    <s v="TT Đông Nguyên - M.Long"/>
    <s v="Khách hàng VIP"/>
    <n v="60000"/>
    <n v="0.2142857142857143"/>
    <n v="20"/>
    <n v="0"/>
    <n v="2023"/>
    <n v="9"/>
    <x v="1"/>
  </r>
  <r>
    <n v="242"/>
    <s v="GC100"/>
    <x v="109"/>
    <s v="Bao"/>
    <n v="171000"/>
    <n v="0"/>
    <n v="3"/>
    <n v="210000"/>
    <n v="210000"/>
    <d v="2023-09-30T00:00:00"/>
    <s v="Ngọc Như - M.Long"/>
    <s v="Khách hàng VIP"/>
    <n v="39000"/>
    <n v="0.18571428571428569"/>
    <n v="3"/>
    <n v="0"/>
    <n v="2023"/>
    <n v="9"/>
    <x v="7"/>
  </r>
  <r>
    <n v="243"/>
    <s v="JA2KG"/>
    <x v="40"/>
    <s v="Chai"/>
    <n v="90000"/>
    <n v="0"/>
    <n v="6"/>
    <n v="138000"/>
    <n v="138000"/>
    <d v="2023-09-30T00:00:00"/>
    <s v="Ngọc Như - M.Long"/>
    <s v="Khách hàng VIP"/>
    <n v="48000"/>
    <n v="0.34782608695652167"/>
    <n v="6"/>
    <n v="0"/>
    <n v="2023"/>
    <n v="9"/>
    <x v="1"/>
  </r>
  <r>
    <n v="244"/>
    <s v="KU80"/>
    <x v="75"/>
    <s v="Gói"/>
    <n v="185000"/>
    <n v="0"/>
    <n v="10"/>
    <n v="260000"/>
    <n v="260000"/>
    <d v="2023-09-30T00:00:00"/>
    <s v="Ngọc Như - M.Long"/>
    <s v="Khách hàng VIP"/>
    <n v="75000"/>
    <n v="0.28846153846153838"/>
    <n v="10"/>
    <n v="0"/>
    <n v="2023"/>
    <n v="9"/>
    <x v="3"/>
  </r>
  <r>
    <n v="245"/>
    <s v="BCOCEAN"/>
    <x v="110"/>
    <s v="Cây"/>
    <n v="2304000"/>
    <n v="0"/>
    <n v="48"/>
    <n v="1920000"/>
    <n v="1920000"/>
    <d v="2023-09-30T00:00:00"/>
    <s v="MP Nhanh - M.Hiệp"/>
    <s v="Khách hàng VIP"/>
    <n v="-384000"/>
    <n v="-0.2"/>
    <n v="48"/>
    <n v="0"/>
    <n v="2023"/>
    <n v="9"/>
    <x v="2"/>
  </r>
  <r>
    <n v="247"/>
    <s v="KV1001"/>
    <x v="62"/>
    <s v="Gói"/>
    <n v="225000"/>
    <n v="0"/>
    <n v="30"/>
    <n v="330000"/>
    <n v="330000"/>
    <d v="2023-09-30T00:00:00"/>
    <s v="Tuyết Lài ( Chị Lài) - B.H.Trung"/>
    <s v="Khách hàng Cần chú ý"/>
    <n v="105000"/>
    <n v="0.31818181818181818"/>
    <n v="30"/>
    <n v="0"/>
    <n v="2023"/>
    <n v="9"/>
    <x v="0"/>
  </r>
  <r>
    <n v="249"/>
    <s v="BCTEELEPHAN"/>
    <x v="111"/>
    <s v="Cây"/>
    <n v="540000"/>
    <n v="4"/>
    <n v="12"/>
    <n v="540000"/>
    <n v="540000"/>
    <d v="2023-09-30T00:00:00"/>
    <s v="Thế Giới Con Cưng - HCL"/>
    <s v="Khách hàng Trung thành"/>
    <n v="0"/>
    <n v="0"/>
    <n v="16"/>
    <n v="0.25"/>
    <n v="2023"/>
    <n v="9"/>
    <x v="2"/>
  </r>
  <r>
    <n v="250"/>
    <s v="BCTEPANDA"/>
    <x v="112"/>
    <s v="Cây"/>
    <n v="1152000"/>
    <n v="3"/>
    <n v="36"/>
    <n v="1070000"/>
    <n v="1070000"/>
    <d v="2023-09-30T00:00:00"/>
    <s v="Thế Giới Con Cưng - HCL"/>
    <s v="Khách hàng Trung thành"/>
    <n v="-82000"/>
    <n v="-7.6635514018691592E-2"/>
    <n v="39"/>
    <n v="7.6923076923076927E-2"/>
    <n v="2023"/>
    <n v="9"/>
    <x v="2"/>
  </r>
  <r>
    <n v="252"/>
    <s v="TBTE20003"/>
    <x v="11"/>
    <s v="Hộp"/>
    <n v="231000"/>
    <n v="2"/>
    <n v="12"/>
    <n v="288000"/>
    <n v="288000"/>
    <d v="2023-09-30T00:00:00"/>
    <s v="Thế Giới Con Cưng - HCL"/>
    <s v="Khách hàng Trung thành"/>
    <n v="57000"/>
    <n v="0.19791666666666671"/>
    <n v="14"/>
    <n v="0.14285714285714279"/>
    <n v="2023"/>
    <n v="9"/>
    <x v="5"/>
  </r>
  <r>
    <n v="253"/>
    <s v="NLREDBULL1"/>
    <x v="113"/>
    <s v="Block"/>
    <n v="242000"/>
    <n v="0"/>
    <n v="1"/>
    <n v="247000"/>
    <n v="247000"/>
    <d v="2023-09-30T00:00:00"/>
    <s v="Tuấn Kiệt - M.Long"/>
    <s v="Khách hàng VIP"/>
    <n v="5000"/>
    <n v="2.0242914979757089E-2"/>
    <n v="1"/>
    <n v="0"/>
    <n v="2023"/>
    <n v="9"/>
    <x v="9"/>
  </r>
  <r>
    <n v="255"/>
    <s v="HTBTE50"/>
    <x v="114"/>
    <s v="Hộp"/>
    <n v="271800"/>
    <n v="0"/>
    <n v="6"/>
    <n v="276000"/>
    <n v="276000"/>
    <d v="2023-10-02T00:00:00"/>
    <s v="TT Đông Nguyên - M.Long"/>
    <s v="Khách hàng VIP"/>
    <n v="4200"/>
    <n v="1.521739130434783E-2"/>
    <n v="6"/>
    <n v="0"/>
    <n v="2023"/>
    <n v="10"/>
    <x v="8"/>
  </r>
  <r>
    <n v="256"/>
    <s v="HTBTE50"/>
    <x v="114"/>
    <s v="Hộp"/>
    <n v="453000"/>
    <n v="0"/>
    <n v="10"/>
    <n v="460000"/>
    <n v="460000"/>
    <d v="2023-10-02T00:00:00"/>
    <s v="CH sữa tả Quý Ngọc - B.H.Trung"/>
    <s v="Khách hàng Trung thành"/>
    <n v="7000"/>
    <n v="1.521739130434783E-2"/>
    <n v="10"/>
    <n v="0"/>
    <n v="2023"/>
    <n v="10"/>
    <x v="8"/>
  </r>
  <r>
    <n v="257"/>
    <s v="HTBTE50"/>
    <x v="114"/>
    <s v="Hộp"/>
    <n v="1087200"/>
    <n v="4"/>
    <n v="24"/>
    <n v="1004000"/>
    <n v="1004000"/>
    <d v="2023-10-02T00:00:00"/>
    <s v="Mẹ &amp; Bé ( Mẹ Yêu Con) - M.Hiệp"/>
    <s v="Khách hàng Cần chú ý"/>
    <n v="-83200"/>
    <n v="-8.2868525896414344E-2"/>
    <n v="28"/>
    <n v="0.14285714285714279"/>
    <n v="2023"/>
    <n v="10"/>
    <x v="8"/>
  </r>
  <r>
    <n v="258"/>
    <s v="KU250"/>
    <x v="13"/>
    <s v="Gói"/>
    <n v="77000"/>
    <n v="0"/>
    <n v="10"/>
    <n v="100000"/>
    <n v="100000"/>
    <d v="2023-10-03T00:00:00"/>
    <s v="Chị Thủy (đồ nhựa) - T.H.Trung"/>
    <s v="Khách hàng Cần chú ý"/>
    <n v="23000"/>
    <n v="0.23"/>
    <n v="10"/>
    <n v="0"/>
    <n v="2023"/>
    <n v="10"/>
    <x v="3"/>
  </r>
  <r>
    <n v="259"/>
    <s v="HM608"/>
    <x v="36"/>
    <s v="Hộp"/>
    <n v="1200000"/>
    <n v="12"/>
    <n v="12"/>
    <n v="1308000"/>
    <n v="1308000"/>
    <d v="2023-10-03T00:00:00"/>
    <s v="Chị Lan - T.H.Trung"/>
    <s v="Khách hàng Cần chú ý"/>
    <n v="108000"/>
    <n v="8.2568807339449546E-2"/>
    <n v="24"/>
    <n v="0.5"/>
    <n v="2023"/>
    <n v="10"/>
    <x v="7"/>
  </r>
  <r>
    <n v="260"/>
    <s v="GC32"/>
    <x v="82"/>
    <s v="Bịch"/>
    <n v="420000"/>
    <n v="2"/>
    <n v="10"/>
    <n v="384000"/>
    <n v="384000"/>
    <d v="2023-10-05T00:00:00"/>
    <s v="Thu Thủy - P.Mỹ (cầu Trâu Trắng)"/>
    <s v="Khách hàng VIP"/>
    <n v="-36000"/>
    <n v="-9.375E-2"/>
    <n v="12"/>
    <n v="0.16666666666666671"/>
    <n v="2023"/>
    <n v="10"/>
    <x v="7"/>
  </r>
  <r>
    <n v="261"/>
    <s v="KV320"/>
    <x v="8"/>
    <s v="Gói"/>
    <n v="2112000"/>
    <n v="48"/>
    <n v="192"/>
    <n v="2256000"/>
    <n v="2256000"/>
    <d v="2023-10-05T00:00:00"/>
    <s v="Thu Thủy - P.Mỹ (cầu Trâu Trắng)"/>
    <s v="Khách hàng VIP"/>
    <n v="144000"/>
    <n v="6.3829787234042548E-2"/>
    <n v="240"/>
    <n v="0.2"/>
    <n v="2023"/>
    <n v="10"/>
    <x v="0"/>
  </r>
  <r>
    <n v="263"/>
    <s v="KR1000"/>
    <x v="115"/>
    <s v="Gói"/>
    <n v="412911"/>
    <n v="1"/>
    <n v="9"/>
    <n v="421200"/>
    <n v="421200"/>
    <d v="2023-10-05T00:00:00"/>
    <s v="Hồng Hạnh - P.Mỹ (cầu Trâu Trắng)"/>
    <s v="Khách hàng Cần chú ý"/>
    <n v="8289"/>
    <n v="1.9679487179487181E-2"/>
    <n v="10"/>
    <n v="0.1"/>
    <n v="2023"/>
    <n v="10"/>
    <x v="0"/>
  </r>
  <r>
    <n v="264"/>
    <s v="KTN80"/>
    <x v="116"/>
    <s v="Gói"/>
    <n v="26250"/>
    <n v="0"/>
    <n v="5"/>
    <n v="35000"/>
    <n v="35000"/>
    <d v="2023-10-05T00:00:00"/>
    <s v="TH An ( Lê Đà) - Ngã 4"/>
    <s v="Khách hàng Cần chú ý"/>
    <n v="8750"/>
    <n v="0.25"/>
    <n v="5"/>
    <n v="0"/>
    <n v="2023"/>
    <n v="10"/>
    <x v="4"/>
  </r>
  <r>
    <n v="265"/>
    <s v="KTN801"/>
    <x v="117"/>
    <s v="Gói"/>
    <n v="26250"/>
    <n v="0"/>
    <n v="5"/>
    <n v="35000"/>
    <n v="35000"/>
    <d v="2023-10-05T00:00:00"/>
    <s v="TH An ( Lê Đà) - Ngã 4"/>
    <s v="Khách hàng Cần chú ý"/>
    <n v="8750"/>
    <n v="0.25"/>
    <n v="5"/>
    <n v="0"/>
    <n v="2023"/>
    <n v="10"/>
    <x v="4"/>
  </r>
  <r>
    <n v="266"/>
    <s v="KTN802"/>
    <x v="98"/>
    <s v="Gói"/>
    <n v="26250"/>
    <n v="0"/>
    <n v="5"/>
    <n v="35000"/>
    <n v="35000"/>
    <d v="2023-10-05T00:00:00"/>
    <s v="TH An ( Lê Đà) - Ngã 4"/>
    <s v="Khách hàng Cần chú ý"/>
    <n v="8750"/>
    <n v="0.25"/>
    <n v="5"/>
    <n v="0"/>
    <n v="2023"/>
    <n v="10"/>
    <x v="4"/>
  </r>
  <r>
    <n v="267"/>
    <s v="HTBTE50"/>
    <x v="114"/>
    <s v="Hộp"/>
    <n v="181200"/>
    <n v="1"/>
    <n v="4"/>
    <n v="154000"/>
    <n v="154000"/>
    <d v="2023-10-05T00:00:00"/>
    <s v="Thế giới sữa Tony - T.Nghĩa"/>
    <s v="Khách hàng Trung thành"/>
    <n v="-27200"/>
    <n v="-0.1766233766233766"/>
    <n v="5"/>
    <n v="0.2"/>
    <n v="2023"/>
    <n v="10"/>
    <x v="8"/>
  </r>
  <r>
    <n v="268"/>
    <s v="HTBTE501"/>
    <x v="118"/>
    <s v="Hộp"/>
    <n v="181200"/>
    <n v="0"/>
    <n v="4"/>
    <n v="200000"/>
    <n v="200000"/>
    <d v="2023-10-05T00:00:00"/>
    <s v="Thế giới sữa Tony - T.Nghĩa"/>
    <s v="Khách hàng Trung thành"/>
    <n v="18800"/>
    <n v="9.4E-2"/>
    <n v="4"/>
    <n v="0"/>
    <n v="2023"/>
    <n v="10"/>
    <x v="8"/>
  </r>
  <r>
    <n v="269"/>
    <s v="HTBTE502"/>
    <x v="119"/>
    <s v="Hộp"/>
    <n v="181200"/>
    <n v="0"/>
    <n v="4"/>
    <n v="200000"/>
    <n v="200000"/>
    <d v="2023-10-05T00:00:00"/>
    <s v="Thế giới sữa Tony - T.Nghĩa"/>
    <s v="Khách hàng Trung thành"/>
    <n v="18800"/>
    <n v="9.4E-2"/>
    <n v="4"/>
    <n v="0"/>
    <n v="2023"/>
    <n v="10"/>
    <x v="8"/>
  </r>
  <r>
    <n v="270"/>
    <s v="NLREDBULL1"/>
    <x v="113"/>
    <s v="Block"/>
    <n v="484000"/>
    <n v="0"/>
    <n v="2"/>
    <n v="498000"/>
    <n v="498000"/>
    <d v="2023-10-05T00:00:00"/>
    <s v="Thế giới sữa Tony - T.Nghĩa"/>
    <s v="Khách hàng Trung thành"/>
    <n v="14000"/>
    <n v="2.811244979919679E-2"/>
    <n v="2"/>
    <n v="0"/>
    <n v="2023"/>
    <n v="10"/>
    <x v="9"/>
  </r>
  <r>
    <n v="271"/>
    <s v="HTK151"/>
    <x v="120"/>
    <s v="Dây"/>
    <n v="75000"/>
    <n v="0"/>
    <n v="2"/>
    <n v="82000"/>
    <n v="82000"/>
    <d v="2023-10-05T00:00:00"/>
    <s v="Chị Nhung - T.Nghĩa"/>
    <s v="Khách hàng Trung thành"/>
    <n v="7000"/>
    <n v="8.5365853658536592E-2"/>
    <n v="2"/>
    <n v="0"/>
    <n v="2023"/>
    <n v="10"/>
    <x v="4"/>
  </r>
  <r>
    <n v="272"/>
    <s v="KTN80"/>
    <x v="116"/>
    <s v="Gói"/>
    <n v="0"/>
    <n v="0"/>
    <n v="0"/>
    <n v="-70000"/>
    <n v="-70000"/>
    <d v="2023-10-05T00:00:00"/>
    <s v="Chị Nhung - T.Nghĩa"/>
    <s v="Khách hàng Trung thành"/>
    <n v="-70000"/>
    <n v="1"/>
    <n v="0"/>
    <n v="0"/>
    <n v="2023"/>
    <n v="10"/>
    <x v="4"/>
  </r>
  <r>
    <n v="274"/>
    <s v="KV1001"/>
    <x v="62"/>
    <s v="Gói"/>
    <n v="75000"/>
    <n v="1"/>
    <n v="10"/>
    <n v="110000"/>
    <n v="110000"/>
    <d v="2023-10-05T00:00:00"/>
    <s v="Chị Nhung - T.Nghĩa"/>
    <s v="Khách hàng Trung thành"/>
    <n v="35000"/>
    <n v="0.31818181818181818"/>
    <n v="11"/>
    <n v="9.0909090909090912E-2"/>
    <n v="2023"/>
    <n v="10"/>
    <x v="0"/>
  </r>
  <r>
    <n v="275"/>
    <s v="SBOMGROW900"/>
    <x v="84"/>
    <s v="Lon"/>
    <n v="424800"/>
    <n v="0"/>
    <n v="2"/>
    <n v="477600"/>
    <n v="477600"/>
    <d v="2023-10-06T00:00:00"/>
    <s v="TT Hoàng Yến - M.Long"/>
    <s v="Khách hàng Trung thành"/>
    <n v="52800"/>
    <n v="0.1105527638190955"/>
    <n v="2"/>
    <n v="0"/>
    <n v="2023"/>
    <n v="10"/>
    <x v="10"/>
  </r>
  <r>
    <n v="276"/>
    <s v="GC32"/>
    <x v="82"/>
    <s v="Bịch"/>
    <n v="420000"/>
    <n v="2"/>
    <n v="10"/>
    <n v="460000"/>
    <n v="460000"/>
    <d v="2023-10-06T00:00:00"/>
    <s v="Trúc Ly - Ba Sao"/>
    <s v="Khách hàng Cần chú ý"/>
    <n v="40000"/>
    <n v="8.6956521739130432E-2"/>
    <n v="12"/>
    <n v="0.16666666666666671"/>
    <n v="2023"/>
    <n v="10"/>
    <x v="7"/>
  </r>
  <r>
    <n v="277"/>
    <s v="TC50"/>
    <x v="121"/>
    <s v="Gói"/>
    <n v="138000"/>
    <n v="0"/>
    <n v="12"/>
    <n v="168000"/>
    <n v="168000"/>
    <d v="2023-10-06T00:00:00"/>
    <s v="TT Ngọc Cát Tường - N.V.Tiếp"/>
    <s v="Khách hàng Cần chú ý"/>
    <n v="30000"/>
    <n v="0.1785714285714286"/>
    <n v="12"/>
    <n v="0"/>
    <n v="2023"/>
    <n v="10"/>
    <x v="1"/>
  </r>
  <r>
    <n v="278"/>
    <s v="HTBTE50"/>
    <x v="114"/>
    <s v="Hộp"/>
    <n v="181200"/>
    <n v="0"/>
    <n v="4"/>
    <n v="184000"/>
    <n v="184000"/>
    <d v="2023-10-07T00:00:00"/>
    <s v="Mỹ Hạnh - HCL"/>
    <s v="Khách hàng Trung thành"/>
    <n v="2800"/>
    <n v="1.521739130434783E-2"/>
    <n v="4"/>
    <n v="0"/>
    <n v="2023"/>
    <n v="10"/>
    <x v="8"/>
  </r>
  <r>
    <n v="279"/>
    <s v="HTBTE501"/>
    <x v="118"/>
    <s v="Hộp"/>
    <n v="181200"/>
    <n v="0"/>
    <n v="4"/>
    <n v="184000"/>
    <n v="184000"/>
    <d v="2023-10-07T00:00:00"/>
    <s v="Mỹ Hạnh - HCL"/>
    <s v="Khách hàng Trung thành"/>
    <n v="2800"/>
    <n v="1.521739130434783E-2"/>
    <n v="4"/>
    <n v="0"/>
    <n v="2023"/>
    <n v="10"/>
    <x v="8"/>
  </r>
  <r>
    <n v="280"/>
    <s v="HTBTE502"/>
    <x v="119"/>
    <s v="Hộp"/>
    <n v="45300"/>
    <n v="0"/>
    <n v="1"/>
    <n v="46000"/>
    <n v="46000"/>
    <d v="2023-10-07T00:00:00"/>
    <s v="Mỹ Hạnh - HCL"/>
    <s v="Khách hàng Trung thành"/>
    <n v="700"/>
    <n v="1.521739130434783E-2"/>
    <n v="1"/>
    <n v="0"/>
    <n v="2023"/>
    <n v="10"/>
    <x v="8"/>
  </r>
  <r>
    <n v="281"/>
    <s v="KV100"/>
    <x v="0"/>
    <s v="Gói"/>
    <n v="345600"/>
    <n v="4"/>
    <n v="48"/>
    <n v="536000"/>
    <n v="536000"/>
    <d v="2023-10-07T00:00:00"/>
    <s v="Chị Nga - HCL"/>
    <s v="Khách hàng Trung thành"/>
    <n v="190400"/>
    <n v="0.35522388059701487"/>
    <n v="52"/>
    <n v="7.6923076923076927E-2"/>
    <n v="2023"/>
    <n v="10"/>
    <x v="0"/>
  </r>
  <r>
    <n v="282"/>
    <s v="KV100"/>
    <x v="0"/>
    <s v="Gói"/>
    <n v="345600"/>
    <n v="0"/>
    <n v="48"/>
    <n v="518400"/>
    <n v="518400"/>
    <d v="2023-10-07T00:00:00"/>
    <s v="Xuân Bình - M.Hiệp"/>
    <s v="Khách hàng VIP"/>
    <n v="172800"/>
    <n v="0.33333333333333331"/>
    <n v="48"/>
    <n v="0"/>
    <n v="2023"/>
    <n v="10"/>
    <x v="0"/>
  </r>
  <r>
    <n v="283"/>
    <s v="TB20001"/>
    <x v="105"/>
    <s v="Hộp"/>
    <n v="199500"/>
    <n v="2"/>
    <n v="12"/>
    <n v="288000"/>
    <n v="288000"/>
    <d v="2023-10-07T00:00:00"/>
    <s v="TT Ngọc Hạnh - Đ.Mối"/>
    <s v="Khách hàng Trung thành"/>
    <n v="88500"/>
    <n v="0.30729166666666669"/>
    <n v="14"/>
    <n v="0.14285714285714279"/>
    <n v="2023"/>
    <n v="10"/>
    <x v="5"/>
  </r>
  <r>
    <n v="284"/>
    <s v="TB20002"/>
    <x v="32"/>
    <s v="Hộp"/>
    <n v="194256"/>
    <n v="2"/>
    <n v="12"/>
    <n v="240000"/>
    <n v="240000"/>
    <d v="2023-10-07T00:00:00"/>
    <s v="TT Ngọc Hạnh - Đ.Mối"/>
    <s v="Khách hàng Trung thành"/>
    <n v="45744"/>
    <n v="0.19059999999999999"/>
    <n v="14"/>
    <n v="0.14285714285714279"/>
    <n v="2023"/>
    <n v="10"/>
    <x v="5"/>
  </r>
  <r>
    <n v="285"/>
    <s v="TBTE20003"/>
    <x v="11"/>
    <s v="Hộp"/>
    <n v="231000"/>
    <n v="2"/>
    <n v="12"/>
    <n v="288000"/>
    <n v="288000"/>
    <d v="2023-10-07T00:00:00"/>
    <s v="TT Ngọc Hạnh - Đ.Mối"/>
    <s v="Khách hàng Trung thành"/>
    <n v="57000"/>
    <n v="0.19791666666666671"/>
    <n v="14"/>
    <n v="0.14285714285714279"/>
    <n v="2023"/>
    <n v="10"/>
    <x v="5"/>
  </r>
  <r>
    <n v="286"/>
    <s v="GC106"/>
    <x v="66"/>
    <s v="Cây"/>
    <n v="180000"/>
    <n v="0"/>
    <n v="10"/>
    <n v="220000"/>
    <n v="220000"/>
    <d v="2023-10-07T00:00:00"/>
    <s v="Chị Thắm (Hồng Thắm) - B.H.Tây"/>
    <s v="Khách hàng VIP"/>
    <n v="40000"/>
    <n v="0.1818181818181818"/>
    <n v="10"/>
    <n v="0"/>
    <n v="2023"/>
    <n v="10"/>
    <x v="7"/>
  </r>
  <r>
    <n v="287"/>
    <s v="NGT3600"/>
    <x v="101"/>
    <s v="Túi"/>
    <n v="148000"/>
    <n v="0"/>
    <n v="2"/>
    <n v="270000"/>
    <n v="270000"/>
    <d v="2023-10-07T00:00:00"/>
    <s v="Chị Thắm (Hồng Thắm) - B.H.Tây"/>
    <s v="Khách hàng VIP"/>
    <n v="122000"/>
    <n v="0.45185185185185178"/>
    <n v="2"/>
    <n v="0"/>
    <n v="2023"/>
    <n v="10"/>
    <x v="1"/>
  </r>
  <r>
    <n v="288"/>
    <s v="NGT36001"/>
    <x v="102"/>
    <s v="Túi"/>
    <n v="148000"/>
    <n v="1"/>
    <n v="2"/>
    <n v="162000"/>
    <n v="162000"/>
    <d v="2023-10-07T00:00:00"/>
    <s v="Chị Thắm (Hồng Thắm) - B.H.Tây"/>
    <s v="Khách hàng VIP"/>
    <n v="14000"/>
    <n v="8.6419753086419748E-2"/>
    <n v="3"/>
    <n v="0.33333333333333331"/>
    <n v="2023"/>
    <n v="10"/>
    <x v="1"/>
  </r>
  <r>
    <n v="290"/>
    <s v="NG3600"/>
    <x v="2"/>
    <s v="Bình"/>
    <n v="730000"/>
    <n v="0"/>
    <n v="8"/>
    <n v="960000"/>
    <n v="960000"/>
    <d v="2023-10-07T00:00:00"/>
    <s v="Mỹ Nhân - N.Mỹ"/>
    <s v="Khách hàng Trung thành"/>
    <n v="230000"/>
    <n v="0.23958333333333329"/>
    <n v="8"/>
    <n v="0"/>
    <n v="2023"/>
    <n v="10"/>
    <x v="1"/>
  </r>
  <r>
    <n v="291"/>
    <s v="KR1001"/>
    <x v="122"/>
    <s v="Gói"/>
    <n v="480000"/>
    <n v="2"/>
    <n v="10"/>
    <n v="434000"/>
    <n v="434000"/>
    <d v="2023-10-07T00:00:00"/>
    <s v="Thanh Nhã - M.Long"/>
    <s v="Khách hàng Mới"/>
    <n v="-46000"/>
    <n v="-0.10599078341013821"/>
    <n v="12"/>
    <n v="0.16666666666666671"/>
    <n v="2023"/>
    <n v="10"/>
    <x v="0"/>
  </r>
  <r>
    <n v="292"/>
    <s v="GC605"/>
    <x v="28"/>
    <s v="Cây"/>
    <n v="580000"/>
    <n v="2"/>
    <n v="20"/>
    <n v="709000"/>
    <n v="709000"/>
    <d v="2023-10-07T00:00:00"/>
    <s v="TH Trinh (Mỹ Trinh) - HCL (cuối chợ)"/>
    <s v="Khách hàng VIP"/>
    <n v="129000"/>
    <n v="0.18194640338504939"/>
    <n v="22"/>
    <n v="9.0909090909090912E-2"/>
    <n v="2023"/>
    <n v="10"/>
    <x v="7"/>
  </r>
  <r>
    <n v="293"/>
    <s v="HTF3000"/>
    <x v="17"/>
    <s v="Bình"/>
    <n v="340000"/>
    <n v="0"/>
    <n v="4"/>
    <n v="520000"/>
    <n v="520000"/>
    <d v="2023-10-07T00:00:00"/>
    <s v="TH Trương Vy - A.Bình 2"/>
    <s v="Khách hàng Cần chú ý"/>
    <n v="180000"/>
    <n v="0.34615384615384609"/>
    <n v="4"/>
    <n v="0"/>
    <n v="2023"/>
    <n v="10"/>
    <x v="1"/>
  </r>
  <r>
    <n v="294"/>
    <s v="BCN189"/>
    <x v="87"/>
    <s v="Cây"/>
    <n v="144000"/>
    <n v="0"/>
    <n v="30"/>
    <n v="210000"/>
    <n v="210000"/>
    <d v="2023-10-07T00:00:00"/>
    <s v="Trường An - Đ.Mối"/>
    <s v="Khách hàng Cần chú ý"/>
    <n v="66000"/>
    <n v="0.31428571428571428"/>
    <n v="30"/>
    <n v="0"/>
    <n v="2023"/>
    <n v="10"/>
    <x v="2"/>
  </r>
  <r>
    <n v="295"/>
    <s v="KU80"/>
    <x v="75"/>
    <s v="Gói"/>
    <n v="222000"/>
    <n v="3"/>
    <n v="12"/>
    <n v="288000"/>
    <n v="288000"/>
    <d v="2023-10-07T00:00:00"/>
    <s v="Trường An - Đ.Mối"/>
    <s v="Khách hàng Cần chú ý"/>
    <n v="66000"/>
    <n v="0.22916666666666671"/>
    <n v="15"/>
    <n v="0.2"/>
    <n v="2023"/>
    <n v="10"/>
    <x v="3"/>
  </r>
  <r>
    <n v="296"/>
    <s v="KB01"/>
    <x v="123"/>
    <s v="Cây"/>
    <n v="48000"/>
    <n v="0"/>
    <n v="6"/>
    <n v="51000"/>
    <n v="51000"/>
    <d v="2023-10-07T00:00:00"/>
    <s v="TT Kim Dung - M.Hiệp"/>
    <s v="Khách hàng VIP"/>
    <n v="3000"/>
    <n v="5.8823529411764712E-2"/>
    <n v="6"/>
    <n v="0"/>
    <n v="2023"/>
    <n v="10"/>
    <x v="0"/>
  </r>
  <r>
    <n v="299"/>
    <s v="KU801"/>
    <x v="38"/>
    <s v="Gói"/>
    <n v="40000"/>
    <n v="0"/>
    <n v="10"/>
    <n v="70000"/>
    <n v="70000"/>
    <d v="2023-10-07T00:00:00"/>
    <s v="TT Kim Dung - M.Hiệp"/>
    <s v="Khách hàng VIP"/>
    <n v="30000"/>
    <n v="0.42857142857142849"/>
    <n v="10"/>
    <n v="0"/>
    <n v="2023"/>
    <n v="10"/>
    <x v="3"/>
  </r>
  <r>
    <n v="300"/>
    <s v="BCTE005"/>
    <x v="124"/>
    <s v="Cây"/>
    <n v="120000"/>
    <n v="0"/>
    <n v="12"/>
    <n v="168000"/>
    <n v="168000"/>
    <d v="2023-10-07T00:00:00"/>
    <s v="Thế Giới Con Cưng - HCL"/>
    <s v="Khách hàng Trung thành"/>
    <n v="48000"/>
    <n v="0.2857142857142857"/>
    <n v="12"/>
    <n v="0"/>
    <n v="2023"/>
    <n v="10"/>
    <x v="2"/>
  </r>
  <r>
    <n v="301"/>
    <s v="HTBTE50"/>
    <x v="114"/>
    <s v="Hộp"/>
    <n v="362400"/>
    <n v="3"/>
    <n v="8"/>
    <n v="400000"/>
    <n v="400000"/>
    <d v="2023-10-07T00:00:00"/>
    <s v="Thế Giới Con Cưng - HCL"/>
    <s v="Khách hàng Trung thành"/>
    <n v="37600"/>
    <n v="9.4E-2"/>
    <n v="11"/>
    <n v="0.27272727272727271"/>
    <n v="2023"/>
    <n v="10"/>
    <x v="8"/>
  </r>
  <r>
    <n v="302"/>
    <s v="HTBTE501"/>
    <x v="118"/>
    <s v="Hộp"/>
    <n v="362400"/>
    <n v="0"/>
    <n v="8"/>
    <n v="267000"/>
    <n v="267000"/>
    <d v="2023-10-07T00:00:00"/>
    <s v="Thế Giới Con Cưng - HCL"/>
    <s v="Khách hàng Trung thành"/>
    <n v="-95400"/>
    <n v="-0.35730337078651692"/>
    <n v="8"/>
    <n v="0"/>
    <n v="2023"/>
    <n v="10"/>
    <x v="8"/>
  </r>
  <r>
    <n v="303"/>
    <s v="HTBTE502"/>
    <x v="119"/>
    <s v="Hộp"/>
    <n v="362400"/>
    <n v="0"/>
    <n v="8"/>
    <n v="400000"/>
    <n v="400000"/>
    <d v="2023-10-07T00:00:00"/>
    <s v="Thế Giới Con Cưng - HCL"/>
    <s v="Khách hàng Trung thành"/>
    <n v="37600"/>
    <n v="9.4E-2"/>
    <n v="8"/>
    <n v="0"/>
    <n v="2023"/>
    <n v="10"/>
    <x v="8"/>
  </r>
  <r>
    <n v="304"/>
    <s v="KDR001"/>
    <x v="125"/>
    <s v="Bộ"/>
    <n v="279996"/>
    <n v="2"/>
    <n v="12"/>
    <n v="288000"/>
    <n v="288000"/>
    <d v="2023-10-07T00:00:00"/>
    <s v="Thế Giới Con Cưng - HCL"/>
    <s v="Khách hàng Trung thành"/>
    <n v="8004"/>
    <n v="2.7791666666666669E-2"/>
    <n v="14"/>
    <n v="0.14285714285714279"/>
    <n v="2023"/>
    <n v="10"/>
    <x v="2"/>
  </r>
  <r>
    <n v="305"/>
    <s v="KKDN300"/>
    <x v="14"/>
    <s v="Gói"/>
    <n v="1069200"/>
    <n v="3"/>
    <n v="27"/>
    <n v="1070000"/>
    <n v="1070000"/>
    <d v="2023-10-07T00:00:00"/>
    <s v="Thế Giới Con Cưng - HCL"/>
    <s v="Khách hàng Trung thành"/>
    <n v="800"/>
    <n v="7.4766355140186912E-4"/>
    <n v="30"/>
    <n v="0.1"/>
    <n v="2023"/>
    <n v="10"/>
    <x v="0"/>
  </r>
  <r>
    <n v="308"/>
    <s v="HM608"/>
    <x v="36"/>
    <s v="Hộp"/>
    <n v="300000"/>
    <n v="3"/>
    <n v="3"/>
    <n v="327000"/>
    <n v="327000"/>
    <d v="2023-10-07T00:00:00"/>
    <s v="Cô 7 - X.Quýt"/>
    <s v="Khách hàng Cần chú ý"/>
    <n v="27000"/>
    <n v="8.2568807339449546E-2"/>
    <n v="6"/>
    <n v="0.5"/>
    <n v="2023"/>
    <n v="10"/>
    <x v="7"/>
  </r>
  <r>
    <n v="309"/>
    <s v="KV1007"/>
    <x v="39"/>
    <s v="Gói"/>
    <n v="270000"/>
    <n v="0"/>
    <n v="40"/>
    <n v="320000"/>
    <n v="320000"/>
    <d v="2023-10-07T00:00:00"/>
    <s v="Chị Thùy - X.Quýt"/>
    <s v="Khách hàng Cần chú ý"/>
    <n v="50000"/>
    <n v="0.15625"/>
    <n v="40"/>
    <n v="0"/>
    <n v="2023"/>
    <n v="10"/>
    <x v="0"/>
  </r>
  <r>
    <n v="310"/>
    <s v="KR1000"/>
    <x v="115"/>
    <s v="Gói"/>
    <n v="1835160"/>
    <n v="5"/>
    <n v="40"/>
    <n v="1849000"/>
    <n v="1849000"/>
    <d v="2023-10-13T00:00:00"/>
    <s v="Thanh Trang - HCL"/>
    <s v="Khách hàng Trung thành"/>
    <n v="13840"/>
    <n v="7.4851270957274202E-3"/>
    <n v="45"/>
    <n v="0.1111111111111111"/>
    <n v="2023"/>
    <n v="10"/>
    <x v="0"/>
  </r>
  <r>
    <n v="311"/>
    <s v="HTBTE30"/>
    <x v="126"/>
    <s v="Hộp"/>
    <n v="633600"/>
    <n v="0"/>
    <n v="12"/>
    <n v="720000"/>
    <n v="720000"/>
    <d v="2023-10-13T00:00:00"/>
    <s v="TT Minh Phương - T.H.Trung"/>
    <s v="Khách hàng Cần chú ý"/>
    <n v="86400"/>
    <n v="0.12"/>
    <n v="12"/>
    <n v="0"/>
    <n v="2023"/>
    <n v="10"/>
    <x v="8"/>
  </r>
  <r>
    <n v="312"/>
    <s v="HTBTE301"/>
    <x v="127"/>
    <s v="Hộp"/>
    <n v="633600"/>
    <n v="3"/>
    <n v="12"/>
    <n v="560000"/>
    <n v="560000"/>
    <d v="2023-10-13T00:00:00"/>
    <s v="TT Minh Phương - T.H.Trung"/>
    <s v="Khách hàng Cần chú ý"/>
    <n v="-73600"/>
    <n v="-0.13142857142857139"/>
    <n v="15"/>
    <n v="0.2"/>
    <n v="2023"/>
    <n v="10"/>
    <x v="8"/>
  </r>
  <r>
    <n v="313"/>
    <s v="HTBTE50"/>
    <x v="114"/>
    <s v="Hộp"/>
    <n v="362400"/>
    <n v="3"/>
    <n v="8"/>
    <n v="267000"/>
    <n v="267000"/>
    <d v="2023-10-13T00:00:00"/>
    <s v="TT Minh Phương - T.H.Trung"/>
    <s v="Khách hàng Cần chú ý"/>
    <n v="-95400"/>
    <n v="-0.35730337078651692"/>
    <n v="11"/>
    <n v="0.27272727272727271"/>
    <n v="2023"/>
    <n v="10"/>
    <x v="8"/>
  </r>
  <r>
    <n v="314"/>
    <s v="HTBTE501"/>
    <x v="118"/>
    <s v="Hộp"/>
    <n v="362400"/>
    <n v="0"/>
    <n v="8"/>
    <n v="400000"/>
    <n v="400000"/>
    <d v="2023-10-13T00:00:00"/>
    <s v="TT Minh Phương - T.H.Trung"/>
    <s v="Khách hàng Cần chú ý"/>
    <n v="37600"/>
    <n v="9.4E-2"/>
    <n v="8"/>
    <n v="0"/>
    <n v="2023"/>
    <n v="10"/>
    <x v="8"/>
  </r>
  <r>
    <n v="315"/>
    <s v="HTBTE502"/>
    <x v="119"/>
    <s v="Hộp"/>
    <n v="362400"/>
    <n v="0"/>
    <n v="8"/>
    <n v="400000"/>
    <n v="400000"/>
    <d v="2023-10-13T00:00:00"/>
    <s v="TT Minh Phương - T.H.Trung"/>
    <s v="Khách hàng Cần chú ý"/>
    <n v="37600"/>
    <n v="9.4E-2"/>
    <n v="8"/>
    <n v="0"/>
    <n v="2023"/>
    <n v="10"/>
    <x v="8"/>
  </r>
  <r>
    <n v="317"/>
    <s v="KU50001"/>
    <x v="128"/>
    <s v="Gói"/>
    <n v="300000"/>
    <n v="0"/>
    <n v="20"/>
    <n v="540000"/>
    <n v="540000"/>
    <d v="2023-10-13T00:00:00"/>
    <s v="5 Phụng - T.Nghĩa"/>
    <s v="Khách hàng Trung thành"/>
    <n v="240000"/>
    <n v="0.44444444444444442"/>
    <n v="20"/>
    <n v="0"/>
    <n v="2023"/>
    <n v="10"/>
    <x v="3"/>
  </r>
  <r>
    <n v="318"/>
    <s v="CG50"/>
    <x v="18"/>
    <s v="Cái"/>
    <n v="82500"/>
    <n v="0"/>
    <n v="15"/>
    <n v="97500"/>
    <n v="97500"/>
    <d v="2023-10-13T00:00:00"/>
    <s v="An Nhiên - T.Nghĩa"/>
    <s v="Khách hàng Trung thành"/>
    <n v="15000"/>
    <n v="0.15384615384615391"/>
    <n v="15"/>
    <n v="0"/>
    <n v="2023"/>
    <n v="10"/>
    <x v="4"/>
  </r>
  <r>
    <n v="319"/>
    <s v="CG501"/>
    <x v="19"/>
    <s v="Cái"/>
    <n v="82500"/>
    <n v="0"/>
    <n v="15"/>
    <n v="97500"/>
    <n v="97500"/>
    <d v="2023-10-13T00:00:00"/>
    <s v="An Nhiên - T.Nghĩa"/>
    <s v="Khách hàng Trung thành"/>
    <n v="15000"/>
    <n v="0.15384615384615391"/>
    <n v="15"/>
    <n v="0"/>
    <n v="2023"/>
    <n v="10"/>
    <x v="4"/>
  </r>
  <r>
    <n v="320"/>
    <s v="HTBD12"/>
    <x v="93"/>
    <s v="Hộp"/>
    <n v="42084"/>
    <n v="0"/>
    <n v="1"/>
    <n v="48000"/>
    <n v="48000"/>
    <d v="2023-10-13T00:00:00"/>
    <s v="An Nhiên - T.Nghĩa"/>
    <s v="Khách hàng Trung thành"/>
    <n v="5916"/>
    <n v="0.12325"/>
    <n v="1"/>
    <n v="0"/>
    <n v="2023"/>
    <n v="10"/>
    <x v="8"/>
  </r>
  <r>
    <n v="321"/>
    <s v="HTBD121"/>
    <x v="94"/>
    <s v="Hộp"/>
    <n v="42084"/>
    <n v="0"/>
    <n v="1"/>
    <n v="48000"/>
    <n v="48000"/>
    <d v="2023-10-13T00:00:00"/>
    <s v="An Nhiên - T.Nghĩa"/>
    <s v="Khách hàng Trung thành"/>
    <n v="5916"/>
    <n v="0.12325"/>
    <n v="1"/>
    <n v="0"/>
    <n v="2023"/>
    <n v="10"/>
    <x v="8"/>
  </r>
  <r>
    <n v="322"/>
    <s v="HTBD12"/>
    <x v="93"/>
    <s v="Hộp"/>
    <n v="42084"/>
    <n v="0"/>
    <n v="1"/>
    <n v="48000"/>
    <n v="48000"/>
    <d v="2023-10-13T00:00:00"/>
    <s v="Ngọc Thắm - T.Nghĩa"/>
    <s v="Khách hàng Trung thành"/>
    <n v="5916"/>
    <n v="0.12325"/>
    <n v="1"/>
    <n v="0"/>
    <n v="2023"/>
    <n v="10"/>
    <x v="8"/>
  </r>
  <r>
    <n v="323"/>
    <s v="HTBD121"/>
    <x v="94"/>
    <s v="Hộp"/>
    <n v="42084"/>
    <n v="0"/>
    <n v="1"/>
    <n v="48000"/>
    <n v="48000"/>
    <d v="2023-10-13T00:00:00"/>
    <s v="Ngọc Thắm - T.Nghĩa"/>
    <s v="Khách hàng Trung thành"/>
    <n v="5916"/>
    <n v="0.12325"/>
    <n v="1"/>
    <n v="0"/>
    <n v="2023"/>
    <n v="10"/>
    <x v="8"/>
  </r>
  <r>
    <n v="324"/>
    <s v="JA500G"/>
    <x v="56"/>
    <s v="Chai"/>
    <n v="90000"/>
    <n v="2"/>
    <n v="24"/>
    <n v="168000"/>
    <n v="168000"/>
    <d v="2023-10-13T00:00:00"/>
    <s v="Ngọc Thắm - T.Nghĩa"/>
    <s v="Khách hàng Trung thành"/>
    <n v="78000"/>
    <n v="0.4642857142857143"/>
    <n v="26"/>
    <n v="7.6923076923076927E-2"/>
    <n v="2023"/>
    <n v="10"/>
    <x v="1"/>
  </r>
  <r>
    <n v="325"/>
    <s v="KTN80"/>
    <x v="116"/>
    <s v="Gói"/>
    <n v="36750"/>
    <n v="0"/>
    <n v="7"/>
    <n v="49000"/>
    <n v="49000"/>
    <d v="2023-10-13T00:00:00"/>
    <s v="Ngọc Thắm - T.Nghĩa"/>
    <s v="Khách hàng Trung thành"/>
    <n v="12250"/>
    <n v="0.25"/>
    <n v="7"/>
    <n v="0"/>
    <n v="2023"/>
    <n v="10"/>
    <x v="4"/>
  </r>
  <r>
    <n v="326"/>
    <s v="KTN801"/>
    <x v="117"/>
    <s v="Gói"/>
    <n v="36750"/>
    <n v="0"/>
    <n v="7"/>
    <n v="49000"/>
    <n v="49000"/>
    <d v="2023-10-13T00:00:00"/>
    <s v="Ngọc Thắm - T.Nghĩa"/>
    <s v="Khách hàng Trung thành"/>
    <n v="12250"/>
    <n v="0.25"/>
    <n v="7"/>
    <n v="0"/>
    <n v="2023"/>
    <n v="10"/>
    <x v="4"/>
  </r>
  <r>
    <n v="327"/>
    <s v="KTN802"/>
    <x v="98"/>
    <s v="Gói"/>
    <n v="31500"/>
    <n v="0"/>
    <n v="6"/>
    <n v="42000"/>
    <n v="42000"/>
    <d v="2023-10-13T00:00:00"/>
    <s v="Ngọc Thắm - T.Nghĩa"/>
    <s v="Khách hàng Trung thành"/>
    <n v="10500"/>
    <n v="0.25"/>
    <n v="6"/>
    <n v="0"/>
    <n v="2023"/>
    <n v="10"/>
    <x v="4"/>
  </r>
  <r>
    <n v="328"/>
    <s v="NGT2000"/>
    <x v="129"/>
    <s v="Túi"/>
    <n v="116000"/>
    <n v="0"/>
    <n v="2"/>
    <n v="150000"/>
    <n v="150000"/>
    <d v="2023-10-13T00:00:00"/>
    <s v="Ngọc Thắm - T.Nghĩa"/>
    <s v="Khách hàng Trung thành"/>
    <n v="34000"/>
    <n v="0.22666666666666671"/>
    <n v="2"/>
    <n v="0"/>
    <n v="2023"/>
    <n v="10"/>
    <x v="1"/>
  </r>
  <r>
    <n v="329"/>
    <s v="NGT2001"/>
    <x v="130"/>
    <s v="Túi"/>
    <n v="116000"/>
    <n v="0"/>
    <n v="2"/>
    <n v="150000"/>
    <n v="150000"/>
    <d v="2023-10-13T00:00:00"/>
    <s v="Ngọc Thắm - T.Nghĩa"/>
    <s v="Khách hàng Trung thành"/>
    <n v="34000"/>
    <n v="0.22666666666666671"/>
    <n v="2"/>
    <n v="0"/>
    <n v="2023"/>
    <n v="10"/>
    <x v="1"/>
  </r>
  <r>
    <n v="330"/>
    <s v="NGT2002"/>
    <x v="131"/>
    <s v="Túi"/>
    <n v="58000"/>
    <n v="0"/>
    <n v="1"/>
    <n v="75000"/>
    <n v="75000"/>
    <d v="2023-10-13T00:00:00"/>
    <s v="Ngọc Thắm - T.Nghĩa"/>
    <s v="Khách hàng Trung thành"/>
    <n v="17000"/>
    <n v="0.22666666666666671"/>
    <n v="1"/>
    <n v="0"/>
    <n v="2023"/>
    <n v="10"/>
    <x v="1"/>
  </r>
  <r>
    <n v="331"/>
    <s v="NGT2003"/>
    <x v="132"/>
    <s v="Túi"/>
    <n v="58000"/>
    <n v="0"/>
    <n v="1"/>
    <n v="75000"/>
    <n v="75000"/>
    <d v="2023-10-13T00:00:00"/>
    <s v="Ngọc Thắm - T.Nghĩa"/>
    <s v="Khách hàng Trung thành"/>
    <n v="17000"/>
    <n v="0.22666666666666671"/>
    <n v="1"/>
    <n v="0"/>
    <n v="2023"/>
    <n v="10"/>
    <x v="1"/>
  </r>
  <r>
    <n v="333"/>
    <s v="NRC400"/>
    <x v="92"/>
    <s v="Chai"/>
    <n v="190176"/>
    <n v="0"/>
    <n v="24"/>
    <n v="276000"/>
    <n v="276000"/>
    <d v="2023-10-13T00:00:00"/>
    <s v="Ngọc Thắm - T.Nghĩa"/>
    <s v="Khách hàng Trung thành"/>
    <n v="85824"/>
    <n v="0.31095652173913041"/>
    <n v="24"/>
    <n v="0"/>
    <n v="2023"/>
    <n v="10"/>
    <x v="1"/>
  </r>
  <r>
    <n v="334"/>
    <s v="NRC750"/>
    <x v="133"/>
    <s v="Chai"/>
    <n v="212384"/>
    <n v="0"/>
    <n v="16"/>
    <n v="304000"/>
    <n v="304000"/>
    <d v="2023-10-13T00:00:00"/>
    <s v="Ngọc Thắm - T.Nghĩa"/>
    <s v="Khách hàng Trung thành"/>
    <n v="91616"/>
    <n v="0.30136842105263162"/>
    <n v="16"/>
    <n v="0"/>
    <n v="2023"/>
    <n v="10"/>
    <x v="1"/>
  </r>
  <r>
    <n v="335"/>
    <s v="GC100"/>
    <x v="109"/>
    <s v="Bao"/>
    <n v="57000"/>
    <n v="0"/>
    <n v="1"/>
    <n v="75000"/>
    <n v="75000"/>
    <d v="2023-10-13T00:00:00"/>
    <s v="Thu Trang - T.Nghĩa"/>
    <s v="Khách hàng Cần chú ý"/>
    <n v="18000"/>
    <n v="0.24"/>
    <n v="1"/>
    <n v="0"/>
    <n v="2023"/>
    <n v="10"/>
    <x v="7"/>
  </r>
  <r>
    <n v="336"/>
    <s v="KV100"/>
    <x v="0"/>
    <s v="Gói"/>
    <n v="345600"/>
    <n v="4"/>
    <n v="48"/>
    <n v="536000"/>
    <n v="536000"/>
    <d v="2023-10-14T00:00:00"/>
    <s v="Chị Linh (bán bọc) - HCL"/>
    <s v="Khách hàng VIP"/>
    <n v="190400"/>
    <n v="0.35522388059701487"/>
    <n v="52"/>
    <n v="7.6923076923076927E-2"/>
    <n v="2023"/>
    <n v="10"/>
    <x v="0"/>
  </r>
  <r>
    <n v="338"/>
    <s v="KV1009"/>
    <x v="46"/>
    <s v="Gói"/>
    <n v="288000"/>
    <n v="0"/>
    <n v="48"/>
    <n v="360000"/>
    <n v="360000"/>
    <d v="2023-10-14T00:00:00"/>
    <s v="Chị Đào - T.H.Trung"/>
    <s v="Khách hàng VIP"/>
    <n v="72000"/>
    <n v="0.2"/>
    <n v="48"/>
    <n v="0"/>
    <n v="2023"/>
    <n v="10"/>
    <x v="0"/>
  </r>
  <r>
    <n v="339"/>
    <s v="GC613"/>
    <x v="134"/>
    <s v="Cây"/>
    <n v="155004"/>
    <n v="0"/>
    <n v="6"/>
    <n v="222000"/>
    <n v="222000"/>
    <d v="2023-10-14T00:00:00"/>
    <s v="Uốn tóc Kim Phụng - M.Trắng"/>
    <s v="Khách hàng Cần chú ý"/>
    <n v="66996"/>
    <n v="0.30178378378378379"/>
    <n v="6"/>
    <n v="0"/>
    <n v="2023"/>
    <n v="10"/>
    <x v="7"/>
  </r>
  <r>
    <n v="341"/>
    <s v="NG3600"/>
    <x v="2"/>
    <s v="Bình"/>
    <n v="1460000"/>
    <n v="0"/>
    <n v="16"/>
    <n v="1840000"/>
    <n v="1840000"/>
    <d v="2023-10-14T00:00:00"/>
    <s v="Bé Bắp - N.Mỹ"/>
    <s v="Khách hàng Cần chú ý"/>
    <n v="380000"/>
    <n v="0.20652173913043481"/>
    <n v="16"/>
    <n v="0"/>
    <n v="2023"/>
    <n v="10"/>
    <x v="1"/>
  </r>
  <r>
    <n v="342"/>
    <s v="NG36002"/>
    <x v="73"/>
    <s v="Bình"/>
    <n v="365000"/>
    <n v="0"/>
    <n v="4"/>
    <n v="460000"/>
    <n v="460000"/>
    <d v="2023-10-14T00:00:00"/>
    <s v="Bé Bắp - N.Mỹ"/>
    <s v="Khách hàng Cần chú ý"/>
    <n v="95000"/>
    <n v="0.20652173913043481"/>
    <n v="4"/>
    <n v="0"/>
    <n v="2023"/>
    <n v="10"/>
    <x v="1"/>
  </r>
  <r>
    <n v="343"/>
    <s v="NG36002"/>
    <x v="73"/>
    <s v="Bình"/>
    <n v="365000"/>
    <n v="2"/>
    <n v="4"/>
    <n v="520000"/>
    <n v="520000"/>
    <d v="2023-10-14T00:00:00"/>
    <s v="6 Trạng - M.Trắng"/>
    <s v="Khách hàng Cần chú ý"/>
    <n v="155000"/>
    <n v="0.29807692307692307"/>
    <n v="6"/>
    <n v="0.33333333333333331"/>
    <n v="2023"/>
    <n v="10"/>
    <x v="1"/>
  </r>
  <r>
    <n v="344"/>
    <s v="NGT2000"/>
    <x v="129"/>
    <s v="Túi"/>
    <n v="290000"/>
    <n v="1"/>
    <n v="5"/>
    <n v="375000"/>
    <n v="375000"/>
    <d v="2023-10-14T00:00:00"/>
    <s v="6 Trạng - M.Trắng"/>
    <s v="Khách hàng Cần chú ý"/>
    <n v="85000"/>
    <n v="0.22666666666666671"/>
    <n v="6"/>
    <n v="0.16666666666666671"/>
    <n v="2023"/>
    <n v="10"/>
    <x v="1"/>
  </r>
  <r>
    <n v="345"/>
    <s v="GC106"/>
    <x v="66"/>
    <s v="Cây"/>
    <n v="180000"/>
    <n v="0"/>
    <n v="10"/>
    <n v="200000"/>
    <n v="200000"/>
    <d v="2023-10-14T00:00:00"/>
    <s v="Hiệp Hòa (dì Hồng) - HCL"/>
    <s v="Khách hàng Cần chú ý"/>
    <n v="20000"/>
    <n v="0.1"/>
    <n v="10"/>
    <n v="0"/>
    <n v="2023"/>
    <n v="10"/>
    <x v="7"/>
  </r>
  <r>
    <n v="346"/>
    <s v="DCTD708"/>
    <x v="12"/>
    <s v="Vỉ"/>
    <n v="211200"/>
    <n v="1"/>
    <n v="8"/>
    <n v="256000"/>
    <n v="256000"/>
    <d v="2023-10-14T00:00:00"/>
    <s v="TH Bình Minh - M.Trắng"/>
    <s v="Khách hàng Cần chú ý"/>
    <n v="44800"/>
    <n v="0.17499999999999999"/>
    <n v="9"/>
    <n v="0.1111111111111111"/>
    <n v="2023"/>
    <n v="10"/>
    <x v="2"/>
  </r>
  <r>
    <n v="347"/>
    <s v="GC606"/>
    <x v="83"/>
    <s v="Cây"/>
    <n v="310008"/>
    <n v="0"/>
    <n v="12"/>
    <n v="444000"/>
    <n v="444000"/>
    <d v="2023-10-14T00:00:00"/>
    <s v="TH Bình Minh - M.Trắng"/>
    <s v="Khách hàng Cần chú ý"/>
    <n v="133992"/>
    <n v="0.30178378378378379"/>
    <n v="12"/>
    <n v="0"/>
    <n v="2023"/>
    <n v="10"/>
    <x v="7"/>
  </r>
  <r>
    <n v="350"/>
    <s v="KU2501"/>
    <x v="135"/>
    <s v="Gói"/>
    <n v="230000"/>
    <n v="5"/>
    <n v="20"/>
    <n v="352000"/>
    <n v="352000"/>
    <d v="2023-10-14T00:00:00"/>
    <s v="TH Bình Minh - M.Trắng"/>
    <s v="Khách hàng Cần chú ý"/>
    <n v="122000"/>
    <n v="0.34659090909090912"/>
    <n v="25"/>
    <n v="0.2"/>
    <n v="2023"/>
    <n v="10"/>
    <x v="3"/>
  </r>
  <r>
    <n v="351"/>
    <s v="LK500"/>
    <x v="136"/>
    <s v="Chai"/>
    <n v="348000"/>
    <n v="1"/>
    <n v="24"/>
    <n v="415000"/>
    <n v="415000"/>
    <d v="2023-10-14T00:00:00"/>
    <s v="TH Bình Minh - M.Trắng"/>
    <s v="Khách hàng Cần chú ý"/>
    <n v="67000"/>
    <n v="0.16144578313253011"/>
    <n v="25"/>
    <n v="0.04"/>
    <n v="2023"/>
    <n v="10"/>
    <x v="1"/>
  </r>
  <r>
    <n v="352"/>
    <s v="HTBTE30"/>
    <x v="126"/>
    <s v="Hộp"/>
    <n v="1267200"/>
    <n v="2"/>
    <n v="24"/>
    <n v="1301200"/>
    <n v="1301200"/>
    <d v="2023-10-14T00:00:00"/>
    <s v="Mẹ &amp; Bé (Hồng Nhung) - M.Long"/>
    <s v="Khách hàng Cần chú ý"/>
    <n v="34000"/>
    <n v="2.6129726406394101E-2"/>
    <n v="26"/>
    <n v="7.6923076923076927E-2"/>
    <n v="2023"/>
    <n v="10"/>
    <x v="8"/>
  </r>
  <r>
    <n v="353"/>
    <s v="HTBTE301"/>
    <x v="127"/>
    <s v="Hộp"/>
    <n v="1267200"/>
    <n v="2"/>
    <n v="24"/>
    <n v="1301200"/>
    <n v="1301200"/>
    <d v="2023-10-14T00:00:00"/>
    <s v="Mẹ &amp; Bé (Hồng Nhung) - M.Long"/>
    <s v="Khách hàng Cần chú ý"/>
    <n v="34000"/>
    <n v="2.6129726406394101E-2"/>
    <n v="26"/>
    <n v="7.6923076923076927E-2"/>
    <n v="2023"/>
    <n v="10"/>
    <x v="8"/>
  </r>
  <r>
    <n v="354"/>
    <s v="HTBTE50"/>
    <x v="114"/>
    <s v="Hộp"/>
    <n v="2174400"/>
    <n v="8"/>
    <n v="48"/>
    <n v="2008000"/>
    <n v="2008000"/>
    <d v="2023-10-14T00:00:00"/>
    <s v="Mẹ &amp; Bé (Hồng Nhung) - M.Long"/>
    <s v="Khách hàng Cần chú ý"/>
    <n v="-166400"/>
    <n v="-8.2868525896414344E-2"/>
    <n v="56"/>
    <n v="0.14285714285714279"/>
    <n v="2023"/>
    <n v="10"/>
    <x v="8"/>
  </r>
  <r>
    <n v="355"/>
    <s v="HTBTE501"/>
    <x v="118"/>
    <s v="Hộp"/>
    <n v="2174400"/>
    <n v="8"/>
    <n v="48"/>
    <n v="2008000"/>
    <n v="2008000"/>
    <d v="2023-10-14T00:00:00"/>
    <s v="Mẹ &amp; Bé (Hồng Nhung) - M.Long"/>
    <s v="Khách hàng Cần chú ý"/>
    <n v="-166400"/>
    <n v="-8.2868525896414344E-2"/>
    <n v="56"/>
    <n v="0.14285714285714279"/>
    <n v="2023"/>
    <n v="10"/>
    <x v="8"/>
  </r>
  <r>
    <n v="356"/>
    <s v="HTBTE502"/>
    <x v="119"/>
    <s v="Hộp"/>
    <n v="2174400"/>
    <n v="8"/>
    <n v="48"/>
    <n v="2008000"/>
    <n v="2008000"/>
    <d v="2023-10-14T00:00:00"/>
    <s v="Mẹ &amp; Bé (Hồng Nhung) - M.Long"/>
    <s v="Khách hàng Cần chú ý"/>
    <n v="-166400"/>
    <n v="-8.2868525896414344E-2"/>
    <n v="56"/>
    <n v="0.14285714285714279"/>
    <n v="2023"/>
    <n v="10"/>
    <x v="8"/>
  </r>
  <r>
    <n v="359"/>
    <s v="NV103"/>
    <x v="137"/>
    <s v="Hộp"/>
    <n v="240000"/>
    <n v="0"/>
    <n v="1"/>
    <n v="240000"/>
    <n v="240000"/>
    <d v="2023-10-14T00:00:00"/>
    <s v="Thế Giới Con Cưng - HCL"/>
    <s v="Khách hàng Trung thành"/>
    <n v="0"/>
    <n v="0"/>
    <n v="1"/>
    <n v="0"/>
    <n v="2023"/>
    <n v="10"/>
    <x v="6"/>
  </r>
  <r>
    <n v="360"/>
    <s v="TNS1"/>
    <x v="24"/>
    <s v="Chai"/>
    <n v="190008"/>
    <n v="0"/>
    <n v="12"/>
    <n v="312000"/>
    <n v="312000"/>
    <d v="2023-10-14T00:00:00"/>
    <s v="9 Tiến - M.Trắng"/>
    <s v="Khách hàng Cần chú ý"/>
    <n v="121992"/>
    <n v="0.39100000000000001"/>
    <n v="12"/>
    <n v="0"/>
    <n v="2023"/>
    <n v="10"/>
    <x v="1"/>
  </r>
  <r>
    <n v="361"/>
    <s v="GC101"/>
    <x v="138"/>
    <s v="Cây"/>
    <n v="110000"/>
    <n v="0"/>
    <n v="10"/>
    <n v="170000"/>
    <n v="170000"/>
    <d v="2023-10-14T00:00:00"/>
    <s v="4 Xinh - M.Trắng"/>
    <s v="Khách hàng Cần chú ý"/>
    <n v="60000"/>
    <n v="0.35294117647058831"/>
    <n v="10"/>
    <n v="0"/>
    <n v="2023"/>
    <n v="10"/>
    <x v="7"/>
  </r>
  <r>
    <n v="362"/>
    <s v="GC606"/>
    <x v="83"/>
    <s v="Cây"/>
    <n v="310008"/>
    <n v="0"/>
    <n v="12"/>
    <n v="384000"/>
    <n v="384000"/>
    <d v="2023-10-14T00:00:00"/>
    <s v="4 Xinh - M.Trắng"/>
    <s v="Khách hàng Cần chú ý"/>
    <n v="73992"/>
    <n v="0.19268750000000001"/>
    <n v="12"/>
    <n v="0"/>
    <n v="2023"/>
    <n v="10"/>
    <x v="7"/>
  </r>
  <r>
    <n v="363"/>
    <s v="KV320"/>
    <x v="8"/>
    <s v="Gói"/>
    <n v="528000"/>
    <n v="0"/>
    <n v="48"/>
    <n v="480000"/>
    <n v="480000"/>
    <d v="2023-10-14T00:00:00"/>
    <s v="4 Xinh - M.Trắng"/>
    <s v="Khách hàng Cần chú ý"/>
    <n v="-48000"/>
    <n v="-0.1"/>
    <n v="48"/>
    <n v="0"/>
    <n v="2023"/>
    <n v="10"/>
    <x v="0"/>
  </r>
  <r>
    <n v="364"/>
    <s v="BCTENEKO1"/>
    <x v="139"/>
    <s v="Cây"/>
    <n v="500000"/>
    <n v="4"/>
    <n v="10"/>
    <n v="358000"/>
    <n v="358000"/>
    <d v="2023-10-14T00:00:00"/>
    <s v="Mẹ &amp; Bé ( Mẹ Yêu Con) - M.Hiệp"/>
    <s v="Khách hàng Cần chú ý"/>
    <n v="-142000"/>
    <n v="-0.39664804469273751"/>
    <n v="14"/>
    <n v="0.2857142857142857"/>
    <n v="2023"/>
    <n v="10"/>
    <x v="2"/>
  </r>
  <r>
    <n v="365"/>
    <s v="XM6007"/>
    <x v="69"/>
    <s v="Chai"/>
    <n v="540000"/>
    <n v="0"/>
    <n v="30"/>
    <n v="630000"/>
    <n v="630000"/>
    <d v="2023-10-14T00:00:00"/>
    <s v="Tuấn Kiệt - M.Long"/>
    <s v="Khách hàng VIP"/>
    <n v="90000"/>
    <n v="0.14285714285714279"/>
    <n v="30"/>
    <n v="0"/>
    <n v="2023"/>
    <n v="10"/>
    <x v="1"/>
  </r>
  <r>
    <n v="366"/>
    <s v="HM610"/>
    <x v="37"/>
    <s v="Hộp"/>
    <n v="600000"/>
    <n v="6"/>
    <n v="6"/>
    <n v="654000"/>
    <n v="654000"/>
    <d v="2023-10-14T00:00:00"/>
    <s v="TH Ngân (chị Ngân) - T.H.Trung"/>
    <s v="Khách hàng Trung thành"/>
    <n v="54000"/>
    <n v="8.2568807339449546E-2"/>
    <n v="12"/>
    <n v="0.5"/>
    <n v="2023"/>
    <n v="10"/>
    <x v="7"/>
  </r>
  <r>
    <n v="367"/>
    <s v="HM608"/>
    <x v="36"/>
    <s v="Hộp"/>
    <n v="400000"/>
    <n v="0"/>
    <n v="4"/>
    <n v="540000"/>
    <n v="540000"/>
    <d v="2023-10-17T00:00:00"/>
    <s v="TH Trương Vy - A.Bình 2"/>
    <s v="Khách hàng Cần chú ý"/>
    <n v="140000"/>
    <n v="0.25925925925925919"/>
    <n v="4"/>
    <n v="0"/>
    <n v="2023"/>
    <n v="10"/>
    <x v="7"/>
  </r>
  <r>
    <n v="368"/>
    <s v="KV1002"/>
    <x v="3"/>
    <s v="Gói"/>
    <n v="1296000"/>
    <n v="0"/>
    <n v="180"/>
    <n v="1692000"/>
    <n v="1692000"/>
    <d v="2023-10-20T00:00:00"/>
    <s v="Căn tin BV Phổi( Chị Duyên) - BV phổi"/>
    <s v="Khách hàng VIP"/>
    <n v="396000"/>
    <n v="0.23404255319148939"/>
    <n v="180"/>
    <n v="0"/>
    <n v="2023"/>
    <n v="10"/>
    <x v="0"/>
  </r>
  <r>
    <n v="369"/>
    <s v="GC10"/>
    <x v="140"/>
    <s v="Dây"/>
    <n v="130000"/>
    <n v="0"/>
    <n v="5"/>
    <n v="120000"/>
    <n v="120000"/>
    <d v="2023-10-20T00:00:00"/>
    <s v="MP Út Tuyền - B.Sao"/>
    <s v="Khách hàng Trung thành"/>
    <n v="-10000"/>
    <n v="-8.3333333333333329E-2"/>
    <n v="5"/>
    <n v="0"/>
    <n v="2023"/>
    <n v="10"/>
    <x v="7"/>
  </r>
  <r>
    <n v="370"/>
    <s v="GC1023"/>
    <x v="141"/>
    <s v="Dây"/>
    <n v="122500"/>
    <n v="0"/>
    <n v="5"/>
    <n v="120000"/>
    <n v="120000"/>
    <d v="2023-10-20T00:00:00"/>
    <s v="MP Út Tuyền - B.Sao"/>
    <s v="Khách hàng Trung thành"/>
    <n v="-2500"/>
    <n v="-2.0833333333333329E-2"/>
    <n v="5"/>
    <n v="0"/>
    <n v="2023"/>
    <n v="10"/>
    <x v="7"/>
  </r>
  <r>
    <n v="371"/>
    <s v="GC603"/>
    <x v="74"/>
    <s v="Cây"/>
    <n v="150000"/>
    <n v="0"/>
    <n v="6"/>
    <n v="222000"/>
    <n v="222000"/>
    <d v="2023-10-20T00:00:00"/>
    <s v="MP Út Tuyền - B.Sao"/>
    <s v="Khách hàng Trung thành"/>
    <n v="72000"/>
    <n v="0.32432432432432429"/>
    <n v="6"/>
    <n v="0"/>
    <n v="2023"/>
    <n v="10"/>
    <x v="7"/>
  </r>
  <r>
    <n v="372"/>
    <s v="GC606"/>
    <x v="83"/>
    <s v="Cây"/>
    <n v="155004"/>
    <n v="1"/>
    <n v="6"/>
    <n v="191000"/>
    <n v="191000"/>
    <d v="2023-10-20T00:00:00"/>
    <s v="MP Út Tuyền - B.Sao"/>
    <s v="Khách hàng Trung thành"/>
    <n v="35996"/>
    <n v="0.18846073298429319"/>
    <n v="7"/>
    <n v="0.14285714285714279"/>
    <n v="2023"/>
    <n v="10"/>
    <x v="7"/>
  </r>
  <r>
    <n v="373"/>
    <s v="KU250"/>
    <x v="13"/>
    <s v="Gói"/>
    <n v="231000"/>
    <n v="0"/>
    <n v="30"/>
    <n v="300000"/>
    <n v="300000"/>
    <d v="2023-10-20T00:00:00"/>
    <s v="MP Út Tuyền - B.Sao"/>
    <s v="Khách hàng Trung thành"/>
    <n v="69000"/>
    <n v="0.23"/>
    <n v="30"/>
    <n v="0"/>
    <n v="2023"/>
    <n v="10"/>
    <x v="3"/>
  </r>
  <r>
    <n v="374"/>
    <s v="KU801"/>
    <x v="38"/>
    <s v="Gói"/>
    <n v="120000"/>
    <n v="0"/>
    <n v="30"/>
    <n v="180000"/>
    <n v="180000"/>
    <d v="2023-10-21T00:00:00"/>
    <s v="Cô Triết - T.H.Trung"/>
    <s v="Khách hàng Cần chú ý"/>
    <n v="60000"/>
    <n v="0.33333333333333331"/>
    <n v="30"/>
    <n v="0"/>
    <n v="2023"/>
    <n v="10"/>
    <x v="3"/>
  </r>
  <r>
    <n v="375"/>
    <s v="KV100"/>
    <x v="0"/>
    <s v="Gói"/>
    <n v="172800"/>
    <n v="0"/>
    <n v="24"/>
    <n v="288000"/>
    <n v="288000"/>
    <d v="2023-10-21T00:00:00"/>
    <s v="Cô Triết - T.H.Trung"/>
    <s v="Khách hàng Cần chú ý"/>
    <n v="115200"/>
    <n v="0.4"/>
    <n v="24"/>
    <n v="0"/>
    <n v="2023"/>
    <n v="10"/>
    <x v="0"/>
  </r>
  <r>
    <n v="377"/>
    <s v="GC600"/>
    <x v="142"/>
    <s v="Cuộn"/>
    <n v="210000"/>
    <n v="0"/>
    <n v="10"/>
    <n v="320000"/>
    <n v="320000"/>
    <d v="2023-10-21T00:00:00"/>
    <s v="Tuyết Lan - B.H.Tây"/>
    <s v="Khách hàng Cần chú ý"/>
    <n v="110000"/>
    <n v="0.34375"/>
    <n v="10"/>
    <n v="0"/>
    <n v="2023"/>
    <n v="10"/>
    <x v="7"/>
  </r>
  <r>
    <n v="378"/>
    <s v="NRC38001"/>
    <x v="106"/>
    <s v="Bình"/>
    <n v="0"/>
    <n v="0"/>
    <n v="0"/>
    <n v="-180000"/>
    <n v="-180000"/>
    <d v="2023-10-21T00:00:00"/>
    <s v="Tuyết Lan - B.H.Tây"/>
    <s v="Khách hàng Cần chú ý"/>
    <n v="-180000"/>
    <n v="1"/>
    <n v="0"/>
    <n v="0"/>
    <n v="2023"/>
    <n v="10"/>
    <x v="1"/>
  </r>
  <r>
    <n v="379"/>
    <s v="KTN2001"/>
    <x v="143"/>
    <s v="Gói"/>
    <n v="61000"/>
    <n v="0"/>
    <n v="5"/>
    <n v="65000"/>
    <n v="65000"/>
    <d v="2023-10-21T00:00:00"/>
    <s v="TT Kim Thoa - M.Long"/>
    <s v="Khách hàng Trung thành"/>
    <n v="4000"/>
    <n v="6.1538461538461542E-2"/>
    <n v="5"/>
    <n v="0"/>
    <n v="2023"/>
    <n v="10"/>
    <x v="4"/>
  </r>
  <r>
    <n v="380"/>
    <s v="KTN2002"/>
    <x v="144"/>
    <s v="Gói"/>
    <n v="73200"/>
    <n v="0"/>
    <n v="6"/>
    <n v="78000"/>
    <n v="78000"/>
    <d v="2023-10-21T00:00:00"/>
    <s v="TT Kim Thoa - M.Long"/>
    <s v="Khách hàng Trung thành"/>
    <n v="4800"/>
    <n v="6.1538461538461542E-2"/>
    <n v="6"/>
    <n v="0"/>
    <n v="2023"/>
    <n v="10"/>
    <x v="4"/>
  </r>
  <r>
    <n v="381"/>
    <s v="KTN2003"/>
    <x v="145"/>
    <s v="Gói"/>
    <n v="61000"/>
    <n v="0"/>
    <n v="5"/>
    <n v="65000"/>
    <n v="65000"/>
    <d v="2023-10-21T00:00:00"/>
    <s v="TT Kim Thoa - M.Long"/>
    <s v="Khách hàng Trung thành"/>
    <n v="4000"/>
    <n v="6.1538461538461542E-2"/>
    <n v="5"/>
    <n v="0"/>
    <n v="2023"/>
    <n v="10"/>
    <x v="4"/>
  </r>
  <r>
    <n v="382"/>
    <s v="KTN2004"/>
    <x v="146"/>
    <s v="Gói"/>
    <n v="61000"/>
    <n v="0"/>
    <n v="5"/>
    <n v="65000"/>
    <n v="65000"/>
    <d v="2023-10-21T00:00:00"/>
    <s v="TT Kim Thoa - M.Long"/>
    <s v="Khách hàng Trung thành"/>
    <n v="4000"/>
    <n v="6.1538461538461542E-2"/>
    <n v="5"/>
    <n v="0"/>
    <n v="2023"/>
    <n v="10"/>
    <x v="4"/>
  </r>
  <r>
    <n v="383"/>
    <s v="A1K15"/>
    <x v="9"/>
    <s v="Hộp"/>
    <n v="362268"/>
    <n v="0"/>
    <n v="6"/>
    <n v="312000"/>
    <n v="312000"/>
    <d v="2023-10-21T00:00:00"/>
    <s v="TT Ngọc Trinh - B.H.Trung"/>
    <s v="Khách hàng Trung thành"/>
    <n v="-50268"/>
    <n v="-0.1611153846153846"/>
    <n v="6"/>
    <n v="0"/>
    <n v="2023"/>
    <n v="10"/>
    <x v="4"/>
  </r>
  <r>
    <n v="384"/>
    <s v="KV100"/>
    <x v="0"/>
    <s v="Gói"/>
    <n v="345600"/>
    <n v="0"/>
    <n v="48"/>
    <n v="518400"/>
    <n v="518400"/>
    <d v="2023-10-21T00:00:00"/>
    <s v="Xuân Bình - M.Hiệp"/>
    <s v="Khách hàng VIP"/>
    <n v="172800"/>
    <n v="0.33333333333333331"/>
    <n v="48"/>
    <n v="0"/>
    <n v="2023"/>
    <n v="10"/>
    <x v="0"/>
  </r>
  <r>
    <n v="385"/>
    <s v="KV320"/>
    <x v="8"/>
    <s v="Gói"/>
    <n v="1056000"/>
    <n v="0"/>
    <n v="96"/>
    <n v="960000"/>
    <n v="960000"/>
    <d v="2023-10-21T00:00:00"/>
    <s v="Xuân Bình - M.Hiệp"/>
    <s v="Khách hàng VIP"/>
    <n v="-96000"/>
    <n v="-0.1"/>
    <n v="96"/>
    <n v="0"/>
    <n v="2023"/>
    <n v="10"/>
    <x v="0"/>
  </r>
  <r>
    <n v="386"/>
    <s v="TLM"/>
    <x v="1"/>
    <s v="Chai"/>
    <n v="320016"/>
    <n v="0"/>
    <n v="24"/>
    <n v="440016"/>
    <n v="440016"/>
    <d v="2023-10-21T00:00:00"/>
    <s v="Xuân Bình - M.Hiệp"/>
    <s v="Khách hàng VIP"/>
    <n v="120000"/>
    <n v="0.27271735573251882"/>
    <n v="24"/>
    <n v="0"/>
    <n v="2023"/>
    <n v="10"/>
    <x v="1"/>
  </r>
  <r>
    <n v="387"/>
    <s v="KU801"/>
    <x v="38"/>
    <s v="Gói"/>
    <n v="200000"/>
    <n v="0"/>
    <n v="50"/>
    <n v="300000"/>
    <n v="300000"/>
    <d v="2023-10-21T00:00:00"/>
    <s v="TT Đông Nguyên - M.Long"/>
    <s v="Khách hàng VIP"/>
    <n v="100000"/>
    <n v="0.33333333333333331"/>
    <n v="50"/>
    <n v="0"/>
    <n v="2023"/>
    <n v="10"/>
    <x v="3"/>
  </r>
  <r>
    <n v="389"/>
    <s v="HM608"/>
    <x v="36"/>
    <s v="Hộp"/>
    <n v="300000"/>
    <n v="0"/>
    <n v="3"/>
    <n v="654000"/>
    <n v="654000"/>
    <d v="2023-10-21T00:00:00"/>
    <s v="TT Nguyễn Thị Định - M.Xương"/>
    <s v="Khách hàng Trung thành"/>
    <n v="354000"/>
    <n v="0.54128440366972475"/>
    <n v="3"/>
    <n v="0"/>
    <n v="2023"/>
    <n v="10"/>
    <x v="7"/>
  </r>
  <r>
    <n v="390"/>
    <s v="KV1001"/>
    <x v="62"/>
    <s v="Gói"/>
    <n v="225000"/>
    <n v="8"/>
    <n v="30"/>
    <n v="261000"/>
    <n v="261000"/>
    <d v="2023-10-21T00:00:00"/>
    <s v="TT Nguyễn Thị Định - M.Xương"/>
    <s v="Khách hàng Trung thành"/>
    <n v="36000"/>
    <n v="0.13793103448275859"/>
    <n v="38"/>
    <n v="0.2105263157894737"/>
    <n v="2023"/>
    <n v="10"/>
    <x v="0"/>
  </r>
  <r>
    <n v="392"/>
    <s v="NG36002"/>
    <x v="73"/>
    <s v="Bình"/>
    <n v="182500"/>
    <n v="0"/>
    <n v="2"/>
    <n v="390000"/>
    <n v="390000"/>
    <d v="2023-10-21T00:00:00"/>
    <s v="TT Nguyễn Thị Định - M.Xương"/>
    <s v="Khách hàng Trung thành"/>
    <n v="207500"/>
    <n v="0.53205128205128205"/>
    <n v="2"/>
    <n v="0"/>
    <n v="2023"/>
    <n v="10"/>
    <x v="1"/>
  </r>
  <r>
    <n v="393"/>
    <s v="KDR002"/>
    <x v="147"/>
    <s v="Hộp"/>
    <n v="79998"/>
    <n v="1"/>
    <n v="6"/>
    <n v="83000"/>
    <n v="83000"/>
    <d v="2023-10-21T00:00:00"/>
    <s v="TT Kim Dung - M.Hiệp"/>
    <s v="Khách hàng VIP"/>
    <n v="3002"/>
    <n v="3.6168674698795179E-2"/>
    <n v="7"/>
    <n v="0.14285714285714279"/>
    <n v="2023"/>
    <n v="10"/>
    <x v="2"/>
  </r>
  <r>
    <n v="394"/>
    <s v="KDR003"/>
    <x v="148"/>
    <s v="Hộp"/>
    <n v="79998"/>
    <n v="1"/>
    <n v="6"/>
    <n v="83000"/>
    <n v="83000"/>
    <d v="2023-10-21T00:00:00"/>
    <s v="TT Kim Dung - M.Hiệp"/>
    <s v="Khách hàng VIP"/>
    <n v="3002"/>
    <n v="3.6168674698795179E-2"/>
    <n v="7"/>
    <n v="0.14285714285714279"/>
    <n v="2023"/>
    <n v="10"/>
    <x v="2"/>
  </r>
  <r>
    <n v="395"/>
    <s v="KV1002"/>
    <x v="3"/>
    <s v="Gói"/>
    <n v="216000"/>
    <n v="3"/>
    <n v="30"/>
    <n v="300000"/>
    <n v="300000"/>
    <d v="2023-10-21T00:00:00"/>
    <s v="TT Kim Dung - M.Hiệp"/>
    <s v="Khách hàng VIP"/>
    <n v="84000"/>
    <n v="0.28000000000000003"/>
    <n v="33"/>
    <n v="9.0909090909090912E-2"/>
    <n v="2023"/>
    <n v="10"/>
    <x v="0"/>
  </r>
  <r>
    <n v="396"/>
    <s v="KV501"/>
    <x v="149"/>
    <s v="Gói"/>
    <n v="37585"/>
    <n v="0"/>
    <n v="5"/>
    <n v="30000"/>
    <n v="30000"/>
    <d v="2023-10-21T00:00:00"/>
    <s v="TT Kim Dung - M.Hiệp"/>
    <s v="Khách hàng VIP"/>
    <n v="-7585"/>
    <n v="-0.25283333333333341"/>
    <n v="5"/>
    <n v="0"/>
    <n v="2023"/>
    <n v="10"/>
    <x v="0"/>
  </r>
  <r>
    <n v="397"/>
    <s v="KVK300"/>
    <x v="150"/>
    <s v="Gói"/>
    <n v="115000"/>
    <n v="0"/>
    <n v="5"/>
    <n v="165000"/>
    <n v="165000"/>
    <d v="2023-10-21T00:00:00"/>
    <s v="TT Kim Dung - M.Hiệp"/>
    <s v="Khách hàng VIP"/>
    <n v="50000"/>
    <n v="0.30303030303030298"/>
    <n v="5"/>
    <n v="0"/>
    <n v="2023"/>
    <n v="10"/>
    <x v="0"/>
  </r>
  <r>
    <n v="398"/>
    <s v="GC10"/>
    <x v="140"/>
    <s v="Dây"/>
    <n v="260000"/>
    <n v="0"/>
    <n v="10"/>
    <n v="250000"/>
    <n v="250000"/>
    <d v="2023-10-21T00:00:00"/>
    <s v="Tuyết Lài ( Chị Lài) - B.H.Trung"/>
    <s v="Khách hàng Cần chú ý"/>
    <n v="-10000"/>
    <n v="-0.04"/>
    <n v="10"/>
    <n v="0"/>
    <n v="2023"/>
    <n v="10"/>
    <x v="7"/>
  </r>
  <r>
    <n v="399"/>
    <s v="HM608"/>
    <x v="36"/>
    <s v="Hộp"/>
    <n v="200000"/>
    <n v="0"/>
    <n v="2"/>
    <n v="260000"/>
    <n v="260000"/>
    <d v="2023-10-21T00:00:00"/>
    <s v="Tuyết Lài ( Chị Lài) - B.H.Trung"/>
    <s v="Khách hàng Cần chú ý"/>
    <n v="60000"/>
    <n v="0.23076923076923081"/>
    <n v="2"/>
    <n v="0"/>
    <n v="2023"/>
    <n v="10"/>
    <x v="7"/>
  </r>
  <r>
    <n v="400"/>
    <s v="KV1001"/>
    <x v="62"/>
    <s v="Gói"/>
    <n v="225000"/>
    <n v="0"/>
    <n v="30"/>
    <n v="330000"/>
    <n v="330000"/>
    <d v="2023-10-21T00:00:00"/>
    <s v="Tuyết Lài ( Chị Lài) - B.H.Trung"/>
    <s v="Khách hàng Cần chú ý"/>
    <n v="105000"/>
    <n v="0.31818181818181818"/>
    <n v="30"/>
    <n v="0"/>
    <n v="2023"/>
    <n v="10"/>
    <x v="0"/>
  </r>
  <r>
    <n v="402"/>
    <s v="TNS1"/>
    <x v="24"/>
    <s v="Chai"/>
    <n v="190008"/>
    <n v="0"/>
    <n v="12"/>
    <n v="312000"/>
    <n v="312000"/>
    <d v="2023-10-21T00:00:00"/>
    <s v="Tuyết Lài ( Chị Lài) - B.H.Trung"/>
    <s v="Khách hàng Cần chú ý"/>
    <n v="121992"/>
    <n v="0.39100000000000001"/>
    <n v="12"/>
    <n v="0"/>
    <n v="2023"/>
    <n v="10"/>
    <x v="1"/>
  </r>
  <r>
    <n v="404"/>
    <s v="HTBTE501"/>
    <x v="118"/>
    <s v="Hộp"/>
    <n v="317100"/>
    <n v="0"/>
    <n v="7"/>
    <n v="343000"/>
    <n v="343000"/>
    <d v="2023-10-21T00:00:00"/>
    <s v="Mẹ &amp; Bé ( Mẹ Yêu Con) - M.Hiệp"/>
    <s v="Khách hàng Cần chú ý"/>
    <n v="25900"/>
    <n v="7.5510204081632656E-2"/>
    <n v="7"/>
    <n v="0"/>
    <n v="2023"/>
    <n v="10"/>
    <x v="8"/>
  </r>
  <r>
    <n v="405"/>
    <s v="HTBTE502"/>
    <x v="119"/>
    <s v="Hộp"/>
    <n v="634200"/>
    <n v="0"/>
    <n v="14"/>
    <n v="686000"/>
    <n v="686000"/>
    <d v="2023-10-21T00:00:00"/>
    <s v="Mẹ &amp; Bé ( Mẹ Yêu Con) - M.Hiệp"/>
    <s v="Khách hàng Cần chú ý"/>
    <n v="51800"/>
    <n v="7.5510204081632656E-2"/>
    <n v="14"/>
    <n v="0"/>
    <n v="2023"/>
    <n v="10"/>
    <x v="8"/>
  </r>
  <r>
    <n v="406"/>
    <s v="BG3500"/>
    <x v="151"/>
    <s v="Gói"/>
    <n v="331520"/>
    <n v="0"/>
    <n v="4"/>
    <n v="408000"/>
    <n v="408000"/>
    <d v="2023-10-21T00:00:00"/>
    <s v="Tuấn Kiệt - M.Long"/>
    <s v="Khách hàng VIP"/>
    <n v="76480"/>
    <n v="0.18745098039215691"/>
    <n v="4"/>
    <n v="0"/>
    <n v="2023"/>
    <n v="10"/>
    <x v="1"/>
  </r>
  <r>
    <n v="407"/>
    <s v="KU203"/>
    <x v="152"/>
    <s v="Gói"/>
    <n v="50000"/>
    <n v="0"/>
    <n v="20"/>
    <n v="80000"/>
    <n v="80000"/>
    <d v="2023-10-21T00:00:00"/>
    <s v="Tuấn Kiệt - M.Long"/>
    <s v="Khách hàng VIP"/>
    <n v="30000"/>
    <n v="0.375"/>
    <n v="20"/>
    <n v="0"/>
    <n v="2023"/>
    <n v="10"/>
    <x v="3"/>
  </r>
  <r>
    <n v="408"/>
    <s v="HM610"/>
    <x v="37"/>
    <s v="Hộp"/>
    <n v="600000"/>
    <n v="6"/>
    <n v="6"/>
    <n v="654000"/>
    <n v="654000"/>
    <d v="2023-10-21T00:00:00"/>
    <s v="TH Ngân (chị Ngân) - T.H.Trung"/>
    <s v="Khách hàng Trung thành"/>
    <n v="54000"/>
    <n v="8.2568807339449546E-2"/>
    <n v="12"/>
    <n v="0.5"/>
    <n v="2023"/>
    <n v="10"/>
    <x v="7"/>
  </r>
  <r>
    <n v="409"/>
    <s v="KV1009"/>
    <x v="46"/>
    <s v="Gói"/>
    <n v="288000"/>
    <n v="0"/>
    <n v="48"/>
    <n v="360000"/>
    <n v="360000"/>
    <d v="2023-10-21T00:00:00"/>
    <s v="Chị Tuyết - HCL (N.Mỹ)"/>
    <s v="Khách hàng Trung thành"/>
    <n v="72000"/>
    <n v="0.2"/>
    <n v="48"/>
    <n v="0"/>
    <n v="2023"/>
    <n v="10"/>
    <x v="0"/>
  </r>
  <r>
    <n v="410"/>
    <s v="KV1011"/>
    <x v="16"/>
    <s v="Gói"/>
    <n v="200010"/>
    <n v="0"/>
    <n v="30"/>
    <n v="225000"/>
    <n v="225000"/>
    <d v="2023-10-21T00:00:00"/>
    <s v="Chị Tuyết - HCL (N.Mỹ)"/>
    <s v="Khách hàng Trung thành"/>
    <n v="24990"/>
    <n v="0.1110666666666667"/>
    <n v="30"/>
    <n v="0"/>
    <n v="2023"/>
    <n v="10"/>
    <x v="0"/>
  </r>
  <r>
    <n v="412"/>
    <s v="HM608"/>
    <x v="36"/>
    <s v="Hộp"/>
    <n v="300000"/>
    <n v="0"/>
    <n v="3"/>
    <n v="654000"/>
    <n v="654000"/>
    <d v="2023-10-21T00:00:00"/>
    <s v="Cô 7 - X.Quýt"/>
    <s v="Khách hàng Cần chú ý"/>
    <n v="354000"/>
    <n v="0.54128440366972475"/>
    <n v="3"/>
    <n v="0"/>
    <n v="2023"/>
    <n v="10"/>
    <x v="7"/>
  </r>
  <r>
    <n v="414"/>
    <s v="BT002"/>
    <x v="153"/>
    <s v="Cái"/>
    <n v="693000"/>
    <n v="5"/>
    <n v="44"/>
    <n v="792000"/>
    <n v="792000"/>
    <d v="2023-10-26T00:00:00"/>
    <s v="Thông Thảo - P.Mỹ (QL30)"/>
    <s v="Khách hàng VIP"/>
    <n v="99000"/>
    <n v="0.125"/>
    <n v="49"/>
    <n v="0.1020408163265306"/>
    <n v="2023"/>
    <n v="10"/>
    <x v="5"/>
  </r>
  <r>
    <n v="415"/>
    <s v="NV102"/>
    <x v="154"/>
    <s v="Hộp"/>
    <n v="240000"/>
    <n v="0"/>
    <n v="1"/>
    <n v="250000"/>
    <n v="250000"/>
    <d v="2023-10-26T00:00:00"/>
    <s v="Hồng Hạnh - P.Mỹ (cầu Trâu Trắng)"/>
    <s v="Khách hàng Cần chú ý"/>
    <n v="10000"/>
    <n v="0.04"/>
    <n v="1"/>
    <n v="0"/>
    <n v="2023"/>
    <n v="10"/>
    <x v="6"/>
  </r>
  <r>
    <n v="416"/>
    <s v="TNS1"/>
    <x v="24"/>
    <s v="Chai"/>
    <n v="950040"/>
    <n v="12"/>
    <n v="60"/>
    <n v="1325000"/>
    <n v="1325000"/>
    <d v="2023-10-26T00:00:00"/>
    <s v="Hồng Hạnh - P.Mỹ (cầu Trâu Trắng)"/>
    <s v="Khách hàng Cần chú ý"/>
    <n v="374960"/>
    <n v="0.28298867924528298"/>
    <n v="72"/>
    <n v="0.16666666666666671"/>
    <n v="2023"/>
    <n v="10"/>
    <x v="1"/>
  </r>
  <r>
    <n v="417"/>
    <s v="CG50"/>
    <x v="18"/>
    <s v="Cái"/>
    <n v="55000"/>
    <n v="0"/>
    <n v="10"/>
    <n v="60000"/>
    <n v="60000"/>
    <d v="2023-10-26T00:00:00"/>
    <s v="Lê Đà - Ngã 4"/>
    <s v="Khách hàng Cần chú ý"/>
    <n v="5000"/>
    <n v="8.3333333333333329E-2"/>
    <n v="10"/>
    <n v="0"/>
    <n v="2023"/>
    <n v="10"/>
    <x v="4"/>
  </r>
  <r>
    <n v="418"/>
    <s v="CG501"/>
    <x v="19"/>
    <s v="Cái"/>
    <n v="110000"/>
    <n v="0"/>
    <n v="20"/>
    <n v="120000"/>
    <n v="120000"/>
    <d v="2023-10-26T00:00:00"/>
    <s v="Lê Đà - Ngã 4"/>
    <s v="Khách hàng Cần chú ý"/>
    <n v="10000"/>
    <n v="8.3333333333333329E-2"/>
    <n v="20"/>
    <n v="0"/>
    <n v="2023"/>
    <n v="10"/>
    <x v="4"/>
  </r>
  <r>
    <n v="419"/>
    <s v="KTN802"/>
    <x v="98"/>
    <s v="Gói"/>
    <n v="52500"/>
    <n v="0"/>
    <n v="10"/>
    <n v="70000"/>
    <n v="70000"/>
    <d v="2023-10-26T00:00:00"/>
    <s v="Lê Đà - Ngã 4"/>
    <s v="Khách hàng Cần chú ý"/>
    <n v="17500"/>
    <n v="0.25"/>
    <n v="10"/>
    <n v="0"/>
    <n v="2023"/>
    <n v="10"/>
    <x v="4"/>
  </r>
  <r>
    <n v="420"/>
    <s v="CG50"/>
    <x v="18"/>
    <s v="Cái"/>
    <n v="165000"/>
    <n v="0"/>
    <n v="30"/>
    <n v="180000"/>
    <n v="180000"/>
    <d v="2023-10-26T00:00:00"/>
    <s v="Thanh Tâm - Ngã 4"/>
    <s v="Khách hàng Trung thành"/>
    <n v="15000"/>
    <n v="8.3333333333333329E-2"/>
    <n v="30"/>
    <n v="0"/>
    <n v="2023"/>
    <n v="10"/>
    <x v="4"/>
  </r>
  <r>
    <n v="421"/>
    <s v="CG501"/>
    <x v="19"/>
    <s v="Cái"/>
    <n v="165000"/>
    <n v="0"/>
    <n v="30"/>
    <n v="180000"/>
    <n v="180000"/>
    <d v="2023-10-26T00:00:00"/>
    <s v="Thanh Tâm - Ngã 4"/>
    <s v="Khách hàng Trung thành"/>
    <n v="15000"/>
    <n v="8.3333333333333329E-2"/>
    <n v="30"/>
    <n v="0"/>
    <n v="2023"/>
    <n v="10"/>
    <x v="4"/>
  </r>
  <r>
    <n v="422"/>
    <s v="KU250"/>
    <x v="13"/>
    <s v="Gói"/>
    <n v="231000"/>
    <n v="0"/>
    <n v="30"/>
    <n v="300000"/>
    <n v="300000"/>
    <d v="2023-10-26T00:00:00"/>
    <s v="Thanh Tâm - Ngã 4"/>
    <s v="Khách hàng Trung thành"/>
    <n v="69000"/>
    <n v="0.23"/>
    <n v="30"/>
    <n v="0"/>
    <n v="2023"/>
    <n v="10"/>
    <x v="3"/>
  </r>
  <r>
    <n v="423"/>
    <s v="KV320"/>
    <x v="8"/>
    <s v="Gói"/>
    <n v="110000"/>
    <n v="0"/>
    <n v="10"/>
    <n v="110000"/>
    <n v="110000"/>
    <d v="2023-10-26T00:00:00"/>
    <s v="Thanh Tâm - Ngã 4"/>
    <s v="Khách hàng Trung thành"/>
    <n v="0"/>
    <n v="0"/>
    <n v="10"/>
    <n v="0"/>
    <n v="2023"/>
    <n v="10"/>
    <x v="0"/>
  </r>
  <r>
    <n v="424"/>
    <s v="TNS1"/>
    <x v="24"/>
    <s v="Chai"/>
    <n v="190008"/>
    <n v="0"/>
    <n v="12"/>
    <n v="270000"/>
    <n v="270000"/>
    <d v="2023-10-26T00:00:00"/>
    <s v="Thanh Tâm - Ngã 4"/>
    <s v="Khách hàng Trung thành"/>
    <n v="79992"/>
    <n v="0.29626666666666668"/>
    <n v="12"/>
    <n v="0"/>
    <n v="2023"/>
    <n v="10"/>
    <x v="1"/>
  </r>
  <r>
    <n v="426"/>
    <s v="KTN3001"/>
    <x v="41"/>
    <s v="Hộp"/>
    <n v="145000"/>
    <n v="0"/>
    <n v="10"/>
    <n v="140000"/>
    <n v="140000"/>
    <d v="2023-10-26T00:00:00"/>
    <s v="5 Phụng - T.Nghĩa"/>
    <s v="Khách hàng Trung thành"/>
    <n v="-5000"/>
    <n v="-3.5714285714285712E-2"/>
    <n v="10"/>
    <n v="0"/>
    <n v="2023"/>
    <n v="10"/>
    <x v="4"/>
  </r>
  <r>
    <n v="427"/>
    <s v="KTN3002"/>
    <x v="42"/>
    <s v="Hộp"/>
    <n v="145000"/>
    <n v="0"/>
    <n v="10"/>
    <n v="140000"/>
    <n v="140000"/>
    <d v="2023-10-26T00:00:00"/>
    <s v="5 Phụng - T.Nghĩa"/>
    <s v="Khách hàng Trung thành"/>
    <n v="-5000"/>
    <n v="-3.5714285714285712E-2"/>
    <n v="10"/>
    <n v="0"/>
    <n v="2023"/>
    <n v="10"/>
    <x v="4"/>
  </r>
  <r>
    <n v="428"/>
    <s v="KTN400"/>
    <x v="155"/>
    <s v="Hộp"/>
    <n v="86400"/>
    <n v="0"/>
    <n v="3"/>
    <n v="90000"/>
    <n v="90000"/>
    <d v="2023-10-26T00:00:00"/>
    <s v="5 Phụng - T.Nghĩa"/>
    <s v="Khách hàng Trung thành"/>
    <n v="3600"/>
    <n v="0.04"/>
    <n v="3"/>
    <n v="0"/>
    <n v="2023"/>
    <n v="10"/>
    <x v="4"/>
  </r>
  <r>
    <n v="429"/>
    <s v="KTN4001"/>
    <x v="156"/>
    <s v="Hộp"/>
    <n v="86400"/>
    <n v="0"/>
    <n v="3"/>
    <n v="90000"/>
    <n v="90000"/>
    <d v="2023-10-26T00:00:00"/>
    <s v="5 Phụng - T.Nghĩa"/>
    <s v="Khách hàng Trung thành"/>
    <n v="3600"/>
    <n v="0.04"/>
    <n v="3"/>
    <n v="0"/>
    <n v="2023"/>
    <n v="10"/>
    <x v="4"/>
  </r>
  <r>
    <n v="430"/>
    <s v="KU1509"/>
    <x v="157"/>
    <s v="Gói"/>
    <n v="540000"/>
    <n v="0"/>
    <n v="60"/>
    <n v="1080000"/>
    <n v="1080000"/>
    <d v="2023-10-26T00:00:00"/>
    <s v="5 Phụng - T.Nghĩa"/>
    <s v="Khách hàng Trung thành"/>
    <n v="540000"/>
    <n v="0.5"/>
    <n v="60"/>
    <n v="0"/>
    <n v="2023"/>
    <n v="10"/>
    <x v="3"/>
  </r>
  <r>
    <n v="431"/>
    <s v="KU250"/>
    <x v="13"/>
    <s v="Gói"/>
    <n v="231000"/>
    <n v="0"/>
    <n v="30"/>
    <n v="300000"/>
    <n v="300000"/>
    <d v="2023-10-26T00:00:00"/>
    <s v="Chị Lắm - T.Nghĩa"/>
    <s v="Khách hàng Cần chú ý"/>
    <n v="69000"/>
    <n v="0.23"/>
    <n v="30"/>
    <n v="0"/>
    <n v="2023"/>
    <n v="10"/>
    <x v="3"/>
  </r>
  <r>
    <n v="432"/>
    <s v="HTNM"/>
    <x v="158"/>
    <s v="Hộp"/>
    <n v="90000"/>
    <n v="1"/>
    <n v="12"/>
    <n v="133000"/>
    <n v="133000"/>
    <d v="2023-10-26T00:00:00"/>
    <s v="Ngọc Thắm - T.Nghĩa"/>
    <s v="Khách hàng Trung thành"/>
    <n v="43000"/>
    <n v="0.32330827067669171"/>
    <n v="13"/>
    <n v="7.6923076923076927E-2"/>
    <n v="2023"/>
    <n v="10"/>
    <x v="1"/>
  </r>
  <r>
    <n v="433"/>
    <s v="GC10"/>
    <x v="140"/>
    <s v="Dây"/>
    <n v="260000"/>
    <n v="0"/>
    <n v="10"/>
    <n v="240000"/>
    <n v="240000"/>
    <d v="2023-10-27T00:00:00"/>
    <s v="Chị Linh (bán bọc) - HCL"/>
    <s v="Khách hàng VIP"/>
    <n v="-20000"/>
    <n v="-8.3333333333333329E-2"/>
    <n v="10"/>
    <n v="0"/>
    <n v="2023"/>
    <n v="10"/>
    <x v="7"/>
  </r>
  <r>
    <n v="434"/>
    <s v="GC617"/>
    <x v="67"/>
    <s v="Cây"/>
    <n v="265716"/>
    <n v="0"/>
    <n v="12"/>
    <n v="360000"/>
    <n v="360000"/>
    <d v="2023-10-27T00:00:00"/>
    <s v="5 Hiếu - T.Linh"/>
    <s v="Khách hàng Cần chú ý"/>
    <n v="94284"/>
    <n v="0.26190000000000002"/>
    <n v="12"/>
    <n v="0"/>
    <n v="2023"/>
    <n v="10"/>
    <x v="7"/>
  </r>
  <r>
    <n v="435"/>
    <s v="HTF3000"/>
    <x v="17"/>
    <s v="Bình"/>
    <n v="170000"/>
    <n v="0"/>
    <n v="2"/>
    <n v="240000"/>
    <n v="240000"/>
    <d v="2023-10-27T00:00:00"/>
    <s v="Hồng Loan - P.Trà"/>
    <s v="Khách hàng Cần chú ý"/>
    <n v="70000"/>
    <n v="0.29166666666666669"/>
    <n v="2"/>
    <n v="0"/>
    <n v="2023"/>
    <n v="10"/>
    <x v="1"/>
  </r>
  <r>
    <n v="436"/>
    <s v="HTF30001"/>
    <x v="159"/>
    <s v="Bình"/>
    <n v="170000"/>
    <n v="0"/>
    <n v="2"/>
    <n v="240000"/>
    <n v="240000"/>
    <d v="2023-10-27T00:00:00"/>
    <s v="Hồng Loan - P.Trà"/>
    <s v="Khách hàng Cần chú ý"/>
    <n v="70000"/>
    <n v="0.29166666666666669"/>
    <n v="2"/>
    <n v="0"/>
    <n v="2023"/>
    <n v="10"/>
    <x v="1"/>
  </r>
  <r>
    <n v="437"/>
    <s v="KV100"/>
    <x v="0"/>
    <s v="Gói"/>
    <n v="172800"/>
    <n v="2"/>
    <n v="24"/>
    <n v="268000"/>
    <n v="268000"/>
    <d v="2023-10-27T00:00:00"/>
    <s v="Chị Liên - T.Linh"/>
    <s v="Khách hàng Cần chú ý"/>
    <n v="95200"/>
    <n v="0.35522388059701487"/>
    <n v="26"/>
    <n v="7.6923076923076927E-2"/>
    <n v="2023"/>
    <n v="10"/>
    <x v="0"/>
  </r>
  <r>
    <n v="439"/>
    <s v="KR402"/>
    <x v="160"/>
    <s v="Gói"/>
    <n v="211200"/>
    <n v="2"/>
    <n v="10"/>
    <n v="184000"/>
    <n v="184000"/>
    <d v="2023-10-27T00:00:00"/>
    <s v="Quán Cơm Trâm Anh - T.Linh"/>
    <s v="Khách hàng Cần chú ý"/>
    <n v="-27200"/>
    <n v="-0.14782608695652169"/>
    <n v="12"/>
    <n v="0.16666666666666671"/>
    <n v="2023"/>
    <n v="10"/>
    <x v="0"/>
  </r>
  <r>
    <n v="440"/>
    <s v="HM608"/>
    <x v="36"/>
    <s v="Hộp"/>
    <n v="300000"/>
    <n v="3"/>
    <n v="3"/>
    <n v="327000"/>
    <n v="327000"/>
    <d v="2023-10-28T00:00:00"/>
    <s v="Chị My (căn tin) - BV HCL"/>
    <s v="Khách hàng Tiềm năng"/>
    <n v="27000"/>
    <n v="8.2568807339449546E-2"/>
    <n v="6"/>
    <n v="0.5"/>
    <n v="2023"/>
    <n v="10"/>
    <x v="7"/>
  </r>
  <r>
    <n v="441"/>
    <s v="KV320"/>
    <x v="8"/>
    <s v="Gói"/>
    <n v="528000"/>
    <n v="6"/>
    <n v="48"/>
    <n v="516000"/>
    <n v="516000"/>
    <d v="2023-10-28T00:00:00"/>
    <s v="Chị Nga - HCL"/>
    <s v="Khách hàng Trung thành"/>
    <n v="-12000"/>
    <n v="-2.3255813953488368E-2"/>
    <n v="54"/>
    <n v="0.1111111111111111"/>
    <n v="2023"/>
    <n v="10"/>
    <x v="0"/>
  </r>
  <r>
    <n v="442"/>
    <s v="KV1001"/>
    <x v="62"/>
    <s v="Gói"/>
    <n v="225000"/>
    <n v="3"/>
    <n v="30"/>
    <n v="300000"/>
    <n v="300000"/>
    <d v="2023-10-28T00:00:00"/>
    <s v="Chị Xuyên - M.Long"/>
    <s v="Khách hàng Trung thành"/>
    <n v="75000"/>
    <n v="0.25"/>
    <n v="33"/>
    <n v="9.0909090909090912E-2"/>
    <n v="2023"/>
    <n v="10"/>
    <x v="0"/>
  </r>
  <r>
    <n v="443"/>
    <s v="A1K15"/>
    <x v="9"/>
    <s v="Hộp"/>
    <n v="120756"/>
    <n v="0"/>
    <n v="2"/>
    <n v="108000"/>
    <n v="108000"/>
    <d v="2023-10-28T00:00:00"/>
    <s v="TT Thu Diễm - T.H.Trung"/>
    <s v="Khách hàng Tiềm năng"/>
    <n v="-12756"/>
    <n v="-0.1181111111111111"/>
    <n v="2"/>
    <n v="0"/>
    <n v="2023"/>
    <n v="10"/>
    <x v="4"/>
  </r>
  <r>
    <n v="444"/>
    <s v="KU250"/>
    <x v="13"/>
    <s v="Gói"/>
    <n v="231000"/>
    <n v="0"/>
    <n v="30"/>
    <n v="300000"/>
    <n v="300000"/>
    <d v="2023-10-28T00:00:00"/>
    <s v="Chị Đào - T.H.Trung"/>
    <s v="Khách hàng VIP"/>
    <n v="69000"/>
    <n v="0.23"/>
    <n v="30"/>
    <n v="0"/>
    <n v="2023"/>
    <n v="10"/>
    <x v="3"/>
  </r>
  <r>
    <n v="445"/>
    <s v="BCTEM32"/>
    <x v="4"/>
    <s v="Cây"/>
    <n v="46800"/>
    <n v="0"/>
    <n v="6"/>
    <n v="66000"/>
    <n v="66000"/>
    <d v="2023-10-28T00:00:00"/>
    <s v="TT Đông Nguyên - M.Long"/>
    <s v="Khách hàng VIP"/>
    <n v="19200"/>
    <n v="0.29090909090909089"/>
    <n v="6"/>
    <n v="0"/>
    <n v="2023"/>
    <n v="10"/>
    <x v="2"/>
  </r>
  <r>
    <n v="446"/>
    <s v="BCTEM35"/>
    <x v="5"/>
    <s v="Cây"/>
    <n v="46800"/>
    <n v="0"/>
    <n v="6"/>
    <n v="66000"/>
    <n v="66000"/>
    <d v="2023-10-28T00:00:00"/>
    <s v="TT Đông Nguyên - M.Long"/>
    <s v="Khách hàng VIP"/>
    <n v="19200"/>
    <n v="0.29090909090909089"/>
    <n v="6"/>
    <n v="0"/>
    <n v="2023"/>
    <n v="10"/>
    <x v="2"/>
  </r>
  <r>
    <n v="447"/>
    <s v="BCTEN36"/>
    <x v="6"/>
    <s v="Cây"/>
    <n v="46800"/>
    <n v="0"/>
    <n v="6"/>
    <n v="66000"/>
    <n v="66000"/>
    <d v="2023-10-28T00:00:00"/>
    <s v="TT Đông Nguyên - M.Long"/>
    <s v="Khách hàng VIP"/>
    <n v="19200"/>
    <n v="0.29090909090909089"/>
    <n v="6"/>
    <n v="0"/>
    <n v="2023"/>
    <n v="10"/>
    <x v="2"/>
  </r>
  <r>
    <n v="448"/>
    <s v="A1K15"/>
    <x v="9"/>
    <s v="Hộp"/>
    <n v="120756"/>
    <n v="0"/>
    <n v="2"/>
    <n v="104000"/>
    <n v="104000"/>
    <d v="2023-10-28T00:00:00"/>
    <s v="TT Anh Hào - BV HCL"/>
    <s v="Khách hàng Trung thành"/>
    <n v="-16756"/>
    <n v="-0.1611153846153846"/>
    <n v="2"/>
    <n v="0"/>
    <n v="2023"/>
    <n v="10"/>
    <x v="4"/>
  </r>
  <r>
    <n v="449"/>
    <s v="BCA11"/>
    <x v="161"/>
    <s v="Cây"/>
    <n v="170200"/>
    <n v="0"/>
    <n v="5"/>
    <n v="150000"/>
    <n v="150000"/>
    <d v="2023-10-28T00:00:00"/>
    <s v="TT Anh Hào - BV HCL"/>
    <s v="Khách hàng Trung thành"/>
    <n v="-20200"/>
    <n v="-0.13466666666666671"/>
    <n v="5"/>
    <n v="0"/>
    <n v="2023"/>
    <n v="10"/>
    <x v="2"/>
  </r>
  <r>
    <n v="450"/>
    <s v="BCJEWELL"/>
    <x v="162"/>
    <s v="Cây"/>
    <n v="212500"/>
    <n v="0"/>
    <n v="5"/>
    <n v="150000"/>
    <n v="150000"/>
    <d v="2023-10-28T00:00:00"/>
    <s v="TT Anh Hào - BV HCL"/>
    <s v="Khách hàng Trung thành"/>
    <n v="-62500"/>
    <n v="-0.41666666666666669"/>
    <n v="5"/>
    <n v="0"/>
    <n v="2023"/>
    <n v="10"/>
    <x v="2"/>
  </r>
  <r>
    <n v="451"/>
    <s v="BCN306"/>
    <x v="163"/>
    <s v="Cây"/>
    <n v="275000"/>
    <n v="0"/>
    <n v="50"/>
    <n v="400000"/>
    <n v="400000"/>
    <d v="2023-10-28T00:00:00"/>
    <s v="TT Anh Hào - BV HCL"/>
    <s v="Khách hàng Trung thành"/>
    <n v="125000"/>
    <n v="0.3125"/>
    <n v="50"/>
    <n v="0"/>
    <n v="2023"/>
    <n v="10"/>
    <x v="2"/>
  </r>
  <r>
    <n v="452"/>
    <s v="BCOCEAN"/>
    <x v="110"/>
    <s v="Cây"/>
    <n v="240000"/>
    <n v="0"/>
    <n v="5"/>
    <n v="150000"/>
    <n v="150000"/>
    <d v="2023-10-28T00:00:00"/>
    <s v="TT Anh Hào - BV HCL"/>
    <s v="Khách hàng Trung thành"/>
    <n v="-90000"/>
    <n v="-0.6"/>
    <n v="5"/>
    <n v="0"/>
    <n v="2023"/>
    <n v="10"/>
    <x v="2"/>
  </r>
  <r>
    <n v="454"/>
    <s v="TBTE20002"/>
    <x v="33"/>
    <s v="Hộp"/>
    <n v="178500"/>
    <n v="0"/>
    <n v="12"/>
    <n v="192000"/>
    <n v="192000"/>
    <d v="2023-10-28T00:00:00"/>
    <s v="TT Anh Hào - BV HCL"/>
    <s v="Khách hàng Trung thành"/>
    <n v="13500"/>
    <n v="7.03125E-2"/>
    <n v="12"/>
    <n v="0"/>
    <n v="2023"/>
    <n v="10"/>
    <x v="5"/>
  </r>
  <r>
    <n v="455"/>
    <s v="A1K15"/>
    <x v="9"/>
    <s v="Hộp"/>
    <n v="60378"/>
    <n v="0"/>
    <n v="1"/>
    <n v="54000"/>
    <n v="54000"/>
    <d v="2023-10-28T00:00:00"/>
    <s v="TT Mỹ Hạnh - T.H.Trung"/>
    <s v="Khách hàng Tiềm năng"/>
    <n v="-6378"/>
    <n v="-0.1181111111111111"/>
    <n v="1"/>
    <n v="0"/>
    <n v="2023"/>
    <n v="10"/>
    <x v="4"/>
  </r>
  <r>
    <n v="456"/>
    <s v="A1K15"/>
    <x v="9"/>
    <s v="Hộp"/>
    <n v="181134"/>
    <n v="0"/>
    <n v="3"/>
    <n v="156000"/>
    <n v="156000"/>
    <d v="2023-10-28T00:00:00"/>
    <s v="TT Mỹ Tiên - A.Bình"/>
    <s v="Khách hàng Tiềm năng"/>
    <n v="-25134"/>
    <n v="-0.1611153846153846"/>
    <n v="3"/>
    <n v="0"/>
    <n v="2023"/>
    <n v="10"/>
    <x v="4"/>
  </r>
  <r>
    <n v="457"/>
    <s v="GC603"/>
    <x v="74"/>
    <s v="Cây"/>
    <n v="300000"/>
    <n v="0"/>
    <n v="12"/>
    <n v="444000"/>
    <n v="444000"/>
    <d v="2023-10-28T00:00:00"/>
    <s v="Anh Như - Chợ 307"/>
    <s v="Khách hàng Mới"/>
    <n v="144000"/>
    <n v="0.32432432432432429"/>
    <n v="12"/>
    <n v="0"/>
    <n v="2023"/>
    <n v="10"/>
    <x v="7"/>
  </r>
  <r>
    <n v="459"/>
    <s v="GC10"/>
    <x v="140"/>
    <s v="Dây"/>
    <n v="130000"/>
    <n v="0"/>
    <n v="5"/>
    <n v="120000"/>
    <n v="120000"/>
    <d v="2023-10-28T00:00:00"/>
    <s v="Chị Duyên - HCL (Thanh Mỹ)"/>
    <s v="Khách hàng Trung thành"/>
    <n v="-10000"/>
    <n v="-8.3333333333333329E-2"/>
    <n v="5"/>
    <n v="0"/>
    <n v="2023"/>
    <n v="10"/>
    <x v="7"/>
  </r>
  <r>
    <n v="460"/>
    <s v="GC603"/>
    <x v="74"/>
    <s v="Cây"/>
    <n v="300000"/>
    <n v="0"/>
    <n v="12"/>
    <n v="444000"/>
    <n v="444000"/>
    <d v="2023-10-28T00:00:00"/>
    <s v="Mỹ Phương - HCL (Thanh Mỹ)"/>
    <s v="Khách hàng Tiềm năng"/>
    <n v="144000"/>
    <n v="0.32432432432432429"/>
    <n v="12"/>
    <n v="0"/>
    <n v="2023"/>
    <n v="10"/>
    <x v="7"/>
  </r>
  <r>
    <n v="462"/>
    <s v="KU250"/>
    <x v="13"/>
    <s v="Gói"/>
    <n v="231000"/>
    <n v="0"/>
    <n v="30"/>
    <n v="300000"/>
    <n v="300000"/>
    <d v="2023-10-28T00:00:00"/>
    <s v="Mỹ Phương - HCL (Thanh Mỹ)"/>
    <s v="Khách hàng Tiềm năng"/>
    <n v="69000"/>
    <n v="0.23"/>
    <n v="30"/>
    <n v="0"/>
    <n v="2023"/>
    <n v="10"/>
    <x v="3"/>
  </r>
  <r>
    <n v="464"/>
    <s v="HM608"/>
    <x v="36"/>
    <s v="Hộp"/>
    <n v="600000"/>
    <n v="0"/>
    <n v="6"/>
    <n v="1308000"/>
    <n v="1308000"/>
    <d v="2023-10-28T00:00:00"/>
    <s v="Chị Oanh - M.Long"/>
    <s v="Khách hàng Trung thành"/>
    <n v="708000"/>
    <n v="0.54128440366972475"/>
    <n v="6"/>
    <n v="0"/>
    <n v="2023"/>
    <n v="10"/>
    <x v="7"/>
  </r>
  <r>
    <n v="466"/>
    <s v="HTD3000"/>
    <x v="164"/>
    <s v="Bình"/>
    <n v="170000"/>
    <n v="0"/>
    <n v="2"/>
    <n v="250000"/>
    <n v="250000"/>
    <d v="2023-10-28T00:00:00"/>
    <s v="MP Chị Út - HCL (Thanh Mỹ)"/>
    <s v="Khách hàng Trung thành"/>
    <n v="80000"/>
    <n v="0.32"/>
    <n v="2"/>
    <n v="0"/>
    <n v="2023"/>
    <n v="10"/>
    <x v="1"/>
  </r>
  <r>
    <n v="467"/>
    <s v="HTD30001"/>
    <x v="165"/>
    <s v="Bình"/>
    <n v="85000"/>
    <n v="0"/>
    <n v="1"/>
    <n v="125000"/>
    <n v="125000"/>
    <d v="2023-10-28T00:00:00"/>
    <s v="MP Chị Út - HCL (Thanh Mỹ)"/>
    <s v="Khách hàng Trung thành"/>
    <n v="40000"/>
    <n v="0.32"/>
    <n v="1"/>
    <n v="0"/>
    <n v="2023"/>
    <n v="10"/>
    <x v="1"/>
  </r>
  <r>
    <n v="468"/>
    <s v="KU250"/>
    <x v="13"/>
    <s v="Gói"/>
    <n v="231000"/>
    <n v="0"/>
    <n v="30"/>
    <n v="300000"/>
    <n v="300000"/>
    <d v="2023-10-28T00:00:00"/>
    <s v="MP Chị Út - HCL (Thanh Mỹ)"/>
    <s v="Khách hàng Trung thành"/>
    <n v="69000"/>
    <n v="0.23"/>
    <n v="30"/>
    <n v="0"/>
    <n v="2023"/>
    <n v="10"/>
    <x v="3"/>
  </r>
  <r>
    <n v="469"/>
    <s v="KU802"/>
    <x v="99"/>
    <s v="Gói"/>
    <n v="55000"/>
    <n v="0"/>
    <n v="10"/>
    <n v="60000"/>
    <n v="60000"/>
    <d v="2023-10-28T00:00:00"/>
    <s v="MP Chị Út - HCL (Thanh Mỹ)"/>
    <s v="Khách hàng Trung thành"/>
    <n v="5000"/>
    <n v="8.3333333333333329E-2"/>
    <n v="10"/>
    <n v="0"/>
    <n v="2023"/>
    <n v="10"/>
    <x v="3"/>
  </r>
  <r>
    <n v="470"/>
    <s v="KU250"/>
    <x v="13"/>
    <s v="Gói"/>
    <n v="231000"/>
    <n v="0"/>
    <n v="30"/>
    <n v="300000"/>
    <n v="300000"/>
    <d v="2023-10-28T00:00:00"/>
    <s v="Thuận Kiều (nhà may) - Chợ 307"/>
    <s v="Khách hàng Trung thành"/>
    <n v="69000"/>
    <n v="0.23"/>
    <n v="30"/>
    <n v="0"/>
    <n v="2023"/>
    <n v="10"/>
    <x v="3"/>
  </r>
  <r>
    <n v="471"/>
    <s v="KU802"/>
    <x v="99"/>
    <s v="Gói"/>
    <n v="55000"/>
    <n v="0"/>
    <n v="10"/>
    <n v="60000"/>
    <n v="60000"/>
    <d v="2023-10-28T00:00:00"/>
    <s v="Thuận Kiều (nhà may) - Chợ 307"/>
    <s v="Khách hàng Trung thành"/>
    <n v="5000"/>
    <n v="8.3333333333333329E-2"/>
    <n v="10"/>
    <n v="0"/>
    <n v="2023"/>
    <n v="10"/>
    <x v="3"/>
  </r>
  <r>
    <n v="472"/>
    <s v="GC617"/>
    <x v="67"/>
    <s v="Cây"/>
    <n v="265716"/>
    <n v="2"/>
    <n v="12"/>
    <n v="345000"/>
    <n v="345000"/>
    <d v="2023-10-28T00:00:00"/>
    <s v="TH Ngân (chị Ngân) - T.H.Trung"/>
    <s v="Khách hàng Trung thành"/>
    <n v="79284"/>
    <n v="0.22980869565217391"/>
    <n v="14"/>
    <n v="0.14285714285714279"/>
    <n v="2023"/>
    <n v="10"/>
    <x v="7"/>
  </r>
  <r>
    <n v="475"/>
    <s v="HM607"/>
    <x v="68"/>
    <s v="Hộp"/>
    <n v="600000"/>
    <n v="6"/>
    <n v="6"/>
    <n v="654000"/>
    <n v="654000"/>
    <d v="2023-10-28T00:00:00"/>
    <s v="Cẩm Giang - M.Xương"/>
    <s v="Khách hàng VIP"/>
    <n v="54000"/>
    <n v="8.2568807339449546E-2"/>
    <n v="12"/>
    <n v="0.5"/>
    <n v="2023"/>
    <n v="10"/>
    <x v="7"/>
  </r>
  <r>
    <n v="476"/>
    <s v="HM608"/>
    <x v="36"/>
    <s v="Hộp"/>
    <n v="600000"/>
    <n v="6"/>
    <n v="6"/>
    <n v="654000"/>
    <n v="654000"/>
    <d v="2023-10-28T00:00:00"/>
    <s v="Cẩm Giang - M.Xương"/>
    <s v="Khách hàng VIP"/>
    <n v="54000"/>
    <n v="8.2568807339449546E-2"/>
    <n v="12"/>
    <n v="0.5"/>
    <n v="2023"/>
    <n v="10"/>
    <x v="7"/>
  </r>
  <r>
    <n v="477"/>
    <s v="HM610"/>
    <x v="37"/>
    <s v="Hộp"/>
    <n v="600000"/>
    <n v="6"/>
    <n v="6"/>
    <n v="654000"/>
    <n v="654000"/>
    <d v="2023-10-28T00:00:00"/>
    <s v="Cẩm Giang - M.Xương"/>
    <s v="Khách hàng VIP"/>
    <n v="54000"/>
    <n v="8.2568807339449546E-2"/>
    <n v="12"/>
    <n v="0.5"/>
    <n v="2023"/>
    <n v="10"/>
    <x v="7"/>
  </r>
  <r>
    <n v="478"/>
    <s v="HM613"/>
    <x v="166"/>
    <s v="Hộp"/>
    <n v="780000"/>
    <n v="0"/>
    <n v="6"/>
    <n v="1680000"/>
    <n v="1680000"/>
    <d v="2023-10-28T00:00:00"/>
    <s v="Cẩm Giang - M.Xương"/>
    <s v="Khách hàng VIP"/>
    <n v="900000"/>
    <n v="0.5357142857142857"/>
    <n v="6"/>
    <n v="0"/>
    <n v="2023"/>
    <n v="10"/>
    <x v="7"/>
  </r>
  <r>
    <n v="479"/>
    <s v="HM614"/>
    <x v="104"/>
    <s v="Hộp"/>
    <n v="780000"/>
    <n v="0"/>
    <n v="6"/>
    <n v="1680000"/>
    <n v="1680000"/>
    <d v="2023-10-28T00:00:00"/>
    <s v="Cẩm Giang - M.Xương"/>
    <s v="Khách hàng VIP"/>
    <n v="900000"/>
    <n v="0.5357142857142857"/>
    <n v="6"/>
    <n v="0"/>
    <n v="2023"/>
    <n v="10"/>
    <x v="7"/>
  </r>
  <r>
    <n v="480"/>
    <s v="GC617"/>
    <x v="67"/>
    <s v="Cây"/>
    <n v="265716"/>
    <n v="2"/>
    <n v="12"/>
    <n v="345000"/>
    <n v="345000"/>
    <d v="2023-10-28T00:00:00"/>
    <s v="Sữa tả Hoàng Trúc - HCL (T.Mỹ)"/>
    <s v="Khách hàng VIP"/>
    <n v="79284"/>
    <n v="0.22980869565217391"/>
    <n v="14"/>
    <n v="0.14285714285714279"/>
    <n v="2023"/>
    <n v="10"/>
    <x v="7"/>
  </r>
  <r>
    <n v="481"/>
    <s v="HTBTE50"/>
    <x v="114"/>
    <s v="Hộp"/>
    <n v="181200"/>
    <n v="1"/>
    <n v="4"/>
    <n v="158000"/>
    <n v="158000"/>
    <d v="2023-10-28T00:00:00"/>
    <s v="Sữa tả Hoàng Trúc - HCL (T.Mỹ)"/>
    <s v="Khách hàng VIP"/>
    <n v="-23200"/>
    <n v="-0.14683544303797469"/>
    <n v="5"/>
    <n v="0.2"/>
    <n v="2023"/>
    <n v="10"/>
    <x v="8"/>
  </r>
  <r>
    <n v="482"/>
    <s v="HTBTE501"/>
    <x v="118"/>
    <s v="Hộp"/>
    <n v="181200"/>
    <n v="0"/>
    <n v="4"/>
    <n v="200000"/>
    <n v="200000"/>
    <d v="2023-10-28T00:00:00"/>
    <s v="Sữa tả Hoàng Trúc - HCL (T.Mỹ)"/>
    <s v="Khách hàng VIP"/>
    <n v="18800"/>
    <n v="9.4E-2"/>
    <n v="4"/>
    <n v="0"/>
    <n v="2023"/>
    <n v="10"/>
    <x v="8"/>
  </r>
  <r>
    <n v="483"/>
    <s v="HTBTE502"/>
    <x v="119"/>
    <s v="Hộp"/>
    <n v="181200"/>
    <n v="0"/>
    <n v="4"/>
    <n v="200000"/>
    <n v="200000"/>
    <d v="2023-10-28T00:00:00"/>
    <s v="Sữa tả Hoàng Trúc - HCL (T.Mỹ)"/>
    <s v="Khách hàng VIP"/>
    <n v="18800"/>
    <n v="9.4E-2"/>
    <n v="4"/>
    <n v="0"/>
    <n v="2023"/>
    <n v="10"/>
    <x v="8"/>
  </r>
  <r>
    <n v="484"/>
    <s v="KDR002"/>
    <x v="147"/>
    <s v="Hộp"/>
    <n v="133330"/>
    <n v="0"/>
    <n v="10"/>
    <n v="160000"/>
    <n v="160000"/>
    <d v="2023-10-28T00:00:00"/>
    <s v="Sữa tả Hoàng Trúc - HCL (T.Mỹ)"/>
    <s v="Khách hàng VIP"/>
    <n v="26670"/>
    <n v="0.16668749999999999"/>
    <n v="10"/>
    <n v="0"/>
    <n v="2023"/>
    <n v="10"/>
    <x v="2"/>
  </r>
  <r>
    <n v="485"/>
    <s v="KDR003"/>
    <x v="148"/>
    <s v="Hộp"/>
    <n v="106664"/>
    <n v="3"/>
    <n v="8"/>
    <n v="87000"/>
    <n v="87000"/>
    <d v="2023-10-28T00:00:00"/>
    <s v="Sữa tả Hoàng Trúc - HCL (T.Mỹ)"/>
    <s v="Khách hàng VIP"/>
    <n v="-19664"/>
    <n v="-0.22602298850574709"/>
    <n v="11"/>
    <n v="0.27272727272727271"/>
    <n v="2023"/>
    <n v="10"/>
    <x v="2"/>
  </r>
  <r>
    <n v="486"/>
    <s v="HTBSN80"/>
    <x v="57"/>
    <s v="Lon"/>
    <n v="55440"/>
    <n v="0"/>
    <n v="2"/>
    <n v="64000"/>
    <n v="64000"/>
    <d v="2023-10-28T00:00:00"/>
    <s v="Su Trường - T.H.Trung"/>
    <s v="Khách hàng Tiềm năng"/>
    <n v="8560"/>
    <n v="0.13375000000000001"/>
    <n v="2"/>
    <n v="0"/>
    <n v="2023"/>
    <n v="10"/>
    <x v="8"/>
  </r>
  <r>
    <n v="487"/>
    <s v="HTBSN90"/>
    <x v="58"/>
    <s v="Lon"/>
    <n v="55440"/>
    <n v="0"/>
    <n v="2"/>
    <n v="64000"/>
    <n v="64000"/>
    <d v="2023-10-28T00:00:00"/>
    <s v="Su Trường - T.H.Trung"/>
    <s v="Khách hàng Tiềm năng"/>
    <n v="8560"/>
    <n v="0.13375000000000001"/>
    <n v="2"/>
    <n v="0"/>
    <n v="2023"/>
    <n v="10"/>
    <x v="8"/>
  </r>
  <r>
    <n v="488"/>
    <s v="HTBSN902"/>
    <x v="59"/>
    <s v="Lon"/>
    <n v="27720"/>
    <n v="0"/>
    <n v="1"/>
    <n v="32000"/>
    <n v="32000"/>
    <d v="2023-10-28T00:00:00"/>
    <s v="Su Trường - T.H.Trung"/>
    <s v="Khách hàng Tiềm năng"/>
    <n v="4280"/>
    <n v="0.13375000000000001"/>
    <n v="1"/>
    <n v="0"/>
    <n v="2023"/>
    <n v="10"/>
    <x v="8"/>
  </r>
  <r>
    <n v="489"/>
    <s v="HTBSN903"/>
    <x v="60"/>
    <s v="Lon"/>
    <n v="27720"/>
    <n v="0"/>
    <n v="1"/>
    <n v="32000"/>
    <n v="32000"/>
    <d v="2023-10-28T00:00:00"/>
    <s v="Su Trường - T.H.Trung"/>
    <s v="Khách hàng Tiềm năng"/>
    <n v="4280"/>
    <n v="0.13375000000000001"/>
    <n v="1"/>
    <n v="0"/>
    <n v="2023"/>
    <n v="10"/>
    <x v="8"/>
  </r>
  <r>
    <n v="490"/>
    <s v="HTK151"/>
    <x v="120"/>
    <s v="Dây"/>
    <n v="75000"/>
    <n v="0"/>
    <n v="2"/>
    <n v="82000"/>
    <n v="82000"/>
    <d v="2023-10-28T00:00:00"/>
    <s v="Su Trường - T.H.Trung"/>
    <s v="Khách hàng Tiềm năng"/>
    <n v="7000"/>
    <n v="8.5365853658536592E-2"/>
    <n v="2"/>
    <n v="0"/>
    <n v="2023"/>
    <n v="10"/>
    <x v="4"/>
  </r>
  <r>
    <n v="491"/>
    <s v="KTN3001"/>
    <x v="41"/>
    <s v="Hộp"/>
    <n v="58000"/>
    <n v="0"/>
    <n v="4"/>
    <n v="56000"/>
    <n v="56000"/>
    <d v="2023-10-28T00:00:00"/>
    <s v="Su Trường - T.H.Trung"/>
    <s v="Khách hàng Tiềm năng"/>
    <n v="-2000"/>
    <n v="-3.5714285714285712E-2"/>
    <n v="4"/>
    <n v="0"/>
    <n v="2023"/>
    <n v="10"/>
    <x v="4"/>
  </r>
  <r>
    <n v="492"/>
    <s v="KTN3003"/>
    <x v="43"/>
    <s v="Hộp"/>
    <n v="87000"/>
    <n v="0"/>
    <n v="6"/>
    <n v="84000"/>
    <n v="84000"/>
    <d v="2023-10-28T00:00:00"/>
    <s v="Su Trường - T.H.Trung"/>
    <s v="Khách hàng Tiềm năng"/>
    <n v="-3000"/>
    <n v="-3.5714285714285712E-2"/>
    <n v="6"/>
    <n v="0"/>
    <n v="2023"/>
    <n v="10"/>
    <x v="4"/>
  </r>
  <r>
    <n v="493"/>
    <s v="GC106"/>
    <x v="66"/>
    <s v="Cây"/>
    <n v="180000"/>
    <n v="0"/>
    <n v="10"/>
    <n v="230000"/>
    <n v="230000"/>
    <d v="2023-10-28T00:00:00"/>
    <s v="Dì 2 - HCL ( Thanh Mỹ)"/>
    <s v="Khách hàng Trung thành"/>
    <n v="50000"/>
    <n v="0.21739130434782611"/>
    <n v="10"/>
    <n v="0"/>
    <n v="2023"/>
    <n v="10"/>
    <x v="7"/>
  </r>
  <r>
    <n v="494"/>
    <s v="HM607"/>
    <x v="68"/>
    <s v="Hộp"/>
    <n v="600000"/>
    <n v="0"/>
    <n v="6"/>
    <n v="1308000"/>
    <n v="1308000"/>
    <d v="2023-10-28T00:00:00"/>
    <s v="Dì 2 - HCL ( Thanh Mỹ)"/>
    <s v="Khách hàng Trung thành"/>
    <n v="708000"/>
    <n v="0.54128440366972475"/>
    <n v="6"/>
    <n v="0"/>
    <n v="2023"/>
    <n v="10"/>
    <x v="7"/>
  </r>
  <r>
    <n v="495"/>
    <s v="HM608"/>
    <x v="36"/>
    <s v="Hộp"/>
    <n v="300000"/>
    <n v="3"/>
    <n v="3"/>
    <n v="327000"/>
    <n v="327000"/>
    <d v="2023-10-28T00:00:00"/>
    <s v="Dì 2 - HCL ( Thanh Mỹ)"/>
    <s v="Khách hàng Trung thành"/>
    <n v="27000"/>
    <n v="8.2568807339449546E-2"/>
    <n v="6"/>
    <n v="0.5"/>
    <n v="2023"/>
    <n v="10"/>
    <x v="7"/>
  </r>
  <r>
    <n v="497"/>
    <s v="GC603"/>
    <x v="74"/>
    <s v="Cây"/>
    <n v="300000"/>
    <n v="0"/>
    <n v="12"/>
    <n v="444000"/>
    <n v="444000"/>
    <d v="2023-10-28T00:00:00"/>
    <s v="TH Nguyệt - T.H.Trung"/>
    <s v="Khách hàng Tiềm năng"/>
    <n v="144000"/>
    <n v="0.32432432432432429"/>
    <n v="12"/>
    <n v="0"/>
    <n v="2023"/>
    <n v="10"/>
    <x v="7"/>
  </r>
  <r>
    <n v="499"/>
    <s v="GC617"/>
    <x v="67"/>
    <s v="Cây"/>
    <n v="66429"/>
    <n v="0"/>
    <n v="3"/>
    <n v="90000"/>
    <n v="90000"/>
    <d v="2023-10-28T00:00:00"/>
    <s v="Chị Nương - HCL ( Thanh Mỹ)"/>
    <s v="Khách hàng Tiềm năng"/>
    <n v="23571"/>
    <n v="0.26190000000000002"/>
    <n v="3"/>
    <n v="0"/>
    <n v="2023"/>
    <n v="10"/>
    <x v="7"/>
  </r>
  <r>
    <n v="500"/>
    <s v="KU250"/>
    <x v="13"/>
    <s v="Gói"/>
    <n v="38500"/>
    <n v="0"/>
    <n v="5"/>
    <n v="50000"/>
    <n v="50000"/>
    <d v="2023-10-28T00:00:00"/>
    <s v="Chị Nương - HCL ( Thanh Mỹ)"/>
    <s v="Khách hàng Tiềm năng"/>
    <n v="11500"/>
    <n v="0.23"/>
    <n v="5"/>
    <n v="0"/>
    <n v="2023"/>
    <n v="10"/>
    <x v="3"/>
  </r>
  <r>
    <n v="501"/>
    <s v="KU802"/>
    <x v="99"/>
    <s v="Gói"/>
    <n v="55000"/>
    <n v="0"/>
    <n v="10"/>
    <n v="60000"/>
    <n v="60000"/>
    <d v="2023-10-28T00:00:00"/>
    <s v="Chị Nương - HCL ( Thanh Mỹ)"/>
    <s v="Khách hàng Tiềm năng"/>
    <n v="5000"/>
    <n v="8.3333333333333329E-2"/>
    <n v="10"/>
    <n v="0"/>
    <n v="2023"/>
    <n v="10"/>
    <x v="3"/>
  </r>
  <r>
    <n v="502"/>
    <s v="KV1007"/>
    <x v="39"/>
    <s v="Gói"/>
    <n v="67500"/>
    <n v="0"/>
    <n v="10"/>
    <n v="75000"/>
    <n v="75000"/>
    <d v="2023-10-28T00:00:00"/>
    <s v="Chị Nương - HCL ( Thanh Mỹ)"/>
    <s v="Khách hàng Tiềm năng"/>
    <n v="7500"/>
    <n v="0.1"/>
    <n v="10"/>
    <n v="0"/>
    <n v="2023"/>
    <n v="10"/>
    <x v="0"/>
  </r>
  <r>
    <n v="504"/>
    <s v="BCN193"/>
    <x v="167"/>
    <s v="Cây"/>
    <n v="80000"/>
    <n v="4"/>
    <n v="20"/>
    <n v="217000"/>
    <n v="217000"/>
    <d v="2023-11-02T00:00:00"/>
    <s v="Thu Thủy - P.Mỹ (cầu Trâu Trắng)"/>
    <s v="Khách hàng VIP"/>
    <n v="137000"/>
    <n v="0.63133640552995396"/>
    <n v="24"/>
    <n v="0.16666666666666671"/>
    <n v="2023"/>
    <n v="11"/>
    <x v="2"/>
  </r>
  <r>
    <n v="505"/>
    <s v="BCN302"/>
    <x v="168"/>
    <s v="Cây"/>
    <n v="75000"/>
    <n v="4"/>
    <n v="20"/>
    <n v="217000"/>
    <n v="217000"/>
    <d v="2023-11-02T00:00:00"/>
    <s v="Thu Thủy - P.Mỹ (cầu Trâu Trắng)"/>
    <s v="Khách hàng VIP"/>
    <n v="142000"/>
    <n v="0.65437788018433185"/>
    <n v="24"/>
    <n v="0.16666666666666671"/>
    <n v="2023"/>
    <n v="11"/>
    <x v="2"/>
  </r>
  <r>
    <n v="506"/>
    <s v="BCN82"/>
    <x v="169"/>
    <s v="Bộ"/>
    <n v="36000"/>
    <n v="1"/>
    <n v="9"/>
    <n v="121500"/>
    <n v="121500"/>
    <d v="2023-11-02T00:00:00"/>
    <s v="Thu Thủy - P.Mỹ (cầu Trâu Trắng)"/>
    <s v="Khách hàng VIP"/>
    <n v="85500"/>
    <n v="0.70370370370370372"/>
    <n v="10"/>
    <n v="0.1"/>
    <n v="2023"/>
    <n v="11"/>
    <x v="2"/>
  </r>
  <r>
    <n v="507"/>
    <s v="BCSILISON"/>
    <x v="170"/>
    <s v="Cây"/>
    <n v="1008000"/>
    <n v="4"/>
    <n v="24"/>
    <n v="762000"/>
    <n v="762000"/>
    <d v="2023-11-02T00:00:00"/>
    <s v="Thu Thủy - P.Mỹ (cầu Trâu Trắng)"/>
    <s v="Khách hàng VIP"/>
    <n v="-246000"/>
    <n v="-0.32283464566929132"/>
    <n v="28"/>
    <n v="0.14285714285714279"/>
    <n v="2023"/>
    <n v="11"/>
    <x v="2"/>
  </r>
  <r>
    <n v="508"/>
    <s v="BCTE001"/>
    <x v="171"/>
    <s v="Cây"/>
    <n v="93336"/>
    <n v="0"/>
    <n v="8"/>
    <n v="120000"/>
    <n v="120000"/>
    <d v="2023-11-02T00:00:00"/>
    <s v="Thu Thủy - P.Mỹ (cầu Trâu Trắng)"/>
    <s v="Khách hàng VIP"/>
    <n v="26664"/>
    <n v="0.22220000000000001"/>
    <n v="8"/>
    <n v="0"/>
    <n v="2023"/>
    <n v="11"/>
    <x v="2"/>
  </r>
  <r>
    <n v="509"/>
    <s v="BCTE002"/>
    <x v="172"/>
    <s v="Cây"/>
    <n v="93336"/>
    <n v="0"/>
    <n v="8"/>
    <n v="120000"/>
    <n v="120000"/>
    <d v="2023-11-02T00:00:00"/>
    <s v="Thu Thủy - P.Mỹ (cầu Trâu Trắng)"/>
    <s v="Khách hàng VIP"/>
    <n v="26664"/>
    <n v="0.22220000000000001"/>
    <n v="8"/>
    <n v="0"/>
    <n v="2023"/>
    <n v="11"/>
    <x v="2"/>
  </r>
  <r>
    <n v="510"/>
    <s v="BCTE003"/>
    <x v="173"/>
    <s v="Cây"/>
    <n v="93336"/>
    <n v="4"/>
    <n v="8"/>
    <n v="69000"/>
    <n v="69000"/>
    <d v="2023-11-02T00:00:00"/>
    <s v="Thu Thủy - P.Mỹ (cầu Trâu Trắng)"/>
    <s v="Khách hàng VIP"/>
    <n v="-24336"/>
    <n v="-0.35269565217391302"/>
    <n v="12"/>
    <n v="0.33333333333333331"/>
    <n v="2023"/>
    <n v="11"/>
    <x v="2"/>
  </r>
  <r>
    <n v="511"/>
    <s v="BCTEM35"/>
    <x v="5"/>
    <s v="Cây"/>
    <n v="93600"/>
    <n v="0"/>
    <n v="12"/>
    <n v="150000"/>
    <n v="150000"/>
    <d v="2023-11-02T00:00:00"/>
    <s v="Thu Thủy - P.Mỹ (cầu Trâu Trắng)"/>
    <s v="Khách hàng VIP"/>
    <n v="56400"/>
    <n v="0.376"/>
    <n v="12"/>
    <n v="0"/>
    <n v="2023"/>
    <n v="11"/>
    <x v="2"/>
  </r>
  <r>
    <n v="513"/>
    <s v="HTNM"/>
    <x v="158"/>
    <s v="Hộp"/>
    <n v="450000"/>
    <n v="0"/>
    <n v="60"/>
    <n v="660000"/>
    <n v="660000"/>
    <d v="2023-11-03T00:00:00"/>
    <s v="MP Út Tuyền - B.Sao"/>
    <s v="Khách hàng Trung thành"/>
    <n v="210000"/>
    <n v="0.31818181818181818"/>
    <n v="60"/>
    <n v="0"/>
    <n v="2023"/>
    <n v="11"/>
    <x v="1"/>
  </r>
  <r>
    <n v="514"/>
    <s v="KV1011"/>
    <x v="16"/>
    <s v="Gói"/>
    <n v="200010"/>
    <n v="0"/>
    <n v="30"/>
    <n v="225000"/>
    <n v="225000"/>
    <d v="2023-11-03T00:00:00"/>
    <s v="MP Út Tuyền - B.Sao"/>
    <s v="Khách hàng Trung thành"/>
    <n v="24990"/>
    <n v="0.1110666666666667"/>
    <n v="30"/>
    <n v="0"/>
    <n v="2023"/>
    <n v="11"/>
    <x v="0"/>
  </r>
  <r>
    <n v="515"/>
    <s v="T3501"/>
    <x v="174"/>
    <s v="Chai"/>
    <n v="38335"/>
    <n v="1"/>
    <n v="5"/>
    <n v="62500"/>
    <n v="62500"/>
    <d v="2023-11-03T00:00:00"/>
    <s v="MP Út Tuyền - B.Sao"/>
    <s v="Khách hàng Trung thành"/>
    <n v="24165"/>
    <n v="0.38663999999999998"/>
    <n v="6"/>
    <n v="0.16666666666666671"/>
    <n v="2023"/>
    <n v="11"/>
    <x v="1"/>
  </r>
  <r>
    <n v="516"/>
    <s v="KTN80"/>
    <x v="116"/>
    <s v="Gói"/>
    <n v="52500"/>
    <n v="0"/>
    <n v="10"/>
    <n v="70000"/>
    <n v="70000"/>
    <d v="2023-11-03T00:00:00"/>
    <s v="Cô Huệ - B.Sao"/>
    <s v="Khách hàng Tiềm năng"/>
    <n v="17500"/>
    <n v="0.25"/>
    <n v="10"/>
    <n v="0"/>
    <n v="2023"/>
    <n v="11"/>
    <x v="4"/>
  </r>
  <r>
    <n v="517"/>
    <s v="KTN802"/>
    <x v="98"/>
    <s v="Gói"/>
    <n v="52500"/>
    <n v="0"/>
    <n v="10"/>
    <n v="70000"/>
    <n v="70000"/>
    <d v="2023-11-03T00:00:00"/>
    <s v="Cô Huệ - B.Sao"/>
    <s v="Khách hàng Tiềm năng"/>
    <n v="17500"/>
    <n v="0.25"/>
    <n v="10"/>
    <n v="0"/>
    <n v="2023"/>
    <n v="11"/>
    <x v="4"/>
  </r>
  <r>
    <n v="518"/>
    <s v="KV1007"/>
    <x v="39"/>
    <s v="Gói"/>
    <n v="67500"/>
    <n v="0"/>
    <n v="10"/>
    <n v="75000"/>
    <n v="75000"/>
    <d v="2023-11-03T00:00:00"/>
    <s v="Cô Huệ - B.Sao"/>
    <s v="Khách hàng Tiềm năng"/>
    <n v="7500"/>
    <n v="0.1"/>
    <n v="10"/>
    <n v="0"/>
    <n v="2023"/>
    <n v="11"/>
    <x v="0"/>
  </r>
  <r>
    <n v="519"/>
    <s v="KV1009"/>
    <x v="46"/>
    <s v="Gói"/>
    <n v="60000"/>
    <n v="0"/>
    <n v="10"/>
    <n v="80000"/>
    <n v="80000"/>
    <d v="2023-11-03T00:00:00"/>
    <s v="Cô Huệ - B.Sao"/>
    <s v="Khách hàng Tiềm năng"/>
    <n v="20000"/>
    <n v="0.25"/>
    <n v="10"/>
    <n v="0"/>
    <n v="2023"/>
    <n v="11"/>
    <x v="0"/>
  </r>
  <r>
    <n v="521"/>
    <s v="HTBTE50"/>
    <x v="114"/>
    <s v="Hộp"/>
    <n v="181200"/>
    <n v="1"/>
    <n v="4"/>
    <n v="157000"/>
    <n v="157000"/>
    <d v="2023-11-04T00:00:00"/>
    <s v="Mỹ Hạnh - HCL"/>
    <s v="Khách hàng Trung thành"/>
    <n v="-24200"/>
    <n v="-0.154140127388535"/>
    <n v="5"/>
    <n v="0.2"/>
    <n v="2023"/>
    <n v="11"/>
    <x v="8"/>
  </r>
  <r>
    <n v="522"/>
    <s v="HTBTE501"/>
    <x v="118"/>
    <s v="Hộp"/>
    <n v="181200"/>
    <n v="0"/>
    <n v="4"/>
    <n v="200000"/>
    <n v="200000"/>
    <d v="2023-11-04T00:00:00"/>
    <s v="Mỹ Hạnh - HCL"/>
    <s v="Khách hàng Trung thành"/>
    <n v="18800"/>
    <n v="9.4E-2"/>
    <n v="4"/>
    <n v="0"/>
    <n v="2023"/>
    <n v="11"/>
    <x v="8"/>
  </r>
  <r>
    <n v="523"/>
    <s v="HTBTE502"/>
    <x v="119"/>
    <s v="Hộp"/>
    <n v="181200"/>
    <n v="0"/>
    <n v="4"/>
    <n v="200000"/>
    <n v="200000"/>
    <d v="2023-11-04T00:00:00"/>
    <s v="Mỹ Hạnh - HCL"/>
    <s v="Khách hàng Trung thành"/>
    <n v="18800"/>
    <n v="9.4E-2"/>
    <n v="4"/>
    <n v="0"/>
    <n v="2023"/>
    <n v="11"/>
    <x v="8"/>
  </r>
  <r>
    <n v="524"/>
    <s v="TNS1"/>
    <x v="24"/>
    <s v="Chai"/>
    <n v="950040"/>
    <n v="12"/>
    <n v="60"/>
    <n v="1325000"/>
    <n v="1325000"/>
    <d v="2023-11-04T00:00:00"/>
    <s v="Minh Hiền (chị Ớ) - B.H.Trung"/>
    <s v="Khách hàng VIP"/>
    <n v="374960"/>
    <n v="0.28298867924528298"/>
    <n v="72"/>
    <n v="0.16666666666666671"/>
    <n v="2023"/>
    <n v="11"/>
    <x v="1"/>
  </r>
  <r>
    <n v="525"/>
    <s v="BCA001"/>
    <x v="175"/>
    <s v="Cây"/>
    <n v="110400"/>
    <n v="0"/>
    <n v="5"/>
    <n v="105000"/>
    <n v="105000"/>
    <d v="2023-11-04T00:00:00"/>
    <s v="TT Kim Thoa - M.Long"/>
    <s v="Khách hàng Trung thành"/>
    <n v="-5400"/>
    <n v="-5.1428571428571428E-2"/>
    <n v="5"/>
    <n v="0"/>
    <n v="2023"/>
    <n v="11"/>
    <x v="2"/>
  </r>
  <r>
    <n v="526"/>
    <s v="BCA12"/>
    <x v="176"/>
    <s v="Cây"/>
    <n v="156400"/>
    <n v="0"/>
    <n v="10"/>
    <n v="140000"/>
    <n v="140000"/>
    <d v="2023-11-04T00:00:00"/>
    <s v="TT Kim Thoa - M.Long"/>
    <s v="Khách hàng Trung thành"/>
    <n v="-16400"/>
    <n v="-0.1171428571428571"/>
    <n v="10"/>
    <n v="0"/>
    <n v="2023"/>
    <n v="11"/>
    <x v="2"/>
  </r>
  <r>
    <n v="527"/>
    <s v="BCUNIQUE"/>
    <x v="177"/>
    <s v="Cây"/>
    <n v="160000"/>
    <n v="0"/>
    <n v="5"/>
    <n v="105000"/>
    <n v="105000"/>
    <d v="2023-11-04T00:00:00"/>
    <s v="TT Kim Thoa - M.Long"/>
    <s v="Khách hàng Trung thành"/>
    <n v="-55000"/>
    <n v="-0.52380952380952384"/>
    <n v="5"/>
    <n v="0"/>
    <n v="2023"/>
    <n v="11"/>
    <x v="2"/>
  </r>
  <r>
    <n v="528"/>
    <s v="KR402"/>
    <x v="160"/>
    <s v="Gói"/>
    <n v="126720"/>
    <n v="0"/>
    <n v="6"/>
    <n v="108000"/>
    <n v="108000"/>
    <d v="2023-11-04T00:00:00"/>
    <s v="TT Kim Thoa - M.Long"/>
    <s v="Khách hàng Trung thành"/>
    <n v="-18720"/>
    <n v="-0.17333333333333331"/>
    <n v="6"/>
    <n v="0"/>
    <n v="2023"/>
    <n v="11"/>
    <x v="0"/>
  </r>
  <r>
    <n v="530"/>
    <s v="BSOGI12"/>
    <x v="78"/>
    <s v="Hủ"/>
    <n v="63000"/>
    <n v="0"/>
    <n v="1"/>
    <n v="73000"/>
    <n v="73000"/>
    <d v="2023-11-04T00:00:00"/>
    <s v="Kim Loan - B.H.Tây"/>
    <s v="Khách hàng Tiềm năng"/>
    <n v="10000"/>
    <n v="0.13698630136986301"/>
    <n v="1"/>
    <n v="0"/>
    <n v="2023"/>
    <n v="11"/>
    <x v="8"/>
  </r>
  <r>
    <n v="531"/>
    <s v="BSOGI121"/>
    <x v="47"/>
    <s v="Hủ"/>
    <n v="63000"/>
    <n v="0"/>
    <n v="1"/>
    <n v="73000"/>
    <n v="73000"/>
    <d v="2023-11-04T00:00:00"/>
    <s v="Kim Loan - B.H.Tây"/>
    <s v="Khách hàng Tiềm năng"/>
    <n v="10000"/>
    <n v="0.13698630136986301"/>
    <n v="1"/>
    <n v="0"/>
    <n v="2023"/>
    <n v="11"/>
    <x v="8"/>
  </r>
  <r>
    <n v="536"/>
    <s v="BG1000"/>
    <x v="178"/>
    <s v="Gói"/>
    <n v="320004"/>
    <n v="6"/>
    <n v="12"/>
    <n v="210000"/>
    <n v="210000"/>
    <d v="2023-11-04T00:00:00"/>
    <s v="TH Trinh (Mỹ Trinh) - HCL (cuối chợ)"/>
    <s v="Khách hàng VIP"/>
    <n v="-110004"/>
    <n v="-0.52382857142857142"/>
    <n v="18"/>
    <n v="0.33333333333333331"/>
    <n v="2023"/>
    <n v="11"/>
    <x v="1"/>
  </r>
  <r>
    <n v="537"/>
    <s v="BG5200"/>
    <x v="179"/>
    <s v="Gói"/>
    <n v="1058940"/>
    <n v="0"/>
    <n v="9"/>
    <n v="1431000"/>
    <n v="1431000"/>
    <d v="2023-11-04T00:00:00"/>
    <s v="TH Trinh (Mỹ Trinh) - HCL (cuối chợ)"/>
    <s v="Khách hàng VIP"/>
    <n v="372060"/>
    <n v="0.26"/>
    <n v="9"/>
    <n v="0"/>
    <n v="2023"/>
    <n v="11"/>
    <x v="1"/>
  </r>
  <r>
    <n v="538"/>
    <s v="BSOGI12"/>
    <x v="78"/>
    <s v="Hủ"/>
    <n v="63000"/>
    <n v="0"/>
    <n v="1"/>
    <n v="73000"/>
    <n v="73000"/>
    <d v="2023-11-04T00:00:00"/>
    <s v="TH Hiếu (Ngọc Hiếu) - N.Mỹ"/>
    <s v="Khách hàng Trung thành"/>
    <n v="10000"/>
    <n v="0.13698630136986301"/>
    <n v="1"/>
    <n v="0"/>
    <n v="2023"/>
    <n v="11"/>
    <x v="8"/>
  </r>
  <r>
    <n v="539"/>
    <s v="BSOGI121"/>
    <x v="47"/>
    <s v="Hủ"/>
    <n v="63000"/>
    <n v="0"/>
    <n v="1"/>
    <n v="73000"/>
    <n v="73000"/>
    <d v="2023-11-04T00:00:00"/>
    <s v="TH Hiếu (Ngọc Hiếu) - N.Mỹ"/>
    <s v="Khách hàng Trung thành"/>
    <n v="10000"/>
    <n v="0.13698630136986301"/>
    <n v="1"/>
    <n v="0"/>
    <n v="2023"/>
    <n v="11"/>
    <x v="8"/>
  </r>
  <r>
    <n v="540"/>
    <s v="HTBX3501"/>
    <x v="180"/>
    <s v="Hộp"/>
    <n v="114400"/>
    <n v="0"/>
    <n v="2"/>
    <n v="134000"/>
    <n v="134000"/>
    <d v="2023-11-04T00:00:00"/>
    <s v="TH Hiếu (Ngọc Hiếu) - N.Mỹ"/>
    <s v="Khách hàng Trung thành"/>
    <n v="19600"/>
    <n v="0.14626865671641789"/>
    <n v="2"/>
    <n v="0"/>
    <n v="2023"/>
    <n v="11"/>
    <x v="8"/>
  </r>
  <r>
    <n v="541"/>
    <s v="HTBX3502"/>
    <x v="181"/>
    <s v="Hộp"/>
    <n v="114400"/>
    <n v="0"/>
    <n v="2"/>
    <n v="134000"/>
    <n v="134000"/>
    <d v="2023-11-04T00:00:00"/>
    <s v="TH Hiếu (Ngọc Hiếu) - N.Mỹ"/>
    <s v="Khách hàng Trung thành"/>
    <n v="19600"/>
    <n v="0.14626865671641789"/>
    <n v="2"/>
    <n v="0"/>
    <n v="2023"/>
    <n v="11"/>
    <x v="8"/>
  </r>
  <r>
    <n v="542"/>
    <s v="HTBXG350"/>
    <x v="182"/>
    <s v="Hộp"/>
    <n v="114400"/>
    <n v="0"/>
    <n v="2"/>
    <n v="134000"/>
    <n v="134000"/>
    <d v="2023-11-04T00:00:00"/>
    <s v="TH Hiếu (Ngọc Hiếu) - N.Mỹ"/>
    <s v="Khách hàng Trung thành"/>
    <n v="19600"/>
    <n v="0.14626865671641789"/>
    <n v="2"/>
    <n v="0"/>
    <n v="2023"/>
    <n v="11"/>
    <x v="8"/>
  </r>
  <r>
    <n v="543"/>
    <s v="KTN2004"/>
    <x v="146"/>
    <s v="Gói"/>
    <n v="122000"/>
    <n v="0"/>
    <n v="10"/>
    <n v="140000"/>
    <n v="140000"/>
    <d v="2023-11-04T00:00:00"/>
    <s v="TH Hiếu (Ngọc Hiếu) - N.Mỹ"/>
    <s v="Khách hàng Trung thành"/>
    <n v="18000"/>
    <n v="0.12857142857142859"/>
    <n v="10"/>
    <n v="0"/>
    <n v="2023"/>
    <n v="11"/>
    <x v="4"/>
  </r>
  <r>
    <n v="544"/>
    <s v="HTBX3501"/>
    <x v="180"/>
    <s v="Hộp"/>
    <n v="114400"/>
    <n v="0"/>
    <n v="2"/>
    <n v="134000"/>
    <n v="134000"/>
    <d v="2023-11-04T00:00:00"/>
    <s v="Kim Phụng Điện - HCL"/>
    <s v="Khách hàng Trung thành"/>
    <n v="19600"/>
    <n v="0.14626865671641789"/>
    <n v="2"/>
    <n v="0"/>
    <n v="2023"/>
    <n v="11"/>
    <x v="8"/>
  </r>
  <r>
    <n v="545"/>
    <s v="HTBX3502"/>
    <x v="181"/>
    <s v="Hộp"/>
    <n v="114400"/>
    <n v="0"/>
    <n v="2"/>
    <n v="134000"/>
    <n v="134000"/>
    <d v="2023-11-04T00:00:00"/>
    <s v="Kim Phụng Điện - HCL"/>
    <s v="Khách hàng Trung thành"/>
    <n v="19600"/>
    <n v="0.14626865671641789"/>
    <n v="2"/>
    <n v="0"/>
    <n v="2023"/>
    <n v="11"/>
    <x v="8"/>
  </r>
  <r>
    <n v="546"/>
    <s v="HTBXG350"/>
    <x v="182"/>
    <s v="Hộp"/>
    <n v="114400"/>
    <n v="0"/>
    <n v="2"/>
    <n v="134000"/>
    <n v="134000"/>
    <d v="2023-11-04T00:00:00"/>
    <s v="Kim Phụng Điện - HCL"/>
    <s v="Khách hàng Trung thành"/>
    <n v="19600"/>
    <n v="0.14626865671641789"/>
    <n v="2"/>
    <n v="0"/>
    <n v="2023"/>
    <n v="11"/>
    <x v="8"/>
  </r>
  <r>
    <n v="549"/>
    <s v="HTBTE50"/>
    <x v="114"/>
    <s v="Hộp"/>
    <n v="543600"/>
    <n v="0"/>
    <n v="12"/>
    <n v="600000"/>
    <n v="600000"/>
    <d v="2023-11-04T00:00:00"/>
    <s v="Thế Giới Con Cưng - HCL"/>
    <s v="Khách hàng Trung thành"/>
    <n v="56400"/>
    <n v="9.4E-2"/>
    <n v="12"/>
    <n v="0"/>
    <n v="2023"/>
    <n v="11"/>
    <x v="8"/>
  </r>
  <r>
    <n v="550"/>
    <s v="HTBTE501"/>
    <x v="118"/>
    <s v="Hộp"/>
    <n v="815400"/>
    <n v="0"/>
    <n v="18"/>
    <n v="900000"/>
    <n v="900000"/>
    <d v="2023-11-04T00:00:00"/>
    <s v="Thế Giới Con Cưng - HCL"/>
    <s v="Khách hàng Trung thành"/>
    <n v="84600"/>
    <n v="9.4E-2"/>
    <n v="18"/>
    <n v="0"/>
    <n v="2023"/>
    <n v="11"/>
    <x v="8"/>
  </r>
  <r>
    <n v="551"/>
    <s v="HTBTE502"/>
    <x v="119"/>
    <s v="Hộp"/>
    <n v="815400"/>
    <n v="0"/>
    <n v="18"/>
    <n v="900000"/>
    <n v="900000"/>
    <d v="2023-11-04T00:00:00"/>
    <s v="Thế Giới Con Cưng - HCL"/>
    <s v="Khách hàng Trung thành"/>
    <n v="84600"/>
    <n v="9.4E-2"/>
    <n v="18"/>
    <n v="0"/>
    <n v="2023"/>
    <n v="11"/>
    <x v="8"/>
  </r>
  <r>
    <n v="553"/>
    <s v="HTBX288"/>
    <x v="183"/>
    <s v="Hộp"/>
    <n v="125400"/>
    <n v="0"/>
    <n v="3"/>
    <n v="147000"/>
    <n v="147000"/>
    <d v="2023-11-04T00:00:00"/>
    <s v="CH sữa tả Quý Ngọc - B.H.Trung"/>
    <s v="Khách hàng Trung thành"/>
    <n v="21600"/>
    <n v="0.14693877551020409"/>
    <n v="3"/>
    <n v="0"/>
    <n v="2023"/>
    <n v="11"/>
    <x v="8"/>
  </r>
  <r>
    <n v="554"/>
    <s v="HTBX2881"/>
    <x v="184"/>
    <s v="Hộp"/>
    <n v="125400"/>
    <n v="0"/>
    <n v="3"/>
    <n v="147000"/>
    <n v="147000"/>
    <d v="2023-11-04T00:00:00"/>
    <s v="CH sữa tả Quý Ngọc - B.H.Trung"/>
    <s v="Khách hàng Trung thành"/>
    <n v="21600"/>
    <n v="0.14693877551020409"/>
    <n v="3"/>
    <n v="0"/>
    <n v="2023"/>
    <n v="11"/>
    <x v="8"/>
  </r>
  <r>
    <n v="556"/>
    <s v="HM608"/>
    <x v="36"/>
    <s v="Hộp"/>
    <n v="600000"/>
    <n v="0"/>
    <n v="6"/>
    <n v="1308000"/>
    <n v="1308000"/>
    <d v="2023-11-04T00:00:00"/>
    <s v="Khải Vân - HCL"/>
    <s v="Khách hàng Tiềm năng"/>
    <n v="708000"/>
    <n v="0.54128440366972475"/>
    <n v="6"/>
    <n v="0"/>
    <n v="2023"/>
    <n v="11"/>
    <x v="7"/>
  </r>
  <r>
    <n v="558"/>
    <s v="HM608"/>
    <x v="36"/>
    <s v="Hộp"/>
    <n v="300000"/>
    <n v="0"/>
    <n v="3"/>
    <n v="654000"/>
    <n v="654000"/>
    <d v="2023-11-04T00:00:00"/>
    <s v="Kim Thúy - HCL"/>
    <s v="Khách hàng Trung thành"/>
    <n v="354000"/>
    <n v="0.54128440366972475"/>
    <n v="3"/>
    <n v="0"/>
    <n v="2023"/>
    <n v="11"/>
    <x v="7"/>
  </r>
  <r>
    <n v="559"/>
    <s v="HTK151"/>
    <x v="120"/>
    <s v="Dây"/>
    <n v="150000"/>
    <n v="0"/>
    <n v="4"/>
    <n v="168000"/>
    <n v="168000"/>
    <d v="2023-11-04T00:00:00"/>
    <s v="Kim Thúy - HCL"/>
    <s v="Khách hàng Trung thành"/>
    <n v="18000"/>
    <n v="0.1071428571428571"/>
    <n v="4"/>
    <n v="0"/>
    <n v="2023"/>
    <n v="11"/>
    <x v="4"/>
  </r>
  <r>
    <n v="560"/>
    <s v="KTN2004"/>
    <x v="146"/>
    <s v="Gói"/>
    <n v="122000"/>
    <n v="0"/>
    <n v="10"/>
    <n v="140000"/>
    <n v="140000"/>
    <d v="2023-11-04T00:00:00"/>
    <s v="Kim Thúy - HCL"/>
    <s v="Khách hàng Trung thành"/>
    <n v="18000"/>
    <n v="0.12857142857142859"/>
    <n v="10"/>
    <n v="0"/>
    <n v="2023"/>
    <n v="11"/>
    <x v="4"/>
  </r>
  <r>
    <n v="561"/>
    <s v="BSOGI12"/>
    <x v="78"/>
    <s v="Hủ"/>
    <n v="63000"/>
    <n v="0"/>
    <n v="1"/>
    <n v="72000"/>
    <n v="72000"/>
    <d v="2023-11-04T00:00:00"/>
    <s v="Thuận Tài - B.H.Trung "/>
    <s v="Khách hàng Tiềm năng"/>
    <n v="9000"/>
    <n v="0.125"/>
    <n v="1"/>
    <n v="0"/>
    <n v="2023"/>
    <n v="11"/>
    <x v="8"/>
  </r>
  <r>
    <n v="562"/>
    <s v="CG50"/>
    <x v="18"/>
    <s v="Cái"/>
    <n v="165000"/>
    <n v="0"/>
    <n v="30"/>
    <n v="200000"/>
    <n v="200000"/>
    <d v="2023-11-04T00:00:00"/>
    <s v="Thuận Tài - B.H.Trung "/>
    <s v="Khách hàng Tiềm năng"/>
    <n v="35000"/>
    <n v="0.17499999999999999"/>
    <n v="30"/>
    <n v="0"/>
    <n v="2023"/>
    <n v="11"/>
    <x v="4"/>
  </r>
  <r>
    <n v="563"/>
    <s v="HTBX3501"/>
    <x v="180"/>
    <s v="Hộp"/>
    <n v="114400"/>
    <n v="0"/>
    <n v="2"/>
    <n v="134000"/>
    <n v="134000"/>
    <d v="2023-11-04T00:00:00"/>
    <s v="Tuấn Kiệt - M.Long"/>
    <s v="Khách hàng VIP"/>
    <n v="19600"/>
    <n v="0.14626865671641789"/>
    <n v="2"/>
    <n v="0"/>
    <n v="2023"/>
    <n v="11"/>
    <x v="8"/>
  </r>
  <r>
    <n v="564"/>
    <s v="HTBX3502"/>
    <x v="181"/>
    <s v="Hộp"/>
    <n v="114400"/>
    <n v="0"/>
    <n v="2"/>
    <n v="134000"/>
    <n v="134000"/>
    <d v="2023-11-04T00:00:00"/>
    <s v="Tuấn Kiệt - M.Long"/>
    <s v="Khách hàng VIP"/>
    <n v="19600"/>
    <n v="0.14626865671641789"/>
    <n v="2"/>
    <n v="0"/>
    <n v="2023"/>
    <n v="11"/>
    <x v="8"/>
  </r>
  <r>
    <n v="565"/>
    <s v="HTBXG350"/>
    <x v="182"/>
    <s v="Hộp"/>
    <n v="57200"/>
    <n v="0"/>
    <n v="1"/>
    <n v="67000"/>
    <n v="67000"/>
    <d v="2023-11-04T00:00:00"/>
    <s v="Tuấn Kiệt - M.Long"/>
    <s v="Khách hàng VIP"/>
    <n v="9800"/>
    <n v="0.14626865671641789"/>
    <n v="1"/>
    <n v="0"/>
    <n v="2023"/>
    <n v="11"/>
    <x v="8"/>
  </r>
  <r>
    <n v="567"/>
    <s v="SBOMGROW900"/>
    <x v="84"/>
    <s v="Lon"/>
    <n v="2548800"/>
    <n v="0"/>
    <n v="12"/>
    <n v="2865600"/>
    <n v="2865600"/>
    <d v="2023-11-06T00:00:00"/>
    <s v="TT Hoàng Yến - M.Long"/>
    <s v="Khách hàng Trung thành"/>
    <n v="316800"/>
    <n v="0.1105527638190955"/>
    <n v="12"/>
    <n v="0"/>
    <n v="2023"/>
    <n v="11"/>
    <x v="10"/>
  </r>
  <r>
    <n v="568"/>
    <s v="KR1001"/>
    <x v="122"/>
    <s v="Gói"/>
    <n v="3360000"/>
    <n v="0"/>
    <n v="70"/>
    <n v="2912000"/>
    <n v="2912000"/>
    <d v="2023-11-06T00:00:00"/>
    <s v="Hoàng Huyên - M.Long"/>
    <s v="Khách hàng Trung thành"/>
    <n v="-448000"/>
    <n v="-0.15384615384615391"/>
    <n v="70"/>
    <n v="0"/>
    <n v="2023"/>
    <n v="11"/>
    <x v="0"/>
  </r>
  <r>
    <n v="569"/>
    <s v="HTBD12"/>
    <x v="93"/>
    <s v="Hộp"/>
    <n v="42084"/>
    <n v="0"/>
    <n v="1"/>
    <n v="48000"/>
    <n v="48000"/>
    <d v="2023-11-06T00:00:00"/>
    <s v="Thế giới sữa Tony - T.Nghĩa"/>
    <s v="Khách hàng Trung thành"/>
    <n v="5916"/>
    <n v="0.12325"/>
    <n v="1"/>
    <n v="0"/>
    <n v="2023"/>
    <n v="11"/>
    <x v="8"/>
  </r>
  <r>
    <n v="570"/>
    <s v="HTBD121"/>
    <x v="94"/>
    <s v="Hộp"/>
    <n v="42084"/>
    <n v="0"/>
    <n v="1"/>
    <n v="48000"/>
    <n v="48000"/>
    <d v="2023-11-06T00:00:00"/>
    <s v="Thế giới sữa Tony - T.Nghĩa"/>
    <s v="Khách hàng Trung thành"/>
    <n v="5916"/>
    <n v="0.12325"/>
    <n v="1"/>
    <n v="0"/>
    <n v="2023"/>
    <n v="11"/>
    <x v="8"/>
  </r>
  <r>
    <n v="572"/>
    <s v="HTBTE501"/>
    <x v="118"/>
    <s v="Hộp"/>
    <n v="271800"/>
    <n v="0"/>
    <n v="6"/>
    <n v="300000"/>
    <n v="300000"/>
    <d v="2023-11-06T00:00:00"/>
    <s v="Thế giới sữa Tony - T.Nghĩa"/>
    <s v="Khách hàng Trung thành"/>
    <n v="28200"/>
    <n v="9.4E-2"/>
    <n v="6"/>
    <n v="0"/>
    <n v="2023"/>
    <n v="11"/>
    <x v="8"/>
  </r>
  <r>
    <n v="573"/>
    <s v="HTBTE502"/>
    <x v="119"/>
    <s v="Hộp"/>
    <n v="271800"/>
    <n v="1"/>
    <n v="6"/>
    <n v="300000"/>
    <n v="300000"/>
    <d v="2023-11-06T00:00:00"/>
    <s v="Thế giới sữa Tony - T.Nghĩa"/>
    <s v="Khách hàng Trung thành"/>
    <n v="28200"/>
    <n v="9.4E-2"/>
    <n v="7"/>
    <n v="0.14285714285714279"/>
    <n v="2023"/>
    <n v="11"/>
    <x v="8"/>
  </r>
  <r>
    <n v="574"/>
    <s v="HTKD802"/>
    <x v="185"/>
    <s v="Gói"/>
    <n v="78320"/>
    <n v="0"/>
    <n v="5"/>
    <n v="92500"/>
    <n v="92500"/>
    <d v="2023-11-06T00:00:00"/>
    <s v="Thế giới sữa Tony - T.Nghĩa"/>
    <s v="Khách hàng Trung thành"/>
    <n v="14180"/>
    <n v="0.1532972972972973"/>
    <n v="5"/>
    <n v="0"/>
    <n v="2023"/>
    <n v="11"/>
    <x v="4"/>
  </r>
  <r>
    <n v="576"/>
    <s v="KTN80"/>
    <x v="116"/>
    <s v="Gói"/>
    <n v="26250"/>
    <n v="0"/>
    <n v="5"/>
    <n v="35000"/>
    <n v="35000"/>
    <d v="2023-11-09T00:00:00"/>
    <s v="Thanh Tâm - Ngã 4"/>
    <s v="Khách hàng Trung thành"/>
    <n v="8750"/>
    <n v="0.25"/>
    <n v="5"/>
    <n v="0"/>
    <n v="2023"/>
    <n v="11"/>
    <x v="4"/>
  </r>
  <r>
    <n v="577"/>
    <s v="KTN801"/>
    <x v="117"/>
    <s v="Gói"/>
    <n v="26250"/>
    <n v="0"/>
    <n v="5"/>
    <n v="35000"/>
    <n v="35000"/>
    <d v="2023-11-09T00:00:00"/>
    <s v="Thanh Tâm - Ngã 4"/>
    <s v="Khách hàng Trung thành"/>
    <n v="8750"/>
    <n v="0.25"/>
    <n v="5"/>
    <n v="0"/>
    <n v="2023"/>
    <n v="11"/>
    <x v="4"/>
  </r>
  <r>
    <n v="578"/>
    <s v="KTN802"/>
    <x v="98"/>
    <s v="Gói"/>
    <n v="26250"/>
    <n v="0"/>
    <n v="5"/>
    <n v="35000"/>
    <n v="35000"/>
    <d v="2023-11-09T00:00:00"/>
    <s v="Thanh Tâm - Ngã 4"/>
    <s v="Khách hàng Trung thành"/>
    <n v="8750"/>
    <n v="0.25"/>
    <n v="5"/>
    <n v="0"/>
    <n v="2023"/>
    <n v="11"/>
    <x v="4"/>
  </r>
  <r>
    <n v="579"/>
    <s v="BWW18"/>
    <x v="186"/>
    <s v="Hộp"/>
    <n v="82500"/>
    <n v="0"/>
    <n v="3"/>
    <n v="84000"/>
    <n v="84000"/>
    <d v="2023-11-09T00:00:00"/>
    <s v="Thế giới sữa Tony - T.Nghĩa"/>
    <s v="Khách hàng Trung thành"/>
    <n v="1500"/>
    <n v="1.785714285714286E-2"/>
    <n v="3"/>
    <n v="0"/>
    <n v="2023"/>
    <n v="11"/>
    <x v="8"/>
  </r>
  <r>
    <n v="580"/>
    <s v="BWW181"/>
    <x v="187"/>
    <s v="Hộp"/>
    <n v="82500"/>
    <n v="0"/>
    <n v="3"/>
    <n v="84000"/>
    <n v="84000"/>
    <d v="2023-11-09T00:00:00"/>
    <s v="Thế giới sữa Tony - T.Nghĩa"/>
    <s v="Khách hàng Trung thành"/>
    <n v="1500"/>
    <n v="1.785714285714286E-2"/>
    <n v="3"/>
    <n v="0"/>
    <n v="2023"/>
    <n v="11"/>
    <x v="8"/>
  </r>
  <r>
    <n v="581"/>
    <s v="BWW202"/>
    <x v="188"/>
    <s v="Hộp"/>
    <n v="82500"/>
    <n v="0"/>
    <n v="3"/>
    <n v="84000"/>
    <n v="84000"/>
    <d v="2023-11-09T00:00:00"/>
    <s v="Thế giới sữa Tony - T.Nghĩa"/>
    <s v="Khách hàng Trung thành"/>
    <n v="1500"/>
    <n v="1.785714285714286E-2"/>
    <n v="3"/>
    <n v="0"/>
    <n v="2023"/>
    <n v="11"/>
    <x v="8"/>
  </r>
  <r>
    <n v="582"/>
    <s v="BWW203"/>
    <x v="189"/>
    <s v="Hộp"/>
    <n v="82500"/>
    <n v="0"/>
    <n v="3"/>
    <n v="84000"/>
    <n v="84000"/>
    <d v="2023-11-09T00:00:00"/>
    <s v="Thế giới sữa Tony - T.Nghĩa"/>
    <s v="Khách hàng Trung thành"/>
    <n v="1500"/>
    <n v="1.785714285714286E-2"/>
    <n v="3"/>
    <n v="0"/>
    <n v="2023"/>
    <n v="11"/>
    <x v="8"/>
  </r>
  <r>
    <n v="583"/>
    <s v="CG50"/>
    <x v="18"/>
    <s v="Cái"/>
    <n v="165000"/>
    <n v="0"/>
    <n v="30"/>
    <n v="195000"/>
    <n v="195000"/>
    <d v="2023-11-09T00:00:00"/>
    <s v="Thế giới sữa Tony - T.Nghĩa"/>
    <s v="Khách hàng Trung thành"/>
    <n v="30000"/>
    <n v="0.15384615384615391"/>
    <n v="30"/>
    <n v="0"/>
    <n v="2023"/>
    <n v="11"/>
    <x v="4"/>
  </r>
  <r>
    <n v="584"/>
    <s v="HTBD121"/>
    <x v="94"/>
    <s v="Hộp"/>
    <n v="42084"/>
    <n v="0"/>
    <n v="1"/>
    <n v="48000"/>
    <n v="48000"/>
    <d v="2023-11-09T00:00:00"/>
    <s v="Thế giới sữa Tony - T.Nghĩa"/>
    <s v="Khách hàng Trung thành"/>
    <n v="5916"/>
    <n v="0.12325"/>
    <n v="1"/>
    <n v="0"/>
    <n v="2023"/>
    <n v="11"/>
    <x v="8"/>
  </r>
  <r>
    <n v="585"/>
    <s v="KGC10"/>
    <x v="95"/>
    <s v="Gói"/>
    <n v="90000"/>
    <n v="0"/>
    <n v="25"/>
    <n v="100000"/>
    <n v="100000"/>
    <d v="2023-11-09T00:00:00"/>
    <s v="Thế giới sữa Tony - T.Nghĩa"/>
    <s v="Khách hàng Trung thành"/>
    <n v="10000"/>
    <n v="0.1"/>
    <n v="25"/>
    <n v="0"/>
    <n v="2023"/>
    <n v="11"/>
    <x v="4"/>
  </r>
  <r>
    <n v="586"/>
    <s v="JA1KG"/>
    <x v="26"/>
    <s v="Chai"/>
    <n v="450000"/>
    <n v="12"/>
    <n v="60"/>
    <n v="650000"/>
    <n v="650000"/>
    <d v="2023-11-09T00:00:00"/>
    <s v="5 Phụng - T.Nghĩa"/>
    <s v="Khách hàng Trung thành"/>
    <n v="200000"/>
    <n v="0.30769230769230771"/>
    <n v="72"/>
    <n v="0.16666666666666671"/>
    <n v="2023"/>
    <n v="11"/>
    <x v="1"/>
  </r>
  <r>
    <n v="587"/>
    <s v="BC32C189"/>
    <x v="190"/>
    <s v="Hủ"/>
    <n v="230000"/>
    <n v="0"/>
    <n v="2"/>
    <n v="390000"/>
    <n v="390000"/>
    <d v="2023-11-09T00:00:00"/>
    <s v="Chị Nhung - T.Nghĩa"/>
    <s v="Khách hàng Trung thành"/>
    <n v="160000"/>
    <n v="0.41025641025641019"/>
    <n v="2"/>
    <n v="0"/>
    <n v="2023"/>
    <n v="11"/>
    <x v="2"/>
  </r>
  <r>
    <n v="588"/>
    <s v="CG50"/>
    <x v="18"/>
    <s v="Cái"/>
    <n v="165000"/>
    <n v="0"/>
    <n v="30"/>
    <n v="180000"/>
    <n v="180000"/>
    <d v="2023-11-09T00:00:00"/>
    <s v="Chị Nhung - T.Nghĩa"/>
    <s v="Khách hàng Trung thành"/>
    <n v="15000"/>
    <n v="8.3333333333333329E-2"/>
    <n v="30"/>
    <n v="0"/>
    <n v="2023"/>
    <n v="11"/>
    <x v="4"/>
  </r>
  <r>
    <n v="589"/>
    <s v="HTK151"/>
    <x v="120"/>
    <s v="Dây"/>
    <n v="75000"/>
    <n v="0"/>
    <n v="2"/>
    <n v="82000"/>
    <n v="82000"/>
    <d v="2023-11-09T00:00:00"/>
    <s v="Chị Nhung - T.Nghĩa"/>
    <s v="Khách hàng Trung thành"/>
    <n v="7000"/>
    <n v="8.5365853658536592E-2"/>
    <n v="2"/>
    <n v="0"/>
    <n v="2023"/>
    <n v="11"/>
    <x v="4"/>
  </r>
  <r>
    <n v="591"/>
    <s v="VMS002"/>
    <x v="91"/>
    <s v="Túi"/>
    <n v="46562"/>
    <n v="0"/>
    <n v="2"/>
    <n v="63000"/>
    <n v="63000"/>
    <d v="2023-11-09T00:00:00"/>
    <s v="Chị Nhung - T.Nghĩa"/>
    <s v="Khách hàng Trung thành"/>
    <n v="16438"/>
    <n v="0.26092063492063489"/>
    <n v="2"/>
    <n v="0"/>
    <n v="2023"/>
    <n v="11"/>
    <x v="4"/>
  </r>
  <r>
    <n v="592"/>
    <s v="CG50"/>
    <x v="18"/>
    <s v="Cái"/>
    <n v="82500"/>
    <n v="0"/>
    <n v="15"/>
    <n v="97500"/>
    <n v="97500"/>
    <d v="2023-11-09T00:00:00"/>
    <s v="An Nhiên - T.Nghĩa"/>
    <s v="Khách hàng Trung thành"/>
    <n v="15000"/>
    <n v="0.15384615384615391"/>
    <n v="15"/>
    <n v="0"/>
    <n v="2023"/>
    <n v="11"/>
    <x v="4"/>
  </r>
  <r>
    <n v="593"/>
    <s v="CG501"/>
    <x v="19"/>
    <s v="Cái"/>
    <n v="82500"/>
    <n v="0"/>
    <n v="15"/>
    <n v="97500"/>
    <n v="97500"/>
    <d v="2023-11-09T00:00:00"/>
    <s v="An Nhiên - T.Nghĩa"/>
    <s v="Khách hàng Trung thành"/>
    <n v="15000"/>
    <n v="0.15384615384615391"/>
    <n v="15"/>
    <n v="0"/>
    <n v="2023"/>
    <n v="11"/>
    <x v="4"/>
  </r>
  <r>
    <n v="594"/>
    <s v="KR1500"/>
    <x v="191"/>
    <s v="Gói"/>
    <n v="57000"/>
    <n v="0"/>
    <n v="3"/>
    <n v="84000"/>
    <n v="84000"/>
    <d v="2023-11-09T00:00:00"/>
    <s v="Ngọc Thắm - T.Nghĩa"/>
    <s v="Khách hàng Trung thành"/>
    <n v="27000"/>
    <n v="0.32142857142857151"/>
    <n v="3"/>
    <n v="0"/>
    <n v="2023"/>
    <n v="11"/>
    <x v="0"/>
  </r>
  <r>
    <n v="595"/>
    <s v="KU1509"/>
    <x v="157"/>
    <s v="Gói"/>
    <n v="90000"/>
    <n v="0"/>
    <n v="10"/>
    <n v="130000"/>
    <n v="130000"/>
    <d v="2023-11-09T00:00:00"/>
    <s v="Ngọc Thắm - T.Nghĩa"/>
    <s v="Khách hàng Trung thành"/>
    <n v="40000"/>
    <n v="0.30769230769230771"/>
    <n v="10"/>
    <n v="0"/>
    <n v="2023"/>
    <n v="11"/>
    <x v="3"/>
  </r>
  <r>
    <n v="596"/>
    <s v="KV1001"/>
    <x v="62"/>
    <s v="Gói"/>
    <n v="75000"/>
    <n v="0"/>
    <n v="10"/>
    <n v="90000"/>
    <n v="90000"/>
    <d v="2023-11-09T00:00:00"/>
    <s v="Ngọc Thắm - T.Nghĩa"/>
    <s v="Khách hàng Trung thành"/>
    <n v="15000"/>
    <n v="0.16666666666666671"/>
    <n v="10"/>
    <n v="0"/>
    <n v="2023"/>
    <n v="11"/>
    <x v="0"/>
  </r>
  <r>
    <n v="597"/>
    <s v="KV1007"/>
    <x v="39"/>
    <s v="Gói"/>
    <n v="270000"/>
    <n v="0"/>
    <n v="40"/>
    <n v="300000"/>
    <n v="300000"/>
    <d v="2023-11-09T00:00:00"/>
    <s v="Ngọc Thắm - T.Nghĩa"/>
    <s v="Khách hàng Trung thành"/>
    <n v="30000"/>
    <n v="0.1"/>
    <n v="40"/>
    <n v="0"/>
    <n v="2023"/>
    <n v="11"/>
    <x v="0"/>
  </r>
  <r>
    <n v="598"/>
    <s v="KU250"/>
    <x v="13"/>
    <s v="Gói"/>
    <n v="231000"/>
    <n v="0"/>
    <n v="30"/>
    <n v="300000"/>
    <n v="300000"/>
    <d v="2023-11-10T00:00:00"/>
    <s v="Nhung Nhựt - N.V.Tiếp"/>
    <s v="Khách hàng Trung thành"/>
    <n v="69000"/>
    <n v="0.23"/>
    <n v="30"/>
    <n v="0"/>
    <n v="2023"/>
    <n v="11"/>
    <x v="3"/>
  </r>
  <r>
    <n v="600"/>
    <s v="KV320"/>
    <x v="8"/>
    <s v="Gói"/>
    <n v="264000"/>
    <n v="0"/>
    <n v="24"/>
    <n v="240000"/>
    <n v="240000"/>
    <d v="2023-11-10T00:00:00"/>
    <s v="Phượng Loan - N.V.Tiếp"/>
    <s v="Khách hàng Trung thành"/>
    <n v="-24000"/>
    <n v="-0.1"/>
    <n v="24"/>
    <n v="0"/>
    <n v="2023"/>
    <n v="11"/>
    <x v="0"/>
  </r>
  <r>
    <n v="601"/>
    <s v="KV1002"/>
    <x v="3"/>
    <s v="Gói"/>
    <n v="1296000"/>
    <n v="0"/>
    <n v="180"/>
    <n v="1692000"/>
    <n v="1692000"/>
    <d v="2023-11-10T00:00:00"/>
    <s v="Căn tin BV Phổi( Chị Duyên) - BV phổi"/>
    <s v="Khách hàng VIP"/>
    <n v="396000"/>
    <n v="0.23404255319148939"/>
    <n v="180"/>
    <n v="0"/>
    <n v="2023"/>
    <n v="11"/>
    <x v="0"/>
  </r>
  <r>
    <n v="602"/>
    <s v="BSOGI12"/>
    <x v="78"/>
    <s v="Hủ"/>
    <n v="63000"/>
    <n v="0"/>
    <n v="1"/>
    <n v="73000"/>
    <n v="73000"/>
    <d v="2023-11-10T00:00:00"/>
    <s v="Bảo Trân (Chị Trâm) - P.Thịnh"/>
    <s v="Khách hàng Tiềm năng"/>
    <n v="10000"/>
    <n v="0.13698630136986301"/>
    <n v="1"/>
    <n v="0"/>
    <n v="2023"/>
    <n v="11"/>
    <x v="8"/>
  </r>
  <r>
    <n v="603"/>
    <s v="HTK151"/>
    <x v="120"/>
    <s v="Dây"/>
    <n v="75000"/>
    <n v="0"/>
    <n v="2"/>
    <n v="84000"/>
    <n v="84000"/>
    <d v="2023-11-10T00:00:00"/>
    <s v="Bảo Trân (Chị Trâm) - P.Thịnh"/>
    <s v="Khách hàng Tiềm năng"/>
    <n v="9000"/>
    <n v="0.1071428571428571"/>
    <n v="2"/>
    <n v="0"/>
    <n v="2023"/>
    <n v="11"/>
    <x v="4"/>
  </r>
  <r>
    <n v="604"/>
    <s v="KDL03"/>
    <x v="192"/>
    <s v="Cây"/>
    <n v="225000"/>
    <n v="0"/>
    <n v="30"/>
    <n v="285000"/>
    <n v="285000"/>
    <d v="2023-11-10T00:00:00"/>
    <s v="Shop Hope - N.V.Tiếp ( Đập Đá)"/>
    <s v="Khách hàng Tiềm năng"/>
    <n v="60000"/>
    <n v="0.2105263157894737"/>
    <n v="30"/>
    <n v="0"/>
    <n v="2023"/>
    <n v="11"/>
    <x v="0"/>
  </r>
  <r>
    <n v="605"/>
    <s v="KU20"/>
    <x v="193"/>
    <s v="Gói"/>
    <n v="104400"/>
    <n v="0"/>
    <n v="36"/>
    <n v="144000"/>
    <n v="144000"/>
    <d v="2023-11-10T00:00:00"/>
    <s v="Ngọc Hạnh - P.Thịnh"/>
    <s v="Khách hàng Tiềm năng"/>
    <n v="39600"/>
    <n v="0.27500000000000002"/>
    <n v="36"/>
    <n v="0"/>
    <n v="2023"/>
    <n v="11"/>
    <x v="3"/>
  </r>
  <r>
    <n v="606"/>
    <s v="GC616"/>
    <x v="194"/>
    <s v="Cây"/>
    <n v="64000"/>
    <n v="0"/>
    <n v="2"/>
    <n v="80000"/>
    <n v="80000"/>
    <d v="2023-11-10T00:00:00"/>
    <s v="Thanh Thúy - P.Trà"/>
    <s v="Khách hàng Tiềm năng"/>
    <n v="16000"/>
    <n v="0.2"/>
    <n v="2"/>
    <n v="0"/>
    <n v="2023"/>
    <n v="11"/>
    <x v="7"/>
  </r>
  <r>
    <n v="607"/>
    <s v="NSSK555"/>
    <x v="63"/>
    <s v="Thùng"/>
    <n v="156000"/>
    <n v="0"/>
    <n v="2"/>
    <n v="172000"/>
    <n v="172000"/>
    <d v="2023-11-10T00:00:00"/>
    <s v="Thanh Thúy - P.Trà"/>
    <s v="Khách hàng Tiềm năng"/>
    <n v="16000"/>
    <n v="9.3023255813953487E-2"/>
    <n v="2"/>
    <n v="0"/>
    <n v="2023"/>
    <n v="11"/>
    <x v="9"/>
  </r>
  <r>
    <n v="608"/>
    <s v="HM608"/>
    <x v="36"/>
    <s v="Hộp"/>
    <n v="600000"/>
    <n v="0"/>
    <n v="6"/>
    <n v="1308000"/>
    <n v="1308000"/>
    <d v="2023-11-11T00:00:00"/>
    <s v="Thái Nguyên - T.Linh"/>
    <s v="Khách hàng Trung thành"/>
    <n v="708000"/>
    <n v="0.54128440366972475"/>
    <n v="6"/>
    <n v="0"/>
    <n v="2023"/>
    <n v="11"/>
    <x v="7"/>
  </r>
  <r>
    <n v="610"/>
    <s v="KU250"/>
    <x v="13"/>
    <s v="Gói"/>
    <n v="231000"/>
    <n v="0"/>
    <n v="30"/>
    <n v="300000"/>
    <n v="300000"/>
    <d v="2023-11-11T00:00:00"/>
    <s v="Thái Nguyên - T.Linh"/>
    <s v="Khách hàng Trung thành"/>
    <n v="69000"/>
    <n v="0.23"/>
    <n v="30"/>
    <n v="0"/>
    <n v="2023"/>
    <n v="11"/>
    <x v="3"/>
  </r>
  <r>
    <n v="611"/>
    <s v="BC32C189"/>
    <x v="190"/>
    <s v="Hủ"/>
    <n v="115000"/>
    <n v="0"/>
    <n v="1"/>
    <n v="150000"/>
    <n v="150000"/>
    <d v="2023-11-13T00:00:00"/>
    <s v="Mỹ Hạnh - HCL"/>
    <s v="Khách hàng Trung thành"/>
    <n v="35000"/>
    <n v="0.23333333333333331"/>
    <n v="1"/>
    <n v="0"/>
    <n v="2023"/>
    <n v="11"/>
    <x v="2"/>
  </r>
  <r>
    <n v="612"/>
    <s v="BCTE001"/>
    <x v="171"/>
    <s v="Cây"/>
    <n v="93336"/>
    <n v="0"/>
    <n v="8"/>
    <n v="112000"/>
    <n v="112000"/>
    <d v="2023-11-13T00:00:00"/>
    <s v="Mỹ Hạnh - HCL"/>
    <s v="Khách hàng Trung thành"/>
    <n v="18664"/>
    <n v="0.16664285714285709"/>
    <n v="8"/>
    <n v="0"/>
    <n v="2023"/>
    <n v="11"/>
    <x v="2"/>
  </r>
  <r>
    <n v="613"/>
    <s v="BCTE002"/>
    <x v="172"/>
    <s v="Cây"/>
    <n v="93336"/>
    <n v="0"/>
    <n v="8"/>
    <n v="112000"/>
    <n v="112000"/>
    <d v="2023-11-13T00:00:00"/>
    <s v="Mỹ Hạnh - HCL"/>
    <s v="Khách hàng Trung thành"/>
    <n v="18664"/>
    <n v="0.16664285714285709"/>
    <n v="8"/>
    <n v="0"/>
    <n v="2023"/>
    <n v="11"/>
    <x v="2"/>
  </r>
  <r>
    <n v="614"/>
    <s v="BCTE003"/>
    <x v="173"/>
    <s v="Cây"/>
    <n v="93336"/>
    <n v="4"/>
    <n v="8"/>
    <n v="64000"/>
    <n v="64000"/>
    <d v="2023-11-13T00:00:00"/>
    <s v="Mỹ Hạnh - HCL"/>
    <s v="Khách hàng Trung thành"/>
    <n v="-29336"/>
    <n v="-0.45837499999999998"/>
    <n v="12"/>
    <n v="0.33333333333333331"/>
    <n v="2023"/>
    <n v="11"/>
    <x v="2"/>
  </r>
  <r>
    <n v="615"/>
    <s v="KDR002"/>
    <x v="147"/>
    <s v="Hộp"/>
    <n v="66665"/>
    <n v="2"/>
    <n v="5"/>
    <n v="54000"/>
    <n v="54000"/>
    <d v="2023-11-13T00:00:00"/>
    <s v="Mỹ Hạnh - HCL"/>
    <s v="Khách hàng Trung thành"/>
    <n v="-12665"/>
    <n v="-0.23453703703703699"/>
    <n v="7"/>
    <n v="0.2857142857142857"/>
    <n v="2023"/>
    <n v="11"/>
    <x v="2"/>
  </r>
  <r>
    <n v="616"/>
    <s v="KDR003"/>
    <x v="148"/>
    <s v="Hộp"/>
    <n v="66665"/>
    <n v="0"/>
    <n v="5"/>
    <n v="80000"/>
    <n v="80000"/>
    <d v="2023-11-13T00:00:00"/>
    <s v="Mỹ Hạnh - HCL"/>
    <s v="Khách hàng Trung thành"/>
    <n v="13335"/>
    <n v="0.16668749999999999"/>
    <n v="5"/>
    <n v="0"/>
    <n v="2023"/>
    <n v="11"/>
    <x v="2"/>
  </r>
  <r>
    <n v="617"/>
    <s v="KV1001"/>
    <x v="62"/>
    <s v="Gói"/>
    <n v="450000"/>
    <n v="0"/>
    <n v="60"/>
    <n v="480000"/>
    <n v="480000"/>
    <d v="2023-11-13T00:00:00"/>
    <s v="Mỹ Hạnh - HCL"/>
    <s v="Khách hàng Trung thành"/>
    <n v="30000"/>
    <n v="6.25E-2"/>
    <n v="60"/>
    <n v="0"/>
    <n v="2023"/>
    <n v="11"/>
    <x v="0"/>
  </r>
  <r>
    <n v="618"/>
    <s v="HM600"/>
    <x v="71"/>
    <s v="Hộp"/>
    <n v="1215000"/>
    <n v="0"/>
    <n v="6"/>
    <n v="1620000"/>
    <n v="1620000"/>
    <d v="2023-11-13T00:00:00"/>
    <s v="Minh Hiền (chị Ớ) - B.H.Trung"/>
    <s v="Khách hàng VIP"/>
    <n v="405000"/>
    <n v="0.25"/>
    <n v="6"/>
    <n v="0"/>
    <n v="2023"/>
    <n v="11"/>
    <x v="7"/>
  </r>
  <r>
    <n v="619"/>
    <s v="HM601"/>
    <x v="22"/>
    <s v="Hộp"/>
    <n v="1152000"/>
    <n v="0"/>
    <n v="6"/>
    <n v="1440000"/>
    <n v="1440000"/>
    <d v="2023-11-13T00:00:00"/>
    <s v="Minh Hiền (chị Ớ) - B.H.Trung"/>
    <s v="Khách hàng VIP"/>
    <n v="288000"/>
    <n v="0.2"/>
    <n v="6"/>
    <n v="0"/>
    <n v="2023"/>
    <n v="11"/>
    <x v="7"/>
  </r>
  <r>
    <n v="622"/>
    <s v="HM609"/>
    <x v="72"/>
    <s v="Hộp"/>
    <n v="900000"/>
    <n v="0"/>
    <n v="6"/>
    <n v="1308000"/>
    <n v="1308000"/>
    <d v="2023-11-13T00:00:00"/>
    <s v="Minh Hiền (chị Ớ) - B.H.Trung"/>
    <s v="Khách hàng VIP"/>
    <n v="408000"/>
    <n v="0.31192660550458717"/>
    <n v="6"/>
    <n v="0"/>
    <n v="2023"/>
    <n v="11"/>
    <x v="7"/>
  </r>
  <r>
    <n v="623"/>
    <s v="TBTE20002"/>
    <x v="33"/>
    <s v="Hộp"/>
    <n v="535500"/>
    <n v="6"/>
    <n v="36"/>
    <n v="525000"/>
    <n v="525000"/>
    <d v="2023-11-13T00:00:00"/>
    <s v="Chị Nga - HCL"/>
    <s v="Khách hàng Trung thành"/>
    <n v="-10500"/>
    <n v="-0.02"/>
    <n v="42"/>
    <n v="0.14285714285714279"/>
    <n v="2023"/>
    <n v="11"/>
    <x v="5"/>
  </r>
  <r>
    <n v="624"/>
    <s v="KU600"/>
    <x v="195"/>
    <s v="Gói"/>
    <n v="175000"/>
    <n v="2"/>
    <n v="10"/>
    <n v="167000"/>
    <n v="167000"/>
    <d v="2023-11-13T00:00:00"/>
    <s v="Chị Sương (Thu Sương) - A.Bình"/>
    <s v="Khách hàng Mới"/>
    <n v="-8000"/>
    <n v="-4.790419161676647E-2"/>
    <n v="12"/>
    <n v="0.16666666666666671"/>
    <n v="2023"/>
    <n v="11"/>
    <x v="3"/>
  </r>
  <r>
    <n v="625"/>
    <s v="HTBD12"/>
    <x v="93"/>
    <s v="Hộp"/>
    <n v="42084"/>
    <n v="0"/>
    <n v="1"/>
    <n v="48000"/>
    <n v="48000"/>
    <d v="2023-11-13T00:00:00"/>
    <s v="Chị Đẹp - T.H.Trung"/>
    <s v="Khách hàng Mới"/>
    <n v="5916"/>
    <n v="0.12325"/>
    <n v="1"/>
    <n v="0"/>
    <n v="2023"/>
    <n v="11"/>
    <x v="8"/>
  </r>
  <r>
    <n v="626"/>
    <s v="KV1007"/>
    <x v="39"/>
    <s v="Gói"/>
    <n v="195750"/>
    <n v="0"/>
    <n v="29"/>
    <n v="217500"/>
    <n v="217500"/>
    <d v="2023-11-13T00:00:00"/>
    <s v="Chị Đẹp - T.H.Trung"/>
    <s v="Khách hàng Mới"/>
    <n v="21750"/>
    <n v="0.1"/>
    <n v="29"/>
    <n v="0"/>
    <n v="2023"/>
    <n v="11"/>
    <x v="0"/>
  </r>
  <r>
    <n v="627"/>
    <s v="KH1802"/>
    <x v="196"/>
    <s v="Hộp"/>
    <n v="692064"/>
    <n v="0"/>
    <n v="36"/>
    <n v="648000"/>
    <n v="648000"/>
    <d v="2023-11-13T00:00:00"/>
    <s v="Mỹ Nhân - N.Mỹ"/>
    <s v="Khách hàng Trung thành"/>
    <n v="-44064"/>
    <n v="-6.8000000000000005E-2"/>
    <n v="36"/>
    <n v="0"/>
    <n v="2023"/>
    <n v="11"/>
    <x v="0"/>
  </r>
  <r>
    <n v="628"/>
    <s v="KV1009"/>
    <x v="46"/>
    <s v="Gói"/>
    <n v="576000"/>
    <n v="0"/>
    <n v="96"/>
    <n v="720000"/>
    <n v="720000"/>
    <d v="2023-11-13T00:00:00"/>
    <s v="Chị Đào - T.H.Trung"/>
    <s v="Khách hàng VIP"/>
    <n v="144000"/>
    <n v="0.2"/>
    <n v="96"/>
    <n v="0"/>
    <n v="2023"/>
    <n v="11"/>
    <x v="0"/>
  </r>
  <r>
    <n v="629"/>
    <s v="HM607"/>
    <x v="68"/>
    <s v="Hộp"/>
    <n v="600000"/>
    <n v="6"/>
    <n v="6"/>
    <n v="654000"/>
    <n v="654000"/>
    <d v="2023-11-13T00:00:00"/>
    <s v="Phước Hải - A.Bình"/>
    <s v="Khách hàng Trung thành"/>
    <n v="54000"/>
    <n v="8.2568807339449546E-2"/>
    <n v="12"/>
    <n v="0.5"/>
    <n v="2023"/>
    <n v="11"/>
    <x v="7"/>
  </r>
  <r>
    <n v="630"/>
    <s v="HM608"/>
    <x v="36"/>
    <s v="Hộp"/>
    <n v="600000"/>
    <n v="6"/>
    <n v="6"/>
    <n v="654000"/>
    <n v="654000"/>
    <d v="2023-11-13T00:00:00"/>
    <s v="Phước Hải - A.Bình"/>
    <s v="Khách hàng Trung thành"/>
    <n v="54000"/>
    <n v="8.2568807339449546E-2"/>
    <n v="12"/>
    <n v="0.5"/>
    <n v="2023"/>
    <n v="11"/>
    <x v="7"/>
  </r>
  <r>
    <n v="631"/>
    <s v="BC32C189"/>
    <x v="190"/>
    <s v="Hủ"/>
    <n v="230000"/>
    <n v="0"/>
    <n v="2"/>
    <n v="390000"/>
    <n v="390000"/>
    <d v="2023-11-13T00:00:00"/>
    <s v="Trung Phụng - T.H.Trung"/>
    <s v="Khách hàng VIP"/>
    <n v="160000"/>
    <n v="0.41025641025641019"/>
    <n v="2"/>
    <n v="0"/>
    <n v="2023"/>
    <n v="11"/>
    <x v="2"/>
  </r>
  <r>
    <n v="633"/>
    <s v="HM608"/>
    <x v="36"/>
    <s v="Hộp"/>
    <n v="600000"/>
    <n v="3"/>
    <n v="6"/>
    <n v="981000"/>
    <n v="981000"/>
    <d v="2023-11-13T00:00:00"/>
    <s v="Trung Phụng - T.H.Trung"/>
    <s v="Khách hàng VIP"/>
    <n v="381000"/>
    <n v="0.38837920489296629"/>
    <n v="9"/>
    <n v="0.33333333333333331"/>
    <n v="2023"/>
    <n v="11"/>
    <x v="7"/>
  </r>
  <r>
    <n v="634"/>
    <s v="KDL03"/>
    <x v="192"/>
    <s v="Cây"/>
    <n v="75000"/>
    <n v="0"/>
    <n v="10"/>
    <n v="95000"/>
    <n v="95000"/>
    <d v="2023-11-13T00:00:00"/>
    <s v="Trung Phụng - T.H.Trung"/>
    <s v="Khách hàng VIP"/>
    <n v="20000"/>
    <n v="0.2105263157894737"/>
    <n v="10"/>
    <n v="0"/>
    <n v="2023"/>
    <n v="11"/>
    <x v="0"/>
  </r>
  <r>
    <n v="636"/>
    <s v="BCN189"/>
    <x v="87"/>
    <s v="Cây"/>
    <n v="144000"/>
    <n v="0"/>
    <n v="30"/>
    <n v="210000"/>
    <n v="210000"/>
    <d v="2023-11-13T00:00:00"/>
    <s v="TH Trinh (Mỹ Trinh) - HCL (cuối chợ)"/>
    <s v="Khách hàng VIP"/>
    <n v="66000"/>
    <n v="0.31428571428571428"/>
    <n v="30"/>
    <n v="0"/>
    <n v="2023"/>
    <n v="11"/>
    <x v="2"/>
  </r>
  <r>
    <n v="637"/>
    <s v="GC605"/>
    <x v="28"/>
    <s v="Cây"/>
    <n v="290000"/>
    <n v="1"/>
    <n v="10"/>
    <n v="355000"/>
    <n v="355000"/>
    <d v="2023-11-13T00:00:00"/>
    <s v="Út Bông - T.H.Trung"/>
    <s v="Khách hàng Trung thành"/>
    <n v="65000"/>
    <n v="0.18309859154929581"/>
    <n v="11"/>
    <n v="9.0909090909090912E-2"/>
    <n v="2023"/>
    <n v="11"/>
    <x v="7"/>
  </r>
  <r>
    <n v="638"/>
    <s v="KU250"/>
    <x v="13"/>
    <s v="Gói"/>
    <n v="77000"/>
    <n v="0"/>
    <n v="10"/>
    <n v="100000"/>
    <n v="100000"/>
    <d v="2023-11-13T00:00:00"/>
    <s v="Út Bông - T.H.Trung"/>
    <s v="Khách hàng Trung thành"/>
    <n v="23000"/>
    <n v="0.23"/>
    <n v="10"/>
    <n v="0"/>
    <n v="2023"/>
    <n v="11"/>
    <x v="3"/>
  </r>
  <r>
    <n v="639"/>
    <s v="HM607"/>
    <x v="68"/>
    <s v="Hộp"/>
    <n v="1800000"/>
    <n v="0"/>
    <n v="18"/>
    <n v="3924000"/>
    <n v="3924000"/>
    <d v="2023-11-13T00:00:00"/>
    <s v="Kim Hiếu - HCL (X.Quýt)"/>
    <s v="Khách hàng Mới"/>
    <n v="2124000"/>
    <n v="0.54128440366972475"/>
    <n v="18"/>
    <n v="0"/>
    <n v="2023"/>
    <n v="11"/>
    <x v="7"/>
  </r>
  <r>
    <n v="641"/>
    <s v="BSOGI12"/>
    <x v="78"/>
    <s v="Hủ"/>
    <n v="63000"/>
    <n v="0"/>
    <n v="1"/>
    <n v="73000"/>
    <n v="73000"/>
    <d v="2023-11-13T00:00:00"/>
    <s v="Tố Quyên - T.H.Trung"/>
    <s v="Khách hàng Trung thành"/>
    <n v="10000"/>
    <n v="0.13698630136986301"/>
    <n v="1"/>
    <n v="0"/>
    <n v="2023"/>
    <n v="11"/>
    <x v="8"/>
  </r>
  <r>
    <n v="642"/>
    <s v="KTN2002"/>
    <x v="144"/>
    <s v="Gói"/>
    <n v="61000"/>
    <n v="0"/>
    <n v="5"/>
    <n v="70000"/>
    <n v="70000"/>
    <d v="2023-11-13T00:00:00"/>
    <s v="Tố Quyên - T.H.Trung"/>
    <s v="Khách hàng Trung thành"/>
    <n v="9000"/>
    <n v="0.12857142857142859"/>
    <n v="5"/>
    <n v="0"/>
    <n v="2023"/>
    <n v="11"/>
    <x v="4"/>
  </r>
  <r>
    <n v="643"/>
    <s v="KTN2003"/>
    <x v="145"/>
    <s v="Gói"/>
    <n v="61000"/>
    <n v="0"/>
    <n v="5"/>
    <n v="70000"/>
    <n v="70000"/>
    <d v="2023-11-13T00:00:00"/>
    <s v="Tố Quyên - T.H.Trung"/>
    <s v="Khách hàng Trung thành"/>
    <n v="9000"/>
    <n v="0.12857142857142859"/>
    <n v="5"/>
    <n v="0"/>
    <n v="2023"/>
    <n v="11"/>
    <x v="4"/>
  </r>
  <r>
    <n v="644"/>
    <s v="KTN2004"/>
    <x v="146"/>
    <s v="Gói"/>
    <n v="12200"/>
    <n v="0"/>
    <n v="1"/>
    <n v="14000"/>
    <n v="14000"/>
    <d v="2023-11-13T00:00:00"/>
    <s v="Tố Quyên - T.H.Trung"/>
    <s v="Khách hàng Trung thành"/>
    <n v="1800"/>
    <n v="0.12857142857142859"/>
    <n v="1"/>
    <n v="0"/>
    <n v="2023"/>
    <n v="11"/>
    <x v="4"/>
  </r>
  <r>
    <n v="645"/>
    <s v="KTN3001"/>
    <x v="41"/>
    <s v="Hộp"/>
    <n v="174000"/>
    <n v="0"/>
    <n v="12"/>
    <n v="168000"/>
    <n v="168000"/>
    <d v="2023-11-13T00:00:00"/>
    <s v="Anh Như - Chợ 307"/>
    <s v="Khách hàng Mới"/>
    <n v="-6000"/>
    <n v="-3.5714285714285712E-2"/>
    <n v="12"/>
    <n v="0"/>
    <n v="2023"/>
    <n v="11"/>
    <x v="4"/>
  </r>
  <r>
    <n v="646"/>
    <s v="GC10"/>
    <x v="140"/>
    <s v="Dây"/>
    <n v="130000"/>
    <n v="0"/>
    <n v="5"/>
    <n v="120000"/>
    <n v="120000"/>
    <d v="2023-11-13T00:00:00"/>
    <s v="Chị Duyên - HCL (Thanh Mỹ)"/>
    <s v="Khách hàng Trung thành"/>
    <n v="-10000"/>
    <n v="-8.3333333333333329E-2"/>
    <n v="5"/>
    <n v="0"/>
    <n v="2023"/>
    <n v="11"/>
    <x v="7"/>
  </r>
  <r>
    <n v="647"/>
    <s v="GC605"/>
    <x v="28"/>
    <s v="Cây"/>
    <n v="174000"/>
    <n v="0"/>
    <n v="6"/>
    <n v="210000"/>
    <n v="210000"/>
    <d v="2023-11-13T00:00:00"/>
    <s v="Chị Duyên - HCL (Thanh Mỹ)"/>
    <s v="Khách hàng Trung thành"/>
    <n v="36000"/>
    <n v="0.1714285714285714"/>
    <n v="6"/>
    <n v="0"/>
    <n v="2023"/>
    <n v="11"/>
    <x v="7"/>
  </r>
  <r>
    <n v="648"/>
    <s v="KR402"/>
    <x v="160"/>
    <s v="Gói"/>
    <n v="211200"/>
    <n v="2"/>
    <n v="10"/>
    <n v="180000"/>
    <n v="180000"/>
    <d v="2023-11-13T00:00:00"/>
    <s v="Chị Phượng - HCL (Thanh Mỹ)"/>
    <s v="Khách hàng Mới"/>
    <n v="-31200"/>
    <n v="-0.17333333333333331"/>
    <n v="12"/>
    <n v="0.16666666666666671"/>
    <n v="2023"/>
    <n v="11"/>
    <x v="0"/>
  </r>
  <r>
    <n v="649"/>
    <s v="KU250"/>
    <x v="13"/>
    <s v="Gói"/>
    <n v="154000"/>
    <n v="0"/>
    <n v="20"/>
    <n v="200000"/>
    <n v="200000"/>
    <d v="2023-11-13T00:00:00"/>
    <s v="Anh Dũng - HCL (Thanh Mỹ)"/>
    <s v="Khách hàng Mới"/>
    <n v="46000"/>
    <n v="0.23"/>
    <n v="20"/>
    <n v="0"/>
    <n v="2023"/>
    <n v="11"/>
    <x v="3"/>
  </r>
  <r>
    <n v="650"/>
    <s v="KV1011"/>
    <x v="16"/>
    <s v="Gói"/>
    <n v="66670"/>
    <n v="0"/>
    <n v="10"/>
    <n v="75000"/>
    <n v="75000"/>
    <d v="2023-11-13T00:00:00"/>
    <s v="Anh Dũng - HCL (Thanh Mỹ)"/>
    <s v="Khách hàng Mới"/>
    <n v="8330"/>
    <n v="0.1110666666666667"/>
    <n v="10"/>
    <n v="0"/>
    <n v="2023"/>
    <n v="11"/>
    <x v="0"/>
  </r>
  <r>
    <n v="651"/>
    <s v="KU250"/>
    <x v="13"/>
    <s v="Gói"/>
    <n v="231000"/>
    <n v="0"/>
    <n v="30"/>
    <n v="330000"/>
    <n v="330000"/>
    <d v="2023-11-13T00:00:00"/>
    <s v="TH Ngân (chị Ngân) - T.H.Trung"/>
    <s v="Khách hàng Trung thành"/>
    <n v="99000"/>
    <n v="0.3"/>
    <n v="30"/>
    <n v="0"/>
    <n v="2023"/>
    <n v="11"/>
    <x v="3"/>
  </r>
  <r>
    <n v="653"/>
    <s v="TNS1"/>
    <x v="24"/>
    <s v="Chai"/>
    <n v="190008"/>
    <n v="0"/>
    <n v="12"/>
    <n v="270000"/>
    <n v="270000"/>
    <d v="2023-11-13T00:00:00"/>
    <s v="TH Ngân (chị Ngân) - T.H.Trung"/>
    <s v="Khách hàng Trung thành"/>
    <n v="79992"/>
    <n v="0.29626666666666668"/>
    <n v="12"/>
    <n v="0"/>
    <n v="2023"/>
    <n v="11"/>
    <x v="1"/>
  </r>
  <r>
    <n v="654"/>
    <s v="GC1023"/>
    <x v="141"/>
    <s v="Dây"/>
    <n v="294000"/>
    <n v="2"/>
    <n v="12"/>
    <n v="288000"/>
    <n v="288000"/>
    <d v="2023-11-13T00:00:00"/>
    <s v="Chị Tuyết - HCL (N.Mỹ)"/>
    <s v="Khách hàng Trung thành"/>
    <n v="-6000"/>
    <n v="-2.0833333333333329E-2"/>
    <n v="14"/>
    <n v="0.14285714285714279"/>
    <n v="2023"/>
    <n v="11"/>
    <x v="7"/>
  </r>
  <r>
    <n v="656"/>
    <s v="KU600"/>
    <x v="195"/>
    <s v="Gói"/>
    <n v="1575000"/>
    <n v="0"/>
    <n v="90"/>
    <n v="1800000"/>
    <n v="1800000"/>
    <d v="2023-11-13T00:00:00"/>
    <s v="Cẩm Giang - M.Xương"/>
    <s v="Khách hàng VIP"/>
    <n v="225000"/>
    <n v="0.125"/>
    <n v="90"/>
    <n v="0"/>
    <n v="2023"/>
    <n v="11"/>
    <x v="3"/>
  </r>
  <r>
    <n v="658"/>
    <s v="TNS1"/>
    <x v="24"/>
    <s v="Chai"/>
    <n v="190008"/>
    <n v="0"/>
    <n v="12"/>
    <n v="264000"/>
    <n v="264000"/>
    <d v="2023-11-13T00:00:00"/>
    <s v="Diễm Lộc - HCL ( Thanh Mỹ)"/>
    <s v="Khách hàng Mới"/>
    <n v="73992"/>
    <n v="0.28027272727272728"/>
    <n v="12"/>
    <n v="0"/>
    <n v="2023"/>
    <n v="11"/>
    <x v="1"/>
  </r>
  <r>
    <n v="659"/>
    <s v="GC605"/>
    <x v="28"/>
    <s v="Cây"/>
    <n v="290000"/>
    <n v="1"/>
    <n v="10"/>
    <n v="355000"/>
    <n v="355000"/>
    <d v="2023-11-13T00:00:00"/>
    <s v="Nhà Sách Hùng Quyến - HCL ( Thanh Mỹ)"/>
    <s v="Khách hàng Mới"/>
    <n v="65000"/>
    <n v="0.18309859154929581"/>
    <n v="11"/>
    <n v="9.0909090909090912E-2"/>
    <n v="2023"/>
    <n v="11"/>
    <x v="7"/>
  </r>
  <r>
    <n v="660"/>
    <s v="KV100"/>
    <x v="0"/>
    <s v="Gói"/>
    <n v="345600"/>
    <n v="4"/>
    <n v="48"/>
    <n v="536000"/>
    <n v="536000"/>
    <d v="2023-11-14T00:00:00"/>
    <s v="Chị Nga - HCL"/>
    <s v="Khách hàng Trung thành"/>
    <n v="190400"/>
    <n v="0.35522388059701487"/>
    <n v="52"/>
    <n v="7.6923076923076927E-2"/>
    <n v="2023"/>
    <n v="11"/>
    <x v="0"/>
  </r>
  <r>
    <n v="661"/>
    <s v="KV100"/>
    <x v="0"/>
    <s v="Gói"/>
    <n v="691200"/>
    <n v="0"/>
    <n v="96"/>
    <n v="1017600"/>
    <n v="1017600"/>
    <d v="2023-11-14T00:00:00"/>
    <s v="Thanh Trang - HCL"/>
    <s v="Khách hàng Trung thành"/>
    <n v="326400"/>
    <n v="0.32075471698113212"/>
    <n v="96"/>
    <n v="0"/>
    <n v="2023"/>
    <n v="11"/>
    <x v="0"/>
  </r>
  <r>
    <n v="663"/>
    <s v="HM608"/>
    <x v="36"/>
    <s v="Hộp"/>
    <n v="600000"/>
    <n v="6"/>
    <n v="6"/>
    <n v="654000"/>
    <n v="654000"/>
    <d v="2023-11-14T00:00:00"/>
    <s v="Ngọc Lợi - N.Mỹ ( Cầu Cần Lố 3)"/>
    <s v="Khách hàng Mới"/>
    <n v="54000"/>
    <n v="8.2568807339449546E-2"/>
    <n v="12"/>
    <n v="0.5"/>
    <n v="2023"/>
    <n v="11"/>
    <x v="7"/>
  </r>
  <r>
    <n v="664"/>
    <s v="KV1007"/>
    <x v="39"/>
    <s v="Gói"/>
    <n v="270000"/>
    <n v="0"/>
    <n v="40"/>
    <n v="320000"/>
    <n v="320000"/>
    <d v="2023-11-14T00:00:00"/>
    <s v="Ngọc Lợi - N.Mỹ ( Cầu Cần Lố 3)"/>
    <s v="Khách hàng Mới"/>
    <n v="50000"/>
    <n v="0.15625"/>
    <n v="40"/>
    <n v="0"/>
    <n v="2023"/>
    <n v="11"/>
    <x v="0"/>
  </r>
  <r>
    <n v="667"/>
    <s v="BCAKIRA"/>
    <x v="197"/>
    <s v="Cây"/>
    <n v="672000"/>
    <n v="2"/>
    <n v="12"/>
    <n v="441600"/>
    <n v="441600"/>
    <d v="2023-11-16T00:00:00"/>
    <s v="Thông Thảo - P.Mỹ (QL30)"/>
    <s v="Khách hàng VIP"/>
    <n v="-230400"/>
    <n v="-0.52173913043478259"/>
    <n v="14"/>
    <n v="0.14285714285714279"/>
    <n v="2023"/>
    <n v="11"/>
    <x v="2"/>
  </r>
  <r>
    <n v="668"/>
    <s v="BCHARU"/>
    <x v="198"/>
    <s v="Cây"/>
    <n v="330000"/>
    <n v="1"/>
    <n v="6"/>
    <n v="217000"/>
    <n v="217000"/>
    <d v="2023-11-16T00:00:00"/>
    <s v="Thông Thảo - P.Mỹ (QL30)"/>
    <s v="Khách hàng VIP"/>
    <n v="-113000"/>
    <n v="-0.52073732718894006"/>
    <n v="7"/>
    <n v="0.14285714285714279"/>
    <n v="2023"/>
    <n v="11"/>
    <x v="2"/>
  </r>
  <r>
    <n v="669"/>
    <s v="KTN2004"/>
    <x v="146"/>
    <s v="Gói"/>
    <n v="122000"/>
    <n v="0"/>
    <n v="10"/>
    <n v="140000"/>
    <n v="140000"/>
    <d v="2023-11-17T00:00:00"/>
    <s v="Phượng Loan - N.V.Tiếp"/>
    <s v="Khách hàng Trung thành"/>
    <n v="18000"/>
    <n v="0.12857142857142859"/>
    <n v="10"/>
    <n v="0"/>
    <n v="2023"/>
    <n v="11"/>
    <x v="4"/>
  </r>
  <r>
    <n v="670"/>
    <s v="KU250"/>
    <x v="13"/>
    <s v="Gói"/>
    <n v="77000"/>
    <n v="0"/>
    <n v="10"/>
    <n v="100000"/>
    <n v="100000"/>
    <d v="2023-11-17T00:00:00"/>
    <s v="Phượng Loan - N.V.Tiếp"/>
    <s v="Khách hàng Trung thành"/>
    <n v="23000"/>
    <n v="0.23"/>
    <n v="10"/>
    <n v="0"/>
    <n v="2023"/>
    <n v="11"/>
    <x v="3"/>
  </r>
  <r>
    <n v="671"/>
    <s v="KU700"/>
    <x v="199"/>
    <s v="Gói"/>
    <n v="504000"/>
    <n v="0"/>
    <n v="24"/>
    <n v="480000"/>
    <n v="480000"/>
    <d v="2023-11-17T00:00:00"/>
    <s v="Kim Phụng Điện - HCL"/>
    <s v="Khách hàng Trung thành"/>
    <n v="-24000"/>
    <n v="-0.05"/>
    <n v="24"/>
    <n v="0"/>
    <n v="2023"/>
    <n v="11"/>
    <x v="3"/>
  </r>
  <r>
    <n v="672"/>
    <s v="KR1001"/>
    <x v="122"/>
    <s v="Gói"/>
    <n v="240000"/>
    <n v="1"/>
    <n v="5"/>
    <n v="217000"/>
    <n v="217000"/>
    <d v="2023-11-18T00:00:00"/>
    <s v="TT Kim Thoa - M.Long"/>
    <s v="Khách hàng Trung thành"/>
    <n v="-23000"/>
    <n v="-0.10599078341013821"/>
    <n v="6"/>
    <n v="0.16666666666666671"/>
    <n v="2023"/>
    <n v="11"/>
    <x v="0"/>
  </r>
  <r>
    <n v="673"/>
    <s v="KTN2001"/>
    <x v="143"/>
    <s v="Gói"/>
    <n v="122000"/>
    <n v="0"/>
    <n v="10"/>
    <n v="130000"/>
    <n v="130000"/>
    <d v="2023-11-18T00:00:00"/>
    <s v="TT Kim Thoa - M.Long"/>
    <s v="Khách hàng Trung thành"/>
    <n v="8000"/>
    <n v="6.1538461538461542E-2"/>
    <n v="10"/>
    <n v="0"/>
    <n v="2023"/>
    <n v="11"/>
    <x v="4"/>
  </r>
  <r>
    <n v="674"/>
    <s v="TBTE1001"/>
    <x v="65"/>
    <s v="Túi"/>
    <n v="126000"/>
    <n v="0"/>
    <n v="24"/>
    <n v="144000"/>
    <n v="144000"/>
    <d v="2023-11-18T00:00:00"/>
    <s v="TT Kim Thoa - M.Long"/>
    <s v="Khách hàng Trung thành"/>
    <n v="18000"/>
    <n v="0.125"/>
    <n v="24"/>
    <n v="0"/>
    <n v="2023"/>
    <n v="11"/>
    <x v="5"/>
  </r>
  <r>
    <n v="675"/>
    <s v="GC100"/>
    <x v="109"/>
    <s v="Bao"/>
    <n v="57000"/>
    <n v="0"/>
    <n v="1"/>
    <n v="70000"/>
    <n v="70000"/>
    <d v="2023-11-18T00:00:00"/>
    <s v="TT Ngọc Trinh - B.H.Trung"/>
    <s v="Khách hàng Trung thành"/>
    <n v="13000"/>
    <n v="0.18571428571428569"/>
    <n v="1"/>
    <n v="0"/>
    <n v="2023"/>
    <n v="11"/>
    <x v="7"/>
  </r>
  <r>
    <n v="676"/>
    <s v="HTBG145"/>
    <x v="200"/>
    <s v="Gói"/>
    <n v="31328"/>
    <n v="0"/>
    <n v="1"/>
    <n v="37000"/>
    <n v="37000"/>
    <d v="2023-11-18T00:00:00"/>
    <s v="TT Ngọc Trinh - B.H.Trung"/>
    <s v="Khách hàng Trung thành"/>
    <n v="5672"/>
    <n v="0.1532972972972973"/>
    <n v="1"/>
    <n v="0"/>
    <n v="2023"/>
    <n v="11"/>
    <x v="8"/>
  </r>
  <r>
    <n v="677"/>
    <s v="HTBG1502"/>
    <x v="201"/>
    <s v="Gói"/>
    <n v="27720"/>
    <n v="0"/>
    <n v="1"/>
    <n v="32000"/>
    <n v="32000"/>
    <d v="2023-11-18T00:00:00"/>
    <s v="TT Ngọc Trinh - B.H.Trung"/>
    <s v="Khách hàng Trung thành"/>
    <n v="4280"/>
    <n v="0.13375000000000001"/>
    <n v="1"/>
    <n v="0"/>
    <n v="2023"/>
    <n v="11"/>
    <x v="8"/>
  </r>
  <r>
    <n v="678"/>
    <s v="HTKSB90"/>
    <x v="202"/>
    <s v="Gói"/>
    <n v="75328"/>
    <n v="0"/>
    <n v="4"/>
    <n v="90000"/>
    <n v="90000"/>
    <d v="2023-11-18T00:00:00"/>
    <s v="TT Ngọc Trinh - B.H.Trung"/>
    <s v="Khách hàng Trung thành"/>
    <n v="14672"/>
    <n v="0.16302222222222221"/>
    <n v="4"/>
    <n v="0"/>
    <n v="2023"/>
    <n v="11"/>
    <x v="4"/>
  </r>
  <r>
    <n v="679"/>
    <s v="KU801"/>
    <x v="38"/>
    <s v="Gói"/>
    <n v="40000"/>
    <n v="0"/>
    <n v="10"/>
    <n v="60000"/>
    <n v="60000"/>
    <d v="2023-11-18T00:00:00"/>
    <s v="TT Ngọc Trinh - B.H.Trung"/>
    <s v="Khách hàng Trung thành"/>
    <n v="20000"/>
    <n v="0.33333333333333331"/>
    <n v="10"/>
    <n v="0"/>
    <n v="2023"/>
    <n v="11"/>
    <x v="3"/>
  </r>
  <r>
    <n v="680"/>
    <s v="A1K15"/>
    <x v="9"/>
    <s v="Hộp"/>
    <n v="301890"/>
    <n v="1"/>
    <n v="5"/>
    <n v="275000"/>
    <n v="275000"/>
    <d v="2023-11-18T00:00:00"/>
    <s v="TT Ngọc Hạnh - Đ.Mối"/>
    <s v="Khách hàng Trung thành"/>
    <n v="-26890"/>
    <n v="-9.7781818181818178E-2"/>
    <n v="6"/>
    <n v="0.16666666666666671"/>
    <n v="2023"/>
    <n v="11"/>
    <x v="4"/>
  </r>
  <r>
    <n v="681"/>
    <s v="KU1506"/>
    <x v="15"/>
    <s v="Gói"/>
    <n v="285000"/>
    <n v="0"/>
    <n v="30"/>
    <n v="420000"/>
    <n v="420000"/>
    <d v="2023-11-18T00:00:00"/>
    <s v="TT Ngọc Hạnh - Đ.Mối"/>
    <s v="Khách hàng Trung thành"/>
    <n v="135000"/>
    <n v="0.32142857142857151"/>
    <n v="30"/>
    <n v="0"/>
    <n v="2023"/>
    <n v="11"/>
    <x v="3"/>
  </r>
  <r>
    <n v="682"/>
    <s v="KU203"/>
    <x v="152"/>
    <s v="Gói"/>
    <n v="25000"/>
    <n v="0"/>
    <n v="10"/>
    <n v="40000"/>
    <n v="40000"/>
    <d v="2023-11-18T00:00:00"/>
    <s v="TT Ngọc Hạnh - Đ.Mối"/>
    <s v="Khách hàng Trung thành"/>
    <n v="15000"/>
    <n v="0.375"/>
    <n v="10"/>
    <n v="0"/>
    <n v="2023"/>
    <n v="11"/>
    <x v="3"/>
  </r>
  <r>
    <n v="683"/>
    <s v="TB20001"/>
    <x v="105"/>
    <s v="Hộp"/>
    <n v="299250"/>
    <n v="3"/>
    <n v="18"/>
    <n v="370300"/>
    <n v="370300"/>
    <d v="2023-11-18T00:00:00"/>
    <s v="TT Ngọc Hạnh - Đ.Mối"/>
    <s v="Khách hàng Trung thành"/>
    <n v="71050"/>
    <n v="0.19187145557655949"/>
    <n v="21"/>
    <n v="0.14285714285714279"/>
    <n v="2023"/>
    <n v="11"/>
    <x v="5"/>
  </r>
  <r>
    <n v="684"/>
    <s v="TBTE1001"/>
    <x v="65"/>
    <s v="Túi"/>
    <n v="378000"/>
    <n v="12"/>
    <n v="72"/>
    <n v="432000"/>
    <n v="432000"/>
    <d v="2023-11-18T00:00:00"/>
    <s v="TT Ngọc Hạnh - Đ.Mối"/>
    <s v="Khách hàng Trung thành"/>
    <n v="54000"/>
    <n v="0.125"/>
    <n v="84"/>
    <n v="0.14285714285714279"/>
    <n v="2023"/>
    <n v="11"/>
    <x v="5"/>
  </r>
  <r>
    <n v="685"/>
    <s v="TBTE20002"/>
    <x v="33"/>
    <s v="Hộp"/>
    <n v="178500"/>
    <n v="2"/>
    <n v="12"/>
    <n v="185200"/>
    <n v="185200"/>
    <d v="2023-11-18T00:00:00"/>
    <s v="TT Ngọc Hạnh - Đ.Mối"/>
    <s v="Khách hàng Trung thành"/>
    <n v="6700"/>
    <n v="3.6177105831533482E-2"/>
    <n v="14"/>
    <n v="0.14285714285714279"/>
    <n v="2023"/>
    <n v="11"/>
    <x v="5"/>
  </r>
  <r>
    <n v="686"/>
    <s v="TBTE20003"/>
    <x v="11"/>
    <s v="Hộp"/>
    <n v="346500"/>
    <n v="3"/>
    <n v="18"/>
    <n v="370300"/>
    <n v="370300"/>
    <d v="2023-11-18T00:00:00"/>
    <s v="TT Ngọc Hạnh - Đ.Mối"/>
    <s v="Khách hàng Trung thành"/>
    <n v="23800"/>
    <n v="6.4272211720226846E-2"/>
    <n v="21"/>
    <n v="0.14285714285714279"/>
    <n v="2023"/>
    <n v="11"/>
    <x v="5"/>
  </r>
  <r>
    <n v="687"/>
    <s v="GC106"/>
    <x v="66"/>
    <s v="Cây"/>
    <n v="180000"/>
    <n v="0"/>
    <n v="10"/>
    <n v="220000"/>
    <n v="220000"/>
    <d v="2023-11-18T00:00:00"/>
    <s v="Chị Thắm (Hồng Thắm) - B.H.Tây"/>
    <s v="Khách hàng VIP"/>
    <n v="40000"/>
    <n v="0.1818181818181818"/>
    <n v="10"/>
    <n v="0"/>
    <n v="2023"/>
    <n v="11"/>
    <x v="7"/>
  </r>
  <r>
    <n v="688"/>
    <s v="HMK1"/>
    <x v="203"/>
    <s v="Hộp"/>
    <n v="384000"/>
    <n v="8"/>
    <n v="24"/>
    <n v="630000"/>
    <n v="630000"/>
    <d v="2023-11-18T00:00:00"/>
    <s v="Kim Hường - B.H.Tây"/>
    <s v="Khách hàng Mới"/>
    <n v="246000"/>
    <n v="0.39047619047619048"/>
    <n v="32"/>
    <n v="0.25"/>
    <n v="2023"/>
    <n v="11"/>
    <x v="10"/>
  </r>
  <r>
    <n v="689"/>
    <s v="HTBTE50"/>
    <x v="114"/>
    <s v="Hộp"/>
    <n v="181200"/>
    <n v="1"/>
    <n v="4"/>
    <n v="156000"/>
    <n v="156000"/>
    <d v="2023-11-18T00:00:00"/>
    <s v="TT Đông Nguyên - M.Long"/>
    <s v="Khách hàng VIP"/>
    <n v="-25200"/>
    <n v="-0.16153846153846149"/>
    <n v="5"/>
    <n v="0.2"/>
    <n v="2023"/>
    <n v="11"/>
    <x v="8"/>
  </r>
  <r>
    <n v="690"/>
    <s v="HTBTE501"/>
    <x v="118"/>
    <s v="Hộp"/>
    <n v="181200"/>
    <n v="0"/>
    <n v="4"/>
    <n v="200000"/>
    <n v="200000"/>
    <d v="2023-11-18T00:00:00"/>
    <s v="TT Đông Nguyên - M.Long"/>
    <s v="Khách hàng VIP"/>
    <n v="18800"/>
    <n v="9.4E-2"/>
    <n v="4"/>
    <n v="0"/>
    <n v="2023"/>
    <n v="11"/>
    <x v="8"/>
  </r>
  <r>
    <n v="691"/>
    <s v="HTBTE502"/>
    <x v="119"/>
    <s v="Hộp"/>
    <n v="181200"/>
    <n v="0"/>
    <n v="4"/>
    <n v="200000"/>
    <n v="200000"/>
    <d v="2023-11-18T00:00:00"/>
    <s v="TT Đông Nguyên - M.Long"/>
    <s v="Khách hàng VIP"/>
    <n v="18800"/>
    <n v="9.4E-2"/>
    <n v="4"/>
    <n v="0"/>
    <n v="2023"/>
    <n v="11"/>
    <x v="8"/>
  </r>
  <r>
    <n v="692"/>
    <s v="KV100"/>
    <x v="0"/>
    <s v="Gói"/>
    <n v="345600"/>
    <n v="4"/>
    <n v="48"/>
    <n v="536000"/>
    <n v="536000"/>
    <d v="2023-11-18T00:00:00"/>
    <s v="Như Ý - M.Trắng"/>
    <s v="Khách hàng Trung thành"/>
    <n v="190400"/>
    <n v="0.35522388059701487"/>
    <n v="52"/>
    <n v="7.6923076923076927E-2"/>
    <n v="2023"/>
    <n v="11"/>
    <x v="0"/>
  </r>
  <r>
    <n v="693"/>
    <s v="HM601"/>
    <x v="22"/>
    <s v="Hộp"/>
    <n v="1152000"/>
    <n v="0"/>
    <n v="6"/>
    <n v="1440000"/>
    <n v="1440000"/>
    <d v="2023-11-18T00:00:00"/>
    <s v="Phước Hải - A.Bình"/>
    <s v="Khách hàng Trung thành"/>
    <n v="288000"/>
    <n v="0.2"/>
    <n v="6"/>
    <n v="0"/>
    <n v="2023"/>
    <n v="11"/>
    <x v="7"/>
  </r>
  <r>
    <n v="695"/>
    <s v="KTN2001"/>
    <x v="143"/>
    <s v="Gói"/>
    <n v="122000"/>
    <n v="0"/>
    <n v="10"/>
    <n v="125000"/>
    <n v="125000"/>
    <d v="2023-11-18T00:00:00"/>
    <s v="Phước Hải - A.Bình"/>
    <s v="Khách hàng Trung thành"/>
    <n v="3000"/>
    <n v="2.4E-2"/>
    <n v="10"/>
    <n v="0"/>
    <n v="2023"/>
    <n v="11"/>
    <x v="4"/>
  </r>
  <r>
    <n v="696"/>
    <s v="KTN2002"/>
    <x v="144"/>
    <s v="Gói"/>
    <n v="122000"/>
    <n v="0"/>
    <n v="10"/>
    <n v="125000"/>
    <n v="125000"/>
    <d v="2023-11-18T00:00:00"/>
    <s v="Phước Hải - A.Bình"/>
    <s v="Khách hàng Trung thành"/>
    <n v="3000"/>
    <n v="2.4E-2"/>
    <n v="10"/>
    <n v="0"/>
    <n v="2023"/>
    <n v="11"/>
    <x v="4"/>
  </r>
  <r>
    <n v="697"/>
    <s v="KTN2003"/>
    <x v="145"/>
    <s v="Gói"/>
    <n v="122000"/>
    <n v="0"/>
    <n v="10"/>
    <n v="125000"/>
    <n v="125000"/>
    <d v="2023-11-18T00:00:00"/>
    <s v="Phước Hải - A.Bình"/>
    <s v="Khách hàng Trung thành"/>
    <n v="3000"/>
    <n v="2.4E-2"/>
    <n v="10"/>
    <n v="0"/>
    <n v="2023"/>
    <n v="11"/>
    <x v="4"/>
  </r>
  <r>
    <n v="698"/>
    <s v="KTN2004"/>
    <x v="146"/>
    <s v="Gói"/>
    <n v="122000"/>
    <n v="0"/>
    <n v="10"/>
    <n v="125000"/>
    <n v="125000"/>
    <d v="2023-11-18T00:00:00"/>
    <s v="Phước Hải - A.Bình"/>
    <s v="Khách hàng Trung thành"/>
    <n v="3000"/>
    <n v="2.4E-2"/>
    <n v="10"/>
    <n v="0"/>
    <n v="2023"/>
    <n v="11"/>
    <x v="4"/>
  </r>
  <r>
    <n v="699"/>
    <s v="KR1001"/>
    <x v="122"/>
    <s v="Gói"/>
    <n v="480000"/>
    <n v="2"/>
    <n v="10"/>
    <n v="434000"/>
    <n v="434000"/>
    <d v="2023-11-18T00:00:00"/>
    <s v="Thanh Nhã - M.Long"/>
    <s v="Khách hàng Mới"/>
    <n v="-46000"/>
    <n v="-0.10599078341013821"/>
    <n v="12"/>
    <n v="0.16666666666666671"/>
    <n v="2023"/>
    <n v="11"/>
    <x v="0"/>
  </r>
  <r>
    <n v="700"/>
    <s v="GC605"/>
    <x v="28"/>
    <s v="Cây"/>
    <n v="290000"/>
    <n v="1"/>
    <n v="10"/>
    <n v="355000"/>
    <n v="355000"/>
    <d v="2023-11-18T00:00:00"/>
    <s v="MP Nhanh - M.Hiệp"/>
    <s v="Khách hàng VIP"/>
    <n v="65000"/>
    <n v="0.18309859154929581"/>
    <n v="11"/>
    <n v="9.0909090909090912E-2"/>
    <n v="2023"/>
    <n v="11"/>
    <x v="7"/>
  </r>
  <r>
    <n v="701"/>
    <s v="KV1001"/>
    <x v="62"/>
    <s v="Gói"/>
    <n v="1125000"/>
    <n v="30"/>
    <n v="150"/>
    <n v="1350000"/>
    <n v="1350000"/>
    <d v="2023-11-18T00:00:00"/>
    <s v="MP Nhanh - M.Hiệp"/>
    <s v="Khách hàng VIP"/>
    <n v="225000"/>
    <n v="0.16666666666666671"/>
    <n v="180"/>
    <n v="0.16666666666666671"/>
    <n v="2023"/>
    <n v="11"/>
    <x v="0"/>
  </r>
  <r>
    <n v="702"/>
    <s v="GC605"/>
    <x v="28"/>
    <s v="Cây"/>
    <n v="290000"/>
    <n v="1"/>
    <n v="10"/>
    <n v="355000"/>
    <n v="355000"/>
    <d v="2023-11-18T00:00:00"/>
    <s v="TT Nguyễn Thị Định - M.Xương"/>
    <s v="Khách hàng Trung thành"/>
    <n v="65000"/>
    <n v="0.18309859154929581"/>
    <n v="11"/>
    <n v="9.0909090909090912E-2"/>
    <n v="2023"/>
    <n v="11"/>
    <x v="7"/>
  </r>
  <r>
    <n v="703"/>
    <s v="KT50-4"/>
    <x v="204"/>
    <s v="Hộp"/>
    <n v="160000"/>
    <n v="0"/>
    <n v="10"/>
    <n v="180000"/>
    <n v="180000"/>
    <d v="2023-11-18T00:00:00"/>
    <s v="TT Nguyễn Thị Định - M.Xương"/>
    <s v="Khách hàng Trung thành"/>
    <n v="20000"/>
    <n v="0.1111111111111111"/>
    <n v="10"/>
    <n v="0"/>
    <n v="2023"/>
    <n v="11"/>
    <x v="6"/>
  </r>
  <r>
    <n v="704"/>
    <s v="KU1505"/>
    <x v="205"/>
    <s v="Gói"/>
    <n v="100000"/>
    <n v="2"/>
    <n v="10"/>
    <n v="150000"/>
    <n v="150000"/>
    <d v="2023-11-18T00:00:00"/>
    <s v="TT Kim Dung - M.Hiệp"/>
    <s v="Khách hàng VIP"/>
    <n v="50000"/>
    <n v="0.33333333333333331"/>
    <n v="12"/>
    <n v="0.16666666666666671"/>
    <n v="2023"/>
    <n v="11"/>
    <x v="3"/>
  </r>
  <r>
    <n v="706"/>
    <s v="TBTE20003"/>
    <x v="11"/>
    <s v="Hộp"/>
    <n v="231000"/>
    <n v="2"/>
    <n v="12"/>
    <n v="288000"/>
    <n v="288000"/>
    <d v="2023-11-18T00:00:00"/>
    <s v="Thế Giới Con Cưng - HCL"/>
    <s v="Khách hàng Trung thành"/>
    <n v="57000"/>
    <n v="0.19791666666666671"/>
    <n v="14"/>
    <n v="0.14285714285714279"/>
    <n v="2023"/>
    <n v="11"/>
    <x v="5"/>
  </r>
  <r>
    <n v="707"/>
    <s v="KU100"/>
    <x v="7"/>
    <s v="Gói"/>
    <n v="102000"/>
    <n v="0"/>
    <n v="6"/>
    <n v="144000"/>
    <n v="144000"/>
    <d v="2023-11-18T00:00:00"/>
    <s v="Vương Quốc Sữa - B.H.Trung"/>
    <s v="Khách hàng VIP"/>
    <n v="42000"/>
    <n v="0.29166666666666669"/>
    <n v="6"/>
    <n v="0"/>
    <n v="2023"/>
    <n v="11"/>
    <x v="3"/>
  </r>
  <r>
    <n v="708"/>
    <s v="BCN198"/>
    <x v="206"/>
    <s v="Cây"/>
    <n v="135000"/>
    <n v="0"/>
    <n v="30"/>
    <n v="300000"/>
    <n v="300000"/>
    <d v="2023-11-18T00:00:00"/>
    <s v="Trinh Nữ - M.Trắng"/>
    <s v="Khách hàng Trung thành"/>
    <n v="165000"/>
    <n v="0.55000000000000004"/>
    <n v="30"/>
    <n v="0"/>
    <n v="2023"/>
    <n v="11"/>
    <x v="2"/>
  </r>
  <r>
    <n v="709"/>
    <s v="GC100"/>
    <x v="109"/>
    <s v="Bao"/>
    <n v="57000"/>
    <n v="0"/>
    <n v="1"/>
    <n v="75000"/>
    <n v="75000"/>
    <d v="2023-11-18T00:00:00"/>
    <s v="Trinh Nữ - M.Trắng"/>
    <s v="Khách hàng Trung thành"/>
    <n v="18000"/>
    <n v="0.24"/>
    <n v="1"/>
    <n v="0"/>
    <n v="2023"/>
    <n v="11"/>
    <x v="7"/>
  </r>
  <r>
    <n v="710"/>
    <s v="GC606"/>
    <x v="83"/>
    <s v="Cây"/>
    <n v="155004"/>
    <n v="0"/>
    <n v="6"/>
    <n v="222000"/>
    <n v="222000"/>
    <d v="2023-11-18T00:00:00"/>
    <s v="Trinh Nữ - M.Trắng"/>
    <s v="Khách hàng Trung thành"/>
    <n v="66996"/>
    <n v="0.30178378378378379"/>
    <n v="6"/>
    <n v="0"/>
    <n v="2023"/>
    <n v="11"/>
    <x v="7"/>
  </r>
  <r>
    <n v="712"/>
    <s v="KKDN300"/>
    <x v="14"/>
    <s v="Gói"/>
    <n v="1069200"/>
    <n v="3"/>
    <n v="27"/>
    <n v="1069200"/>
    <n v="1069200"/>
    <d v="2023-11-18T00:00:00"/>
    <s v="Thế Giới Con Cưng - B.H.Tây"/>
    <s v="Khách hàng Mới"/>
    <n v="0"/>
    <n v="0"/>
    <n v="30"/>
    <n v="0.1"/>
    <n v="2023"/>
    <n v="11"/>
    <x v="0"/>
  </r>
  <r>
    <n v="713"/>
    <s v="GC100"/>
    <x v="109"/>
    <s v="Bao"/>
    <n v="114000"/>
    <n v="0"/>
    <n v="2"/>
    <n v="140000"/>
    <n v="140000"/>
    <d v="2023-11-18T00:00:00"/>
    <s v="Tuấn Kiệt - M.Long"/>
    <s v="Khách hàng VIP"/>
    <n v="26000"/>
    <n v="0.18571428571428569"/>
    <n v="2"/>
    <n v="0"/>
    <n v="2023"/>
    <n v="11"/>
    <x v="7"/>
  </r>
  <r>
    <n v="714"/>
    <s v="HTBG145"/>
    <x v="200"/>
    <s v="Gói"/>
    <n v="156640"/>
    <n v="0"/>
    <n v="5"/>
    <n v="175000"/>
    <n v="175000"/>
    <d v="2023-11-18T00:00:00"/>
    <s v="Tuấn Kiệt - M.Long"/>
    <s v="Khách hàng VIP"/>
    <n v="18360"/>
    <n v="0.1049142857142857"/>
    <n v="5"/>
    <n v="0"/>
    <n v="2023"/>
    <n v="11"/>
    <x v="8"/>
  </r>
  <r>
    <n v="715"/>
    <s v="HTBG1502"/>
    <x v="201"/>
    <s v="Gói"/>
    <n v="138600"/>
    <n v="0"/>
    <n v="5"/>
    <n v="160000"/>
    <n v="160000"/>
    <d v="2023-11-18T00:00:00"/>
    <s v="Tuấn Kiệt - M.Long"/>
    <s v="Khách hàng VIP"/>
    <n v="21400"/>
    <n v="0.13375000000000001"/>
    <n v="5"/>
    <n v="0"/>
    <n v="2023"/>
    <n v="11"/>
    <x v="8"/>
  </r>
  <r>
    <n v="716"/>
    <s v="NSSK555"/>
    <x v="63"/>
    <s v="Thùng"/>
    <n v="156000"/>
    <n v="0"/>
    <n v="2"/>
    <n v="156000"/>
    <n v="156000"/>
    <d v="2023-11-18T00:00:00"/>
    <s v="Tuấn Kiệt - M.Long"/>
    <s v="Khách hàng VIP"/>
    <n v="0"/>
    <n v="0"/>
    <n v="2"/>
    <n v="0"/>
    <n v="2023"/>
    <n v="11"/>
    <x v="9"/>
  </r>
  <r>
    <n v="717"/>
    <s v="KR1001"/>
    <x v="122"/>
    <s v="Gói"/>
    <n v="960000"/>
    <n v="2"/>
    <n v="20"/>
    <n v="954000"/>
    <n v="954000"/>
    <d v="2023-11-18T00:00:00"/>
    <s v="Quán bê thui Cảnh Nhớ - HCL "/>
    <s v="Khách hàng Mới"/>
    <n v="-6000"/>
    <n v="-6.2893081761006293E-3"/>
    <n v="22"/>
    <n v="9.0909090909090912E-2"/>
    <n v="2023"/>
    <n v="11"/>
    <x v="0"/>
  </r>
  <r>
    <n v="719"/>
    <s v="HM608"/>
    <x v="36"/>
    <s v="Hộp"/>
    <n v="600000"/>
    <n v="6"/>
    <n v="6"/>
    <n v="654000"/>
    <n v="654000"/>
    <d v="2023-11-20T00:00:00"/>
    <s v="Chị Bích - T.Linh"/>
    <s v="Khách hàng VIP"/>
    <n v="54000"/>
    <n v="8.2568807339449546E-2"/>
    <n v="12"/>
    <n v="0.5"/>
    <n v="2023"/>
    <n v="11"/>
    <x v="7"/>
  </r>
  <r>
    <n v="721"/>
    <s v="HM608"/>
    <x v="36"/>
    <s v="Hộp"/>
    <n v="1200000"/>
    <n v="0"/>
    <n v="12"/>
    <n v="2616000"/>
    <n v="2616000"/>
    <d v="2023-11-20T00:00:00"/>
    <s v="TT Huệ Long - T.H.Trung"/>
    <s v="Khách hàng Mới"/>
    <n v="1416000"/>
    <n v="0.54128440366972475"/>
    <n v="12"/>
    <n v="0"/>
    <n v="2023"/>
    <n v="11"/>
    <x v="7"/>
  </r>
  <r>
    <n v="722"/>
    <s v="HM610"/>
    <x v="37"/>
    <s v="Hộp"/>
    <n v="600000"/>
    <n v="6"/>
    <n v="6"/>
    <n v="654000"/>
    <n v="654000"/>
    <d v="2023-11-20T00:00:00"/>
    <s v="TT Huệ Long - T.H.Trung"/>
    <s v="Khách hàng Mới"/>
    <n v="54000"/>
    <n v="8.2568807339449546E-2"/>
    <n v="12"/>
    <n v="0.5"/>
    <n v="2023"/>
    <n v="11"/>
    <x v="7"/>
  </r>
  <r>
    <n v="724"/>
    <s v="HM608"/>
    <x v="36"/>
    <s v="Hộp"/>
    <n v="600000"/>
    <n v="0"/>
    <n v="6"/>
    <n v="1308000"/>
    <n v="1308000"/>
    <d v="2023-11-20T00:00:00"/>
    <s v="Shop Thảo Tâm - A.Bình"/>
    <s v="Khách hàng Mới"/>
    <n v="708000"/>
    <n v="0.54128440366972475"/>
    <n v="6"/>
    <n v="0"/>
    <n v="2023"/>
    <n v="11"/>
    <x v="7"/>
  </r>
  <r>
    <n v="726"/>
    <s v="HTBSN903"/>
    <x v="60"/>
    <s v="Lon"/>
    <n v="332640"/>
    <n v="0"/>
    <n v="12"/>
    <n v="384000"/>
    <n v="384000"/>
    <d v="2023-11-20T00:00:00"/>
    <s v="Shop Thảo Tâm - A.Bình"/>
    <s v="Khách hàng Mới"/>
    <n v="51360"/>
    <n v="0.13375000000000001"/>
    <n v="12"/>
    <n v="0"/>
    <n v="2023"/>
    <n v="11"/>
    <x v="8"/>
  </r>
  <r>
    <n v="727"/>
    <s v="KV100"/>
    <x v="0"/>
    <s v="Gói"/>
    <n v="345600"/>
    <n v="4"/>
    <n v="48"/>
    <n v="536000"/>
    <n v="536000"/>
    <d v="2023-11-20T00:00:00"/>
    <s v="Thế Giới Con Cưng - HCL"/>
    <s v="Khách hàng Trung thành"/>
    <n v="190400"/>
    <n v="0.35522388059701487"/>
    <n v="52"/>
    <n v="7.6923076923076927E-2"/>
    <n v="2023"/>
    <n v="11"/>
    <x v="0"/>
  </r>
  <r>
    <n v="729"/>
    <s v="HM607"/>
    <x v="68"/>
    <s v="Hộp"/>
    <n v="100000"/>
    <n v="0"/>
    <n v="1"/>
    <n v="218000"/>
    <n v="218000"/>
    <d v="2023-11-20T00:00:00"/>
    <s v="Phúc Nguyên - B.Sao"/>
    <s v="Khách hàng Trung thành"/>
    <n v="118000"/>
    <n v="0.54128440366972475"/>
    <n v="1"/>
    <n v="0"/>
    <n v="2023"/>
    <n v="11"/>
    <x v="7"/>
  </r>
  <r>
    <n v="730"/>
    <s v="HM608"/>
    <x v="36"/>
    <s v="Hộp"/>
    <n v="100000"/>
    <n v="0"/>
    <n v="1"/>
    <n v="218000"/>
    <n v="218000"/>
    <d v="2023-11-20T00:00:00"/>
    <s v="Phúc Nguyên - B.Sao"/>
    <s v="Khách hàng Trung thành"/>
    <n v="118000"/>
    <n v="0.54128440366972475"/>
    <n v="1"/>
    <n v="0"/>
    <n v="2023"/>
    <n v="11"/>
    <x v="7"/>
  </r>
  <r>
    <n v="731"/>
    <s v="HM610"/>
    <x v="37"/>
    <s v="Hộp"/>
    <n v="100000"/>
    <n v="0"/>
    <n v="1"/>
    <n v="218000"/>
    <n v="218000"/>
    <d v="2023-11-20T00:00:00"/>
    <s v="Phúc Nguyên - B.Sao"/>
    <s v="Khách hàng Trung thành"/>
    <n v="118000"/>
    <n v="0.54128440366972475"/>
    <n v="1"/>
    <n v="0"/>
    <n v="2023"/>
    <n v="11"/>
    <x v="7"/>
  </r>
  <r>
    <n v="732"/>
    <s v="HM608"/>
    <x v="36"/>
    <s v="Hộp"/>
    <n v="900000"/>
    <n v="3"/>
    <n v="9"/>
    <n v="1635000"/>
    <n v="1635000"/>
    <d v="2023-11-20T00:00:00"/>
    <s v="Tú Anh - T.Nghĩa"/>
    <s v="Khách hàng Mới"/>
    <n v="735000"/>
    <n v="0.44954128440366969"/>
    <n v="12"/>
    <n v="0.25"/>
    <n v="2023"/>
    <n v="11"/>
    <x v="7"/>
  </r>
  <r>
    <n v="734"/>
    <s v="HTBSN80"/>
    <x v="57"/>
    <s v="Lon"/>
    <n v="55440"/>
    <n v="0"/>
    <n v="2"/>
    <n v="60000"/>
    <n v="60000"/>
    <d v="2023-11-20T00:00:00"/>
    <s v="Kim Thủy - Chợ 307"/>
    <s v="Khách hàng Trung thành"/>
    <n v="4560"/>
    <n v="7.5999999999999998E-2"/>
    <n v="2"/>
    <n v="0"/>
    <n v="2023"/>
    <n v="11"/>
    <x v="8"/>
  </r>
  <r>
    <n v="735"/>
    <s v="HTBSN90"/>
    <x v="58"/>
    <s v="Lon"/>
    <n v="55440"/>
    <n v="0"/>
    <n v="2"/>
    <n v="60000"/>
    <n v="60000"/>
    <d v="2023-11-20T00:00:00"/>
    <s v="Kim Thủy - Chợ 307"/>
    <s v="Khách hàng Trung thành"/>
    <n v="4560"/>
    <n v="7.5999999999999998E-2"/>
    <n v="2"/>
    <n v="0"/>
    <n v="2023"/>
    <n v="11"/>
    <x v="8"/>
  </r>
  <r>
    <n v="736"/>
    <s v="HTBSN901"/>
    <x v="207"/>
    <s v="Lon"/>
    <n v="55440"/>
    <n v="0"/>
    <n v="2"/>
    <n v="60000"/>
    <n v="60000"/>
    <d v="2023-11-20T00:00:00"/>
    <s v="Kim Thủy - Chợ 307"/>
    <s v="Khách hàng Trung thành"/>
    <n v="4560"/>
    <n v="7.5999999999999998E-2"/>
    <n v="2"/>
    <n v="0"/>
    <n v="2023"/>
    <n v="11"/>
    <x v="8"/>
  </r>
  <r>
    <n v="737"/>
    <s v="HTBSN902"/>
    <x v="59"/>
    <s v="Lon"/>
    <n v="55440"/>
    <n v="0"/>
    <n v="2"/>
    <n v="60000"/>
    <n v="60000"/>
    <d v="2023-11-20T00:00:00"/>
    <s v="Kim Thủy - Chợ 307"/>
    <s v="Khách hàng Trung thành"/>
    <n v="4560"/>
    <n v="7.5999999999999998E-2"/>
    <n v="2"/>
    <n v="0"/>
    <n v="2023"/>
    <n v="11"/>
    <x v="8"/>
  </r>
  <r>
    <n v="738"/>
    <s v="HTBSN903"/>
    <x v="60"/>
    <s v="Lon"/>
    <n v="55440"/>
    <n v="0"/>
    <n v="2"/>
    <n v="60000"/>
    <n v="60000"/>
    <d v="2023-11-20T00:00:00"/>
    <s v="Kim Thủy - Chợ 307"/>
    <s v="Khách hàng Trung thành"/>
    <n v="4560"/>
    <n v="7.5999999999999998E-2"/>
    <n v="2"/>
    <n v="0"/>
    <n v="2023"/>
    <n v="11"/>
    <x v="8"/>
  </r>
  <r>
    <n v="739"/>
    <s v="HTBSN904"/>
    <x v="61"/>
    <s v="Lon"/>
    <n v="55440"/>
    <n v="0"/>
    <n v="2"/>
    <n v="60000"/>
    <n v="60000"/>
    <d v="2023-11-20T00:00:00"/>
    <s v="Kim Thủy - Chợ 307"/>
    <s v="Khách hàng Trung thành"/>
    <n v="4560"/>
    <n v="7.5999999999999998E-2"/>
    <n v="2"/>
    <n v="0"/>
    <n v="2023"/>
    <n v="11"/>
    <x v="8"/>
  </r>
  <r>
    <n v="740"/>
    <s v="HTBSN80"/>
    <x v="57"/>
    <s v="Lon"/>
    <n v="55440"/>
    <n v="0"/>
    <n v="2"/>
    <n v="64000"/>
    <n v="64000"/>
    <d v="2023-11-20T00:00:00"/>
    <s v="Thuận Kiều (nhà may) - Chợ 307"/>
    <s v="Khách hàng Trung thành"/>
    <n v="8560"/>
    <n v="0.13375000000000001"/>
    <n v="2"/>
    <n v="0"/>
    <n v="2023"/>
    <n v="11"/>
    <x v="8"/>
  </r>
  <r>
    <n v="741"/>
    <s v="HTBSN90"/>
    <x v="58"/>
    <s v="Lon"/>
    <n v="55440"/>
    <n v="0"/>
    <n v="2"/>
    <n v="64000"/>
    <n v="64000"/>
    <d v="2023-11-20T00:00:00"/>
    <s v="Thuận Kiều (nhà may) - Chợ 307"/>
    <s v="Khách hàng Trung thành"/>
    <n v="8560"/>
    <n v="0.13375000000000001"/>
    <n v="2"/>
    <n v="0"/>
    <n v="2023"/>
    <n v="11"/>
    <x v="8"/>
  </r>
  <r>
    <n v="742"/>
    <s v="HTBSN901"/>
    <x v="207"/>
    <s v="Lon"/>
    <n v="55440"/>
    <n v="0"/>
    <n v="2"/>
    <n v="64000"/>
    <n v="64000"/>
    <d v="2023-11-20T00:00:00"/>
    <s v="Thuận Kiều (nhà may) - Chợ 307"/>
    <s v="Khách hàng Trung thành"/>
    <n v="8560"/>
    <n v="0.13375000000000001"/>
    <n v="2"/>
    <n v="0"/>
    <n v="2023"/>
    <n v="11"/>
    <x v="8"/>
  </r>
  <r>
    <n v="743"/>
    <s v="HTBSN902"/>
    <x v="59"/>
    <s v="Lon"/>
    <n v="55440"/>
    <n v="0"/>
    <n v="2"/>
    <n v="64000"/>
    <n v="64000"/>
    <d v="2023-11-20T00:00:00"/>
    <s v="Thuận Kiều (nhà may) - Chợ 307"/>
    <s v="Khách hàng Trung thành"/>
    <n v="8560"/>
    <n v="0.13375000000000001"/>
    <n v="2"/>
    <n v="0"/>
    <n v="2023"/>
    <n v="11"/>
    <x v="8"/>
  </r>
  <r>
    <n v="744"/>
    <s v="HTBSN903"/>
    <x v="60"/>
    <s v="Lon"/>
    <n v="55440"/>
    <n v="0"/>
    <n v="2"/>
    <n v="64000"/>
    <n v="64000"/>
    <d v="2023-11-20T00:00:00"/>
    <s v="Thuận Kiều (nhà may) - Chợ 307"/>
    <s v="Khách hàng Trung thành"/>
    <n v="8560"/>
    <n v="0.13375000000000001"/>
    <n v="2"/>
    <n v="0"/>
    <n v="2023"/>
    <n v="11"/>
    <x v="8"/>
  </r>
  <r>
    <n v="745"/>
    <s v="HM8"/>
    <x v="208"/>
    <s v="Hộp"/>
    <n v="392000"/>
    <n v="0"/>
    <n v="4"/>
    <n v="960000"/>
    <n v="960000"/>
    <d v="2023-11-22T00:00:00"/>
    <s v="Nhung Nhựt - N.V.Tiếp"/>
    <s v="Khách hàng Trung thành"/>
    <n v="568000"/>
    <n v="0.59166666666666667"/>
    <n v="4"/>
    <n v="0"/>
    <n v="2023"/>
    <n v="11"/>
    <x v="7"/>
  </r>
  <r>
    <n v="746"/>
    <s v="HM801"/>
    <x v="209"/>
    <s v="Hộp"/>
    <n v="392000"/>
    <n v="0"/>
    <n v="4"/>
    <n v="960000"/>
    <n v="960000"/>
    <d v="2023-11-22T00:00:00"/>
    <s v="Nhung Nhựt - N.V.Tiếp"/>
    <s v="Khách hàng Trung thành"/>
    <n v="568000"/>
    <n v="0.59166666666666667"/>
    <n v="4"/>
    <n v="0"/>
    <n v="2023"/>
    <n v="11"/>
    <x v="7"/>
  </r>
  <r>
    <n v="747"/>
    <s v="HMK1"/>
    <x v="203"/>
    <s v="Hộp"/>
    <n v="80000"/>
    <n v="3"/>
    <n v="5"/>
    <n v="111000"/>
    <n v="111000"/>
    <d v="2023-11-22T00:00:00"/>
    <s v="Thái Nguyên - T.Linh"/>
    <s v="Khách hàng Trung thành"/>
    <n v="31000"/>
    <n v="0.27927927927927931"/>
    <n v="8"/>
    <n v="0.375"/>
    <n v="2023"/>
    <n v="11"/>
    <x v="10"/>
  </r>
  <r>
    <n v="748"/>
    <s v="HMK102"/>
    <x v="210"/>
    <s v="Hộp"/>
    <n v="80000"/>
    <n v="2"/>
    <n v="5"/>
    <n v="137000"/>
    <n v="137000"/>
    <d v="2023-11-22T00:00:00"/>
    <s v="Thái Nguyên - T.Linh"/>
    <s v="Khách hàng Trung thành"/>
    <n v="57000"/>
    <n v="0.41605839416058388"/>
    <n v="7"/>
    <n v="0.2857142857142857"/>
    <n v="2023"/>
    <n v="11"/>
    <x v="10"/>
  </r>
  <r>
    <n v="749"/>
    <s v="HM8"/>
    <x v="208"/>
    <s v="Hộp"/>
    <n v="392000"/>
    <n v="0"/>
    <n v="4"/>
    <n v="960000"/>
    <n v="960000"/>
    <d v="2023-11-22T00:00:00"/>
    <s v="Tuấn Quyên - P.Thịnh"/>
    <s v="Khách hàng Trung thành"/>
    <n v="568000"/>
    <n v="0.59166666666666667"/>
    <n v="4"/>
    <n v="0"/>
    <n v="2023"/>
    <n v="11"/>
    <x v="7"/>
  </r>
  <r>
    <n v="750"/>
    <s v="HM801"/>
    <x v="209"/>
    <s v="Hộp"/>
    <n v="392000"/>
    <n v="0"/>
    <n v="4"/>
    <n v="960000"/>
    <n v="960000"/>
    <d v="2023-11-22T00:00:00"/>
    <s v="Tuấn Quyên - P.Thịnh"/>
    <s v="Khách hàng Trung thành"/>
    <n v="568000"/>
    <n v="0.59166666666666667"/>
    <n v="4"/>
    <n v="0"/>
    <n v="2023"/>
    <n v="11"/>
    <x v="7"/>
  </r>
  <r>
    <n v="751"/>
    <s v="KTN2002"/>
    <x v="144"/>
    <s v="Gói"/>
    <n v="61000"/>
    <n v="0"/>
    <n v="5"/>
    <n v="70000"/>
    <n v="70000"/>
    <d v="2023-11-22T00:00:00"/>
    <s v="Tuấn Quyên - P.Thịnh"/>
    <s v="Khách hàng Trung thành"/>
    <n v="9000"/>
    <n v="0.12857142857142859"/>
    <n v="5"/>
    <n v="0"/>
    <n v="2023"/>
    <n v="11"/>
    <x v="4"/>
  </r>
  <r>
    <n v="752"/>
    <s v="KTN2003"/>
    <x v="145"/>
    <s v="Gói"/>
    <n v="61000"/>
    <n v="0"/>
    <n v="5"/>
    <n v="70000"/>
    <n v="70000"/>
    <d v="2023-11-22T00:00:00"/>
    <s v="Tuấn Quyên - P.Thịnh"/>
    <s v="Khách hàng Trung thành"/>
    <n v="9000"/>
    <n v="0.12857142857142859"/>
    <n v="5"/>
    <n v="0"/>
    <n v="2023"/>
    <n v="11"/>
    <x v="4"/>
  </r>
  <r>
    <n v="753"/>
    <s v="GC603"/>
    <x v="74"/>
    <s v="Cây"/>
    <n v="300000"/>
    <n v="1"/>
    <n v="12"/>
    <n v="410000"/>
    <n v="410000"/>
    <d v="2023-11-22T00:00:00"/>
    <s v="Chị Tuyết - HCL (N.Mỹ)"/>
    <s v="Khách hàng Trung thành"/>
    <n v="110000"/>
    <n v="0.26829268292682928"/>
    <n v="13"/>
    <n v="7.6923076923076927E-2"/>
    <n v="2023"/>
    <n v="11"/>
    <x v="7"/>
  </r>
  <r>
    <n v="754"/>
    <s v="KR1500"/>
    <x v="191"/>
    <s v="Gói"/>
    <n v="285000"/>
    <n v="0"/>
    <n v="15"/>
    <n v="375000"/>
    <n v="375000"/>
    <d v="2023-11-22T00:00:00"/>
    <s v="Chị Tuyết - HCL (N.Mỹ)"/>
    <s v="Khách hàng Trung thành"/>
    <n v="90000"/>
    <n v="0.24"/>
    <n v="15"/>
    <n v="0"/>
    <n v="2023"/>
    <n v="11"/>
    <x v="0"/>
  </r>
  <r>
    <n v="755"/>
    <s v="HM608"/>
    <x v="36"/>
    <s v="Hộp"/>
    <n v="600000"/>
    <n v="0"/>
    <n v="6"/>
    <n v="1308000"/>
    <n v="1308000"/>
    <d v="2023-11-22T00:00:00"/>
    <s v="Ngọc Thu - P.Thịnh"/>
    <s v="Khách hàng Mới"/>
    <n v="708000"/>
    <n v="0.54128440366972475"/>
    <n v="6"/>
    <n v="0"/>
    <n v="2023"/>
    <n v="11"/>
    <x v="7"/>
  </r>
  <r>
    <n v="757"/>
    <s v="KU250"/>
    <x v="13"/>
    <s v="Gói"/>
    <n v="1155000"/>
    <n v="0"/>
    <n v="150"/>
    <n v="1350000"/>
    <n v="1350000"/>
    <d v="2023-11-22T00:00:00"/>
    <s v="Ngọc Thu - P.Thịnh"/>
    <s v="Khách hàng Mới"/>
    <n v="195000"/>
    <n v="0.1444444444444444"/>
    <n v="150"/>
    <n v="0"/>
    <n v="2023"/>
    <n v="11"/>
    <x v="3"/>
  </r>
  <r>
    <n v="758"/>
    <s v="GC603"/>
    <x v="74"/>
    <s v="Cây"/>
    <n v="300000"/>
    <n v="0"/>
    <n v="12"/>
    <n v="408000"/>
    <n v="408000"/>
    <d v="2023-11-23T00:00:00"/>
    <s v="Thông Thảo - P.Mỹ (QL30)"/>
    <s v="Khách hàng VIP"/>
    <n v="108000"/>
    <n v="0.26470588235294118"/>
    <n v="12"/>
    <n v="0"/>
    <n v="2023"/>
    <n v="11"/>
    <x v="7"/>
  </r>
  <r>
    <n v="759"/>
    <s v="KV1001"/>
    <x v="62"/>
    <s v="Gói"/>
    <n v="450000"/>
    <n v="0"/>
    <n v="60"/>
    <n v="540000"/>
    <n v="540000"/>
    <d v="2023-11-23T00:00:00"/>
    <s v="Thông Thảo - P.Mỹ (QL30)"/>
    <s v="Khách hàng VIP"/>
    <n v="90000"/>
    <n v="0.16666666666666671"/>
    <n v="60"/>
    <n v="0"/>
    <n v="2023"/>
    <n v="11"/>
    <x v="0"/>
  </r>
  <r>
    <n v="760"/>
    <s v="BG5200"/>
    <x v="179"/>
    <s v="Gói"/>
    <n v="1411920"/>
    <n v="0"/>
    <n v="12"/>
    <n v="1908000"/>
    <n v="1908000"/>
    <d v="2023-11-24T00:00:00"/>
    <s v="Thu Thủy - P.Mỹ (cầu Trâu Trắng)"/>
    <s v="Khách hàng VIP"/>
    <n v="496080"/>
    <n v="0.26"/>
    <n v="12"/>
    <n v="0"/>
    <n v="2023"/>
    <n v="11"/>
    <x v="1"/>
  </r>
  <r>
    <n v="763"/>
    <s v="KV100"/>
    <x v="0"/>
    <s v="Gói"/>
    <n v="172800"/>
    <n v="2"/>
    <n v="24"/>
    <n v="268000"/>
    <n v="268000"/>
    <d v="2023-11-24T00:00:00"/>
    <s v="Phượng Loan - N.V.Tiếp"/>
    <s v="Khách hàng Trung thành"/>
    <n v="95200"/>
    <n v="0.35522388059701487"/>
    <n v="26"/>
    <n v="7.6923076923076927E-2"/>
    <n v="2023"/>
    <n v="11"/>
    <x v="0"/>
  </r>
  <r>
    <n v="764"/>
    <s v="GC617"/>
    <x v="67"/>
    <s v="Cây"/>
    <n v="265716"/>
    <n v="0"/>
    <n v="12"/>
    <n v="360000"/>
    <n v="360000"/>
    <d v="2023-11-24T00:00:00"/>
    <s v="Căn tin BV Phổi( Chị Duyên) - BV phổi"/>
    <s v="Khách hàng VIP"/>
    <n v="94284"/>
    <n v="0.26190000000000002"/>
    <n v="12"/>
    <n v="0"/>
    <n v="2023"/>
    <n v="11"/>
    <x v="7"/>
  </r>
  <r>
    <n v="765"/>
    <s v="KV1002"/>
    <x v="3"/>
    <s v="Gói"/>
    <n v="648000"/>
    <n v="0"/>
    <n v="90"/>
    <n v="846000"/>
    <n v="846000"/>
    <d v="2023-11-24T00:00:00"/>
    <s v="Căn tin BV Phổi( Chị Duyên) - BV phổi"/>
    <s v="Khách hàng VIP"/>
    <n v="198000"/>
    <n v="0.23404255319148939"/>
    <n v="90"/>
    <n v="0"/>
    <n v="2023"/>
    <n v="11"/>
    <x v="0"/>
  </r>
  <r>
    <n v="769"/>
    <s v="NGT3600"/>
    <x v="101"/>
    <s v="Túi"/>
    <n v="370000"/>
    <n v="0"/>
    <n v="5"/>
    <n v="675000"/>
    <n v="675000"/>
    <d v="2023-11-25T00:00:00"/>
    <s v="Minh Hiền (chị Ớ) - B.H.Trung"/>
    <s v="Khách hàng VIP"/>
    <n v="305000"/>
    <n v="0.45185185185185178"/>
    <n v="5"/>
    <n v="0"/>
    <n v="2023"/>
    <n v="11"/>
    <x v="1"/>
  </r>
  <r>
    <n v="770"/>
    <s v="NGT36001"/>
    <x v="102"/>
    <s v="Túi"/>
    <n v="740000"/>
    <n v="0"/>
    <n v="10"/>
    <n v="1350000"/>
    <n v="1350000"/>
    <d v="2023-11-25T00:00:00"/>
    <s v="Minh Hiền (chị Ớ) - B.H.Trung"/>
    <s v="Khách hàng VIP"/>
    <n v="610000"/>
    <n v="0.45185185185185178"/>
    <n v="10"/>
    <n v="0"/>
    <n v="2023"/>
    <n v="11"/>
    <x v="1"/>
  </r>
  <r>
    <n v="771"/>
    <s v="GC10"/>
    <x v="140"/>
    <s v="Dây"/>
    <n v="260000"/>
    <n v="0"/>
    <n v="10"/>
    <n v="240000"/>
    <n v="240000"/>
    <d v="2023-11-25T00:00:00"/>
    <s v="Chị Linh (bán bọc) - HCL"/>
    <s v="Khách hàng VIP"/>
    <n v="-20000"/>
    <n v="-8.3333333333333329E-2"/>
    <n v="10"/>
    <n v="0"/>
    <n v="2023"/>
    <n v="11"/>
    <x v="7"/>
  </r>
  <r>
    <n v="772"/>
    <s v="KV1001"/>
    <x v="62"/>
    <s v="Gói"/>
    <n v="450000"/>
    <n v="0"/>
    <n v="60"/>
    <n v="510000"/>
    <n v="510000"/>
    <d v="2023-11-25T00:00:00"/>
    <s v="Chị Linh (bán bọc) - HCL"/>
    <s v="Khách hàng VIP"/>
    <n v="60000"/>
    <n v="0.1176470588235294"/>
    <n v="60"/>
    <n v="0"/>
    <n v="2023"/>
    <n v="11"/>
    <x v="0"/>
  </r>
  <r>
    <n v="773"/>
    <s v="KV320"/>
    <x v="8"/>
    <s v="Gói"/>
    <n v="528000"/>
    <n v="0"/>
    <n v="48"/>
    <n v="432000"/>
    <n v="432000"/>
    <d v="2023-11-25T00:00:00"/>
    <s v="Thanh Trang - HCL"/>
    <s v="Khách hàng Trung thành"/>
    <n v="-96000"/>
    <n v="-0.22222222222222221"/>
    <n v="48"/>
    <n v="0"/>
    <n v="2023"/>
    <n v="11"/>
    <x v="0"/>
  </r>
  <r>
    <n v="774"/>
    <s v="KV100"/>
    <x v="0"/>
    <s v="Gói"/>
    <n v="345600"/>
    <n v="0"/>
    <n v="48"/>
    <n v="518400"/>
    <n v="518400"/>
    <d v="2023-11-25T00:00:00"/>
    <s v="Xuân Bình - M.Hiệp"/>
    <s v="Khách hàng VIP"/>
    <n v="172800"/>
    <n v="0.33333333333333331"/>
    <n v="48"/>
    <n v="0"/>
    <n v="2023"/>
    <n v="11"/>
    <x v="0"/>
  </r>
  <r>
    <n v="776"/>
    <s v="HM613"/>
    <x v="166"/>
    <s v="Hộp"/>
    <n v="130000"/>
    <n v="0"/>
    <n v="1"/>
    <n v="280000"/>
    <n v="280000"/>
    <d v="2023-11-25T00:00:00"/>
    <s v="Chị Thắm (Hồng Thắm) - B.H.Tây"/>
    <s v="Khách hàng VIP"/>
    <n v="150000"/>
    <n v="0.5357142857142857"/>
    <n v="1"/>
    <n v="0"/>
    <n v="2023"/>
    <n v="11"/>
    <x v="7"/>
  </r>
  <r>
    <n v="777"/>
    <s v="KV1009"/>
    <x v="46"/>
    <s v="Gói"/>
    <n v="288000"/>
    <n v="0"/>
    <n v="48"/>
    <n v="360000"/>
    <n v="360000"/>
    <d v="2023-11-25T00:00:00"/>
    <s v="Chị Đào - T.H.Trung"/>
    <s v="Khách hàng VIP"/>
    <n v="72000"/>
    <n v="0.2"/>
    <n v="48"/>
    <n v="0"/>
    <n v="2023"/>
    <n v="11"/>
    <x v="0"/>
  </r>
  <r>
    <n v="778"/>
    <s v="A1K15"/>
    <x v="9"/>
    <s v="Hộp"/>
    <n v="362268"/>
    <n v="1"/>
    <n v="6"/>
    <n v="340000"/>
    <n v="340000"/>
    <d v="2023-11-25T00:00:00"/>
    <s v="TT Đông Nguyên - M.Long"/>
    <s v="Khách hàng VIP"/>
    <n v="-22268"/>
    <n v="-6.5494117647058828E-2"/>
    <n v="7"/>
    <n v="0.14285714285714279"/>
    <n v="2023"/>
    <n v="11"/>
    <x v="4"/>
  </r>
  <r>
    <n v="779"/>
    <s v="KU801"/>
    <x v="38"/>
    <s v="Gói"/>
    <n v="200000"/>
    <n v="0"/>
    <n v="50"/>
    <n v="300000"/>
    <n v="300000"/>
    <d v="2023-11-25T00:00:00"/>
    <s v="TT Đông Nguyên - M.Long"/>
    <s v="Khách hàng VIP"/>
    <n v="100000"/>
    <n v="0.33333333333333331"/>
    <n v="50"/>
    <n v="0"/>
    <n v="2023"/>
    <n v="11"/>
    <x v="3"/>
  </r>
  <r>
    <n v="780"/>
    <s v="BBL13"/>
    <x v="211"/>
    <s v="Hộp"/>
    <n v="102000"/>
    <n v="0"/>
    <n v="6"/>
    <n v="126000"/>
    <n v="126000"/>
    <d v="2023-11-25T00:00:00"/>
    <s v="Trung Phụng - T.H.Trung"/>
    <s v="Khách hàng VIP"/>
    <n v="24000"/>
    <n v="0.19047619047619049"/>
    <n v="6"/>
    <n v="0"/>
    <n v="2023"/>
    <n v="11"/>
    <x v="8"/>
  </r>
  <r>
    <n v="781"/>
    <s v="BBL131"/>
    <x v="212"/>
    <s v="Hộp"/>
    <n v="102000"/>
    <n v="0"/>
    <n v="6"/>
    <n v="126000"/>
    <n v="126000"/>
    <d v="2023-11-25T00:00:00"/>
    <s v="Trung Phụng - T.H.Trung"/>
    <s v="Khách hàng VIP"/>
    <n v="24000"/>
    <n v="0.19047619047619049"/>
    <n v="6"/>
    <n v="0"/>
    <n v="2023"/>
    <n v="11"/>
    <x v="8"/>
  </r>
  <r>
    <n v="782"/>
    <s v="BBL132"/>
    <x v="213"/>
    <s v="Hộp"/>
    <n v="102000"/>
    <n v="0"/>
    <n v="6"/>
    <n v="126000"/>
    <n v="126000"/>
    <d v="2023-11-25T00:00:00"/>
    <s v="Trung Phụng - T.H.Trung"/>
    <s v="Khách hàng VIP"/>
    <n v="24000"/>
    <n v="0.19047619047619049"/>
    <n v="6"/>
    <n v="0"/>
    <n v="2023"/>
    <n v="11"/>
    <x v="8"/>
  </r>
  <r>
    <n v="783"/>
    <s v="BCN198"/>
    <x v="206"/>
    <s v="Cây"/>
    <n v="180000"/>
    <n v="0"/>
    <n v="40"/>
    <n v="320000"/>
    <n v="320000"/>
    <d v="2023-11-25T00:00:00"/>
    <s v="Ngọc Như - M.Long"/>
    <s v="Khách hàng VIP"/>
    <n v="140000"/>
    <n v="0.4375"/>
    <n v="40"/>
    <n v="0"/>
    <n v="2023"/>
    <n v="11"/>
    <x v="2"/>
  </r>
  <r>
    <n v="784"/>
    <s v="GC100"/>
    <x v="109"/>
    <s v="Bao"/>
    <n v="114000"/>
    <n v="0"/>
    <n v="2"/>
    <n v="140000"/>
    <n v="140000"/>
    <d v="2023-11-25T00:00:00"/>
    <s v="Ngọc Như - M.Long"/>
    <s v="Khách hàng VIP"/>
    <n v="26000"/>
    <n v="0.18571428571428569"/>
    <n v="2"/>
    <n v="0"/>
    <n v="2023"/>
    <n v="11"/>
    <x v="7"/>
  </r>
  <r>
    <n v="785"/>
    <s v="KV1011"/>
    <x v="16"/>
    <s v="Gói"/>
    <n v="200010"/>
    <n v="0"/>
    <n v="30"/>
    <n v="210000"/>
    <n v="210000"/>
    <d v="2023-11-25T00:00:00"/>
    <s v="Ngọc Như - M.Long"/>
    <s v="Khách hàng VIP"/>
    <n v="9990"/>
    <n v="4.757142857142857E-2"/>
    <n v="30"/>
    <n v="0"/>
    <n v="2023"/>
    <n v="11"/>
    <x v="0"/>
  </r>
  <r>
    <n v="786"/>
    <s v="TBTE1001"/>
    <x v="65"/>
    <s v="Túi"/>
    <n v="126000"/>
    <n v="2"/>
    <n v="24"/>
    <n v="144000"/>
    <n v="144000"/>
    <d v="2023-11-25T00:00:00"/>
    <s v="Ngọc Như - M.Long"/>
    <s v="Khách hàng VIP"/>
    <n v="18000"/>
    <n v="0.125"/>
    <n v="26"/>
    <n v="7.6923076923076927E-2"/>
    <n v="2023"/>
    <n v="11"/>
    <x v="5"/>
  </r>
  <r>
    <n v="787"/>
    <s v="GC606"/>
    <x v="83"/>
    <s v="Cây"/>
    <n v="620016"/>
    <n v="4"/>
    <n v="24"/>
    <n v="762000"/>
    <n v="762000"/>
    <d v="2023-11-25T00:00:00"/>
    <s v="Chú 7 Vân - B.H.Tây"/>
    <s v="Khách hàng VIP"/>
    <n v="141984"/>
    <n v="0.18633070866141729"/>
    <n v="28"/>
    <n v="0.14285714285714279"/>
    <n v="2023"/>
    <n v="11"/>
    <x v="7"/>
  </r>
  <r>
    <n v="788"/>
    <s v="KV100"/>
    <x v="0"/>
    <s v="Gói"/>
    <n v="345600"/>
    <n v="4"/>
    <n v="48"/>
    <n v="536000"/>
    <n v="536000"/>
    <d v="2023-11-25T00:00:00"/>
    <s v="TH Trinh (Mỹ Trinh) - HCL (cuối chợ)"/>
    <s v="Khách hàng VIP"/>
    <n v="190400"/>
    <n v="0.35522388059701487"/>
    <n v="52"/>
    <n v="7.6923076923076927E-2"/>
    <n v="2023"/>
    <n v="11"/>
    <x v="0"/>
  </r>
  <r>
    <n v="789"/>
    <s v="8936017991012"/>
    <x v="214"/>
    <s v="Dây"/>
    <n v="824040"/>
    <n v="0"/>
    <n v="10"/>
    <n v="570000"/>
    <n v="570000"/>
    <d v="2023-11-25T00:00:00"/>
    <s v="MP Nhanh - M.Hiệp"/>
    <s v="Khách hàng VIP"/>
    <n v="-254040"/>
    <n v="-0.44568421052631579"/>
    <n v="10"/>
    <n v="0"/>
    <n v="2023"/>
    <n v="11"/>
    <x v="11"/>
  </r>
  <r>
    <n v="790"/>
    <s v="KDL1301"/>
    <x v="51"/>
    <s v="Gói"/>
    <n v="35000"/>
    <n v="0"/>
    <n v="10"/>
    <n v="65000"/>
    <n v="65000"/>
    <d v="2023-11-25T00:00:00"/>
    <s v="TT Kim Dung - M.Hiệp"/>
    <s v="Khách hàng VIP"/>
    <n v="30000"/>
    <n v="0.46153846153846162"/>
    <n v="10"/>
    <n v="0"/>
    <n v="2023"/>
    <n v="11"/>
    <x v="0"/>
  </r>
  <r>
    <n v="791"/>
    <s v="KU203"/>
    <x v="152"/>
    <s v="Gói"/>
    <n v="25000"/>
    <n v="0"/>
    <n v="10"/>
    <n v="40000"/>
    <n v="40000"/>
    <d v="2023-11-25T00:00:00"/>
    <s v="TT Kim Dung - M.Hiệp"/>
    <s v="Khách hàng VIP"/>
    <n v="15000"/>
    <n v="0.375"/>
    <n v="10"/>
    <n v="0"/>
    <n v="2023"/>
    <n v="11"/>
    <x v="3"/>
  </r>
  <r>
    <n v="793"/>
    <s v="HM603"/>
    <x v="35"/>
    <s v="Hộp"/>
    <n v="100000"/>
    <n v="0"/>
    <n v="1"/>
    <n v="170000"/>
    <n v="170000"/>
    <d v="2023-11-25T00:00:00"/>
    <s v="Vương Quốc Sữa - B.H.Trung"/>
    <s v="Khách hàng VIP"/>
    <n v="70000"/>
    <n v="0.41176470588235292"/>
    <n v="1"/>
    <n v="0"/>
    <n v="2023"/>
    <n v="11"/>
    <x v="7"/>
  </r>
  <r>
    <n v="794"/>
    <s v="HMH8"/>
    <x v="215"/>
    <s v="Hộp"/>
    <n v="253800"/>
    <n v="0"/>
    <n v="1"/>
    <n v="243000"/>
    <n v="243000"/>
    <d v="2023-11-25T00:00:00"/>
    <s v="Vương Quốc Sữa - B.H.Trung"/>
    <s v="Khách hàng VIP"/>
    <n v="-10800"/>
    <n v="-4.4444444444444453E-2"/>
    <n v="1"/>
    <n v="0"/>
    <n v="2023"/>
    <n v="11"/>
    <x v="10"/>
  </r>
  <r>
    <n v="795"/>
    <s v="GC100"/>
    <x v="109"/>
    <s v="Bao"/>
    <n v="285000"/>
    <n v="0"/>
    <n v="5"/>
    <n v="350000"/>
    <n v="350000"/>
    <d v="2023-11-25T00:00:00"/>
    <s v="Anh Tân (chị Phớt) - M.Xương"/>
    <s v="Khách hàng Mới"/>
    <n v="65000"/>
    <n v="0.18571428571428569"/>
    <n v="5"/>
    <n v="0"/>
    <n v="2023"/>
    <n v="11"/>
    <x v="7"/>
  </r>
  <r>
    <n v="796"/>
    <s v="HM601"/>
    <x v="22"/>
    <s v="Hộp"/>
    <n v="1536000"/>
    <n v="2"/>
    <n v="8"/>
    <n v="1536000"/>
    <n v="1536000"/>
    <d v="2023-11-25T00:00:00"/>
    <s v="Anh Tân (chị Phớt) - M.Xương"/>
    <s v="Khách hàng Mới"/>
    <n v="0"/>
    <n v="0"/>
    <n v="10"/>
    <n v="0.2"/>
    <n v="2023"/>
    <n v="11"/>
    <x v="7"/>
  </r>
  <r>
    <n v="798"/>
    <s v="KU1508"/>
    <x v="216"/>
    <s v="Gói"/>
    <n v="400000"/>
    <n v="0"/>
    <n v="40"/>
    <n v="720000"/>
    <n v="720000"/>
    <d v="2023-11-25T00:00:00"/>
    <s v="Tuấn Kiệt - M.Long"/>
    <s v="Khách hàng VIP"/>
    <n v="320000"/>
    <n v="0.44444444444444442"/>
    <n v="40"/>
    <n v="0"/>
    <n v="2023"/>
    <n v="11"/>
    <x v="3"/>
  </r>
  <r>
    <n v="799"/>
    <s v="KU2501"/>
    <x v="135"/>
    <s v="Gói"/>
    <n v="230000"/>
    <n v="0"/>
    <n v="20"/>
    <n v="360000"/>
    <n v="360000"/>
    <d v="2023-11-25T00:00:00"/>
    <s v="Tuấn Kiệt - M.Long"/>
    <s v="Khách hàng VIP"/>
    <n v="130000"/>
    <n v="0.3611111111111111"/>
    <n v="20"/>
    <n v="0"/>
    <n v="2023"/>
    <n v="11"/>
    <x v="3"/>
  </r>
  <r>
    <n v="800"/>
    <s v="KU250"/>
    <x v="13"/>
    <s v="Gói"/>
    <n v="231000"/>
    <n v="0"/>
    <n v="30"/>
    <n v="300000"/>
    <n v="300000"/>
    <d v="2023-11-25T00:00:00"/>
    <s v="Cô Trúc - M.Hội "/>
    <s v="Khách hàng Mới"/>
    <n v="69000"/>
    <n v="0.23"/>
    <n v="30"/>
    <n v="0"/>
    <n v="2023"/>
    <n v="11"/>
    <x v="3"/>
  </r>
  <r>
    <n v="801"/>
    <s v="BBL13"/>
    <x v="211"/>
    <s v="Hộp"/>
    <n v="102000"/>
    <n v="0"/>
    <n v="6"/>
    <n v="132000"/>
    <n v="132000"/>
    <d v="2023-11-25T00:00:00"/>
    <s v="Cẩm Giang - M.Xương"/>
    <s v="Khách hàng VIP"/>
    <n v="30000"/>
    <n v="0.22727272727272729"/>
    <n v="6"/>
    <n v="0"/>
    <n v="2023"/>
    <n v="11"/>
    <x v="8"/>
  </r>
  <r>
    <n v="802"/>
    <s v="BBL131"/>
    <x v="212"/>
    <s v="Hộp"/>
    <n v="102000"/>
    <n v="0"/>
    <n v="6"/>
    <n v="132000"/>
    <n v="132000"/>
    <d v="2023-11-25T00:00:00"/>
    <s v="Cẩm Giang - M.Xương"/>
    <s v="Khách hàng VIP"/>
    <n v="30000"/>
    <n v="0.22727272727272729"/>
    <n v="6"/>
    <n v="0"/>
    <n v="2023"/>
    <n v="11"/>
    <x v="8"/>
  </r>
  <r>
    <n v="803"/>
    <s v="BBL132"/>
    <x v="213"/>
    <s v="Hộp"/>
    <n v="102000"/>
    <n v="0"/>
    <n v="6"/>
    <n v="132000"/>
    <n v="132000"/>
    <d v="2023-11-25T00:00:00"/>
    <s v="Cẩm Giang - M.Xương"/>
    <s v="Khách hàng VIP"/>
    <n v="30000"/>
    <n v="0.22727272727272729"/>
    <n v="6"/>
    <n v="0"/>
    <n v="2023"/>
    <n v="11"/>
    <x v="8"/>
  </r>
  <r>
    <n v="804"/>
    <s v="HTBD121"/>
    <x v="94"/>
    <s v="Hộp"/>
    <n v="42084"/>
    <n v="0"/>
    <n v="1"/>
    <n v="48000"/>
    <n v="48000"/>
    <d v="2023-11-25T00:00:00"/>
    <s v="Cẩm Giang - M.Xương"/>
    <s v="Khách hàng VIP"/>
    <n v="5916"/>
    <n v="0.12325"/>
    <n v="1"/>
    <n v="0"/>
    <n v="2023"/>
    <n v="11"/>
    <x v="8"/>
  </r>
  <r>
    <n v="808"/>
    <s v="HM613"/>
    <x v="166"/>
    <s v="Hộp"/>
    <n v="780000"/>
    <n v="0"/>
    <n v="6"/>
    <n v="1680000"/>
    <n v="1680000"/>
    <d v="2023-11-25T00:00:00"/>
    <s v="Sữa tả Hoàng Trúc - HCL (T.Mỹ)"/>
    <s v="Khách hàng VIP"/>
    <n v="900000"/>
    <n v="0.5357142857142857"/>
    <n v="6"/>
    <n v="0"/>
    <n v="2023"/>
    <n v="11"/>
    <x v="7"/>
  </r>
  <r>
    <n v="810"/>
    <s v="TBND500"/>
    <x v="54"/>
    <s v="Thùng"/>
    <n v="326970"/>
    <n v="0"/>
    <n v="2"/>
    <n v="378000"/>
    <n v="378000"/>
    <d v="2023-11-25T00:00:00"/>
    <s v="Quán Cafe Sakê - HCL ( Thanh Mỹ)"/>
    <s v="Khách hàng Mới"/>
    <n v="51030"/>
    <n v="0.13500000000000001"/>
    <n v="2"/>
    <n v="0"/>
    <n v="2023"/>
    <n v="11"/>
    <x v="9"/>
  </r>
  <r>
    <n v="811"/>
    <s v="BBL13"/>
    <x v="211"/>
    <s v="Hộp"/>
    <n v="102000"/>
    <n v="0"/>
    <n v="6"/>
    <n v="126000"/>
    <n v="126000"/>
    <d v="2023-11-25T00:00:00"/>
    <s v="ĐL Bia Anh Vũ - Láng Biển"/>
    <s v="Khách hàng Trung thành"/>
    <n v="24000"/>
    <n v="0.19047619047619049"/>
    <n v="6"/>
    <n v="0"/>
    <n v="2023"/>
    <n v="11"/>
    <x v="8"/>
  </r>
  <r>
    <n v="812"/>
    <s v="BBL131"/>
    <x v="212"/>
    <s v="Hộp"/>
    <n v="102000"/>
    <n v="0"/>
    <n v="6"/>
    <n v="126000"/>
    <n v="126000"/>
    <d v="2023-11-25T00:00:00"/>
    <s v="ĐL Bia Anh Vũ - Láng Biển"/>
    <s v="Khách hàng Trung thành"/>
    <n v="24000"/>
    <n v="0.19047619047619049"/>
    <n v="6"/>
    <n v="0"/>
    <n v="2023"/>
    <n v="11"/>
    <x v="8"/>
  </r>
  <r>
    <n v="813"/>
    <s v="BBL132"/>
    <x v="213"/>
    <s v="Hộp"/>
    <n v="102000"/>
    <n v="0"/>
    <n v="6"/>
    <n v="126000"/>
    <n v="126000"/>
    <d v="2023-11-25T00:00:00"/>
    <s v="ĐL Bia Anh Vũ - Láng Biển"/>
    <s v="Khách hàng Trung thành"/>
    <n v="24000"/>
    <n v="0.19047619047619049"/>
    <n v="6"/>
    <n v="0"/>
    <n v="2023"/>
    <n v="11"/>
    <x v="8"/>
  </r>
  <r>
    <n v="814"/>
    <s v="KV1007"/>
    <x v="39"/>
    <s v="Gói"/>
    <n v="270000"/>
    <n v="0"/>
    <n v="40"/>
    <n v="320000"/>
    <n v="320000"/>
    <d v="2023-11-25T00:00:00"/>
    <s v="ĐL Bia Anh Vũ - Láng Biển"/>
    <s v="Khách hàng Trung thành"/>
    <n v="50000"/>
    <n v="0.15625"/>
    <n v="40"/>
    <n v="0"/>
    <n v="2023"/>
    <n v="11"/>
    <x v="0"/>
  </r>
  <r>
    <n v="815"/>
    <s v="KV320"/>
    <x v="8"/>
    <s v="Gói"/>
    <n v="528000"/>
    <n v="0"/>
    <n v="48"/>
    <n v="432000"/>
    <n v="432000"/>
    <d v="2023-11-25T00:00:00"/>
    <s v="ĐL Bia Anh Vũ - Láng Biển"/>
    <s v="Khách hàng Trung thành"/>
    <n v="-96000"/>
    <n v="-0.22222222222222221"/>
    <n v="48"/>
    <n v="0"/>
    <n v="2023"/>
    <n v="11"/>
    <x v="0"/>
  </r>
  <r>
    <n v="818"/>
    <s v="BV500"/>
    <x v="217"/>
    <s v="Gói"/>
    <n v="109250"/>
    <n v="0"/>
    <n v="5"/>
    <n v="150000"/>
    <n v="150000"/>
    <d v="2023-11-30T00:00:00"/>
    <s v="Chị Bích - T.Linh"/>
    <s v="Khách hàng VIP"/>
    <n v="40750"/>
    <n v="0.27166666666666672"/>
    <n v="5"/>
    <n v="0"/>
    <n v="2023"/>
    <n v="11"/>
    <x v="10"/>
  </r>
  <r>
    <n v="819"/>
    <s v="CV500"/>
    <x v="218"/>
    <s v="Gói"/>
    <n v="106750"/>
    <n v="0"/>
    <n v="5"/>
    <n v="150000"/>
    <n v="150000"/>
    <d v="2023-11-30T00:00:00"/>
    <s v="Chị Bích - T.Linh"/>
    <s v="Khách hàng VIP"/>
    <n v="43250"/>
    <n v="0.28833333333333327"/>
    <n v="5"/>
    <n v="0"/>
    <n v="2023"/>
    <n v="11"/>
    <x v="10"/>
  </r>
  <r>
    <n v="820"/>
    <s v="XX500"/>
    <x v="219"/>
    <s v="Gói"/>
    <n v="135000"/>
    <n v="0"/>
    <n v="5"/>
    <n v="175000"/>
    <n v="175000"/>
    <d v="2023-11-30T00:00:00"/>
    <s v="Chị Bích - T.Linh"/>
    <s v="Khách hàng VIP"/>
    <n v="40000"/>
    <n v="0.22857142857142859"/>
    <n v="5"/>
    <n v="0"/>
    <n v="2023"/>
    <n v="11"/>
    <x v="4"/>
  </r>
  <r>
    <n v="821"/>
    <s v="HTK151"/>
    <x v="120"/>
    <s v="Dây"/>
    <n v="150000"/>
    <n v="0"/>
    <n v="4"/>
    <n v="164000"/>
    <n v="164000"/>
    <d v="2023-11-30T00:00:00"/>
    <s v="Chị Thủy - P.Thịnh"/>
    <s v="Khách hàng Mới"/>
    <n v="14000"/>
    <n v="8.5365853658536592E-2"/>
    <n v="4"/>
    <n v="0"/>
    <n v="2023"/>
    <n v="11"/>
    <x v="4"/>
  </r>
  <r>
    <n v="822"/>
    <s v="BV500"/>
    <x v="217"/>
    <s v="Gói"/>
    <n v="109250"/>
    <n v="0"/>
    <n v="5"/>
    <n v="140000"/>
    <n v="140000"/>
    <d v="2023-11-30T00:00:00"/>
    <s v="8 Kịp - P.Thịnh"/>
    <s v="Khách hàng Trung thành"/>
    <n v="30750"/>
    <n v="0.21964285714285711"/>
    <n v="5"/>
    <n v="0"/>
    <n v="2023"/>
    <n v="11"/>
    <x v="10"/>
  </r>
  <r>
    <n v="823"/>
    <s v="CV500"/>
    <x v="218"/>
    <s v="Gói"/>
    <n v="106750"/>
    <n v="0"/>
    <n v="5"/>
    <n v="140000"/>
    <n v="140000"/>
    <d v="2023-11-30T00:00:00"/>
    <s v="8 Kịp - P.Thịnh"/>
    <s v="Khách hàng Trung thành"/>
    <n v="33250"/>
    <n v="0.23749999999999999"/>
    <n v="5"/>
    <n v="0"/>
    <n v="2023"/>
    <n v="11"/>
    <x v="10"/>
  </r>
  <r>
    <n v="824"/>
    <s v="GC10"/>
    <x v="140"/>
    <s v="Dây"/>
    <n v="260000"/>
    <n v="0"/>
    <n v="10"/>
    <n v="240000"/>
    <n v="240000"/>
    <d v="2023-11-30T00:00:00"/>
    <s v="8 Kịp - P.Thịnh"/>
    <s v="Khách hàng Trung thành"/>
    <n v="-20000"/>
    <n v="-8.3333333333333329E-2"/>
    <n v="10"/>
    <n v="0"/>
    <n v="2023"/>
    <n v="11"/>
    <x v="7"/>
  </r>
  <r>
    <n v="826"/>
    <s v="KU250"/>
    <x v="13"/>
    <s v="Gói"/>
    <n v="77000"/>
    <n v="0"/>
    <n v="10"/>
    <n v="100000"/>
    <n v="100000"/>
    <d v="2023-11-30T00:00:00"/>
    <s v="Chị Thắm - P.Thịnh"/>
    <s v="Khách hàng Mới"/>
    <n v="23000"/>
    <n v="0.23"/>
    <n v="10"/>
    <n v="0"/>
    <n v="2023"/>
    <n v="11"/>
    <x v="3"/>
  </r>
  <r>
    <n v="827"/>
    <s v="BV500"/>
    <x v="217"/>
    <s v="Gói"/>
    <n v="43700"/>
    <n v="0"/>
    <n v="2"/>
    <n v="56000"/>
    <n v="56000"/>
    <d v="2023-11-30T00:00:00"/>
    <s v="TT Chị Điệp - P.Thịnh"/>
    <s v="Khách hàng Trung thành"/>
    <n v="12300"/>
    <n v="0.21964285714285711"/>
    <n v="2"/>
    <n v="0"/>
    <n v="2023"/>
    <n v="11"/>
    <x v="10"/>
  </r>
  <r>
    <n v="828"/>
    <s v="CV500"/>
    <x v="218"/>
    <s v="Gói"/>
    <n v="42700"/>
    <n v="0"/>
    <n v="2"/>
    <n v="52000"/>
    <n v="52000"/>
    <d v="2023-11-30T00:00:00"/>
    <s v="TT Chị Điệp - P.Thịnh"/>
    <s v="Khách hàng Trung thành"/>
    <n v="9300"/>
    <n v="0.17884615384615379"/>
    <n v="2"/>
    <n v="0"/>
    <n v="2023"/>
    <n v="11"/>
    <x v="10"/>
  </r>
  <r>
    <n v="830"/>
    <s v="HM614"/>
    <x v="104"/>
    <s v="Hộp"/>
    <n v="260000"/>
    <n v="0"/>
    <n v="2"/>
    <n v="560000"/>
    <n v="560000"/>
    <d v="2023-11-30T00:00:00"/>
    <s v="TT Chị Điệp - P.Thịnh"/>
    <s v="Khách hàng Trung thành"/>
    <n v="300000"/>
    <n v="0.5357142857142857"/>
    <n v="2"/>
    <n v="0"/>
    <n v="2023"/>
    <n v="11"/>
    <x v="7"/>
  </r>
  <r>
    <n v="831"/>
    <s v="XX500"/>
    <x v="219"/>
    <s v="Gói"/>
    <n v="54000"/>
    <n v="0"/>
    <n v="2"/>
    <n v="66000"/>
    <n v="66000"/>
    <d v="2023-11-30T00:00:00"/>
    <s v="TT Chị Điệp - P.Thịnh"/>
    <s v="Khách hàng Trung thành"/>
    <n v="12000"/>
    <n v="0.1818181818181818"/>
    <n v="2"/>
    <n v="0"/>
    <n v="2023"/>
    <n v="11"/>
    <x v="4"/>
  </r>
  <r>
    <n v="832"/>
    <s v="BV500"/>
    <x v="217"/>
    <s v="Gói"/>
    <n v="109250"/>
    <n v="0"/>
    <n v="5"/>
    <n v="140000"/>
    <n v="140000"/>
    <d v="2023-11-30T00:00:00"/>
    <s v="5 Bún - P.Thịnh"/>
    <s v="Khách hàng Trung thành"/>
    <n v="30750"/>
    <n v="0.21964285714285711"/>
    <n v="5"/>
    <n v="0"/>
    <n v="2023"/>
    <n v="11"/>
    <x v="10"/>
  </r>
  <r>
    <n v="833"/>
    <s v="CV500"/>
    <x v="218"/>
    <s v="Gói"/>
    <n v="106750"/>
    <n v="0"/>
    <n v="5"/>
    <n v="140000"/>
    <n v="140000"/>
    <d v="2023-11-30T00:00:00"/>
    <s v="5 Bún - P.Thịnh"/>
    <s v="Khách hàng Trung thành"/>
    <n v="33250"/>
    <n v="0.23749999999999999"/>
    <n v="5"/>
    <n v="0"/>
    <n v="2023"/>
    <n v="11"/>
    <x v="10"/>
  </r>
  <r>
    <n v="834"/>
    <s v="XX500"/>
    <x v="219"/>
    <s v="Gói"/>
    <n v="135000"/>
    <n v="0"/>
    <n v="5"/>
    <n v="165000"/>
    <n v="165000"/>
    <d v="2023-11-30T00:00:00"/>
    <s v="5 Bún - P.Thịnh"/>
    <s v="Khách hàng Trung thành"/>
    <n v="30000"/>
    <n v="0.1818181818181818"/>
    <n v="5"/>
    <n v="0"/>
    <n v="2023"/>
    <n v="11"/>
    <x v="4"/>
  </r>
  <r>
    <n v="837"/>
    <s v="BV500"/>
    <x v="217"/>
    <s v="Gói"/>
    <n v="43700"/>
    <n v="0"/>
    <n v="2"/>
    <n v="60000"/>
    <n v="60000"/>
    <d v="2023-11-30T00:00:00"/>
    <s v="Tú Kiều - T.Nghĩa"/>
    <s v="Khách hàng Trung thành"/>
    <n v="16300"/>
    <n v="0.27166666666666672"/>
    <n v="2"/>
    <n v="0"/>
    <n v="2023"/>
    <n v="11"/>
    <x v="10"/>
  </r>
  <r>
    <n v="838"/>
    <s v="GC10"/>
    <x v="140"/>
    <s v="Dây"/>
    <n v="260000"/>
    <n v="0"/>
    <n v="10"/>
    <n v="230000"/>
    <n v="230000"/>
    <d v="2023-11-30T00:00:00"/>
    <s v="Tú Kiều - T.Nghĩa"/>
    <s v="Khách hàng Trung thành"/>
    <n v="-30000"/>
    <n v="-0.13043478260869559"/>
    <n v="10"/>
    <n v="0"/>
    <n v="2023"/>
    <n v="11"/>
    <x v="7"/>
  </r>
  <r>
    <n v="839"/>
    <s v="GC1023"/>
    <x v="141"/>
    <s v="Dây"/>
    <n v="245000"/>
    <n v="0"/>
    <n v="10"/>
    <n v="230000"/>
    <n v="230000"/>
    <d v="2023-11-30T00:00:00"/>
    <s v="Tú Kiều - T.Nghĩa"/>
    <s v="Khách hàng Trung thành"/>
    <n v="-15000"/>
    <n v="-6.5217391304347824E-2"/>
    <n v="10"/>
    <n v="0"/>
    <n v="2023"/>
    <n v="11"/>
    <x v="7"/>
  </r>
  <r>
    <n v="840"/>
    <s v="GC603"/>
    <x v="74"/>
    <s v="Cây"/>
    <n v="150000"/>
    <n v="0"/>
    <n v="6"/>
    <n v="192000"/>
    <n v="192000"/>
    <d v="2023-11-30T00:00:00"/>
    <s v="Tú Kiều - T.Nghĩa"/>
    <s v="Khách hàng Trung thành"/>
    <n v="42000"/>
    <n v="0.21875"/>
    <n v="6"/>
    <n v="0"/>
    <n v="2023"/>
    <n v="11"/>
    <x v="7"/>
  </r>
  <r>
    <n v="841"/>
    <s v="XX500"/>
    <x v="219"/>
    <s v="Gói"/>
    <n v="54000"/>
    <n v="0"/>
    <n v="2"/>
    <n v="70000"/>
    <n v="70000"/>
    <d v="2023-11-30T00:00:00"/>
    <s v="Tú Kiều - T.Nghĩa"/>
    <s v="Khách hàng Trung thành"/>
    <n v="16000"/>
    <n v="0.22857142857142859"/>
    <n v="2"/>
    <n v="0"/>
    <n v="2023"/>
    <n v="1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8ABA77-DF9D-4C13-ADE0-EDB524F32D3F}" name="PivotTable3" cacheId="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12:T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C09BCB-3570-4EA3-8C85-E0085497B635}"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D3:E7" firstHeaderRow="1" firstDataRow="1" firstDataCol="1"/>
  <pivotFields count="4">
    <pivotField axis="axisRow" allDrilled="1" subtotalTop="0" showAll="0" measureFilter="1"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v="2"/>
    </i>
    <i>
      <x/>
    </i>
    <i>
      <x v="1"/>
    </i>
    <i t="grand">
      <x/>
    </i>
  </rowItems>
  <colItems count="1">
    <i/>
  </colItems>
  <dataFields count="1">
    <dataField name="Tổng Lợi Nhuận" fld="1" baseField="2" baseItem="0"/>
  </dataFields>
  <formats count="2">
    <format dxfId="66">
      <pivotArea outline="0" collapsedLevelsAreSubtotals="1" fieldPosition="0"/>
    </format>
    <format dxfId="65">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21">
      <autoFilter ref="A1">
        <filterColumn colId="0">
          <top10 val="3" filterVal="3"/>
        </filterColumn>
      </autoFilter>
    </filter>
    <filter fld="2" type="count" id="2" iMeasureHier="2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64EAA-7EC2-4BAC-834D-19A5218A6D8F}"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D13:G31" firstHeaderRow="0" firstDataRow="1" firstDataCol="1"/>
  <pivotFields count="6">
    <pivotField allDrilled="1" subtotalTop="0" showAll="0" measureFilter="1"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TB % SL Khuyến mãi" fld="3" subtotal="average" baseField="4" baseItem="0" numFmtId="10"/>
    <dataField name="Tổng SL Xuất" fld="1" baseField="4" baseItem="0"/>
    <dataField name="Tổng SL Xuất KM" fld="2" baseField="4" baseItem="0"/>
  </dataFields>
  <formats count="4">
    <format dxfId="70">
      <pivotArea outline="0" collapsedLevelsAreSubtotals="1" fieldPosition="0"/>
    </format>
    <format dxfId="69">
      <pivotArea dataOnly="0" labelOnly="1" outline="0" axis="axisValues" fieldPosition="0"/>
    </format>
    <format dxfId="68">
      <pivotArea dataOnly="0" labelOnly="1" outline="0" fieldPosition="0">
        <references count="1">
          <reference field="4294967294" count="1">
            <x v="0"/>
          </reference>
        </references>
      </pivotArea>
    </format>
    <format dxfId="67">
      <pivotArea outline="0" collapsedLevelsAreSubtotals="1" fieldPosition="0">
        <references count="1">
          <reference field="4294967294" count="1" selected="0">
            <x v="0"/>
          </reference>
        </references>
      </pivotArea>
    </format>
  </formats>
  <chartFormats count="6">
    <chartFormat chart="23" format="9"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2"/>
          </reference>
        </references>
      </pivotArea>
    </chartFormat>
    <chartFormat chart="23" format="11"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1"/>
          </reference>
        </references>
      </pivotArea>
    </chartFormat>
    <chartFormat chart="24" format="13" series="1">
      <pivotArea type="data" outline="0" fieldPosition="0">
        <references count="1">
          <reference field="4294967294" count="1" selected="0">
            <x v="2"/>
          </reference>
        </references>
      </pivotArea>
    </chartFormat>
    <chartFormat chart="24" format="1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TB % SL Khuyến mãi"/>
    <pivotHierarchy dragToData="1"/>
    <pivotHierarchy dragToData="1" caption="Tỷ lệ lợi nhuận"/>
    <pivotHierarchy dragToData="1"/>
    <pivotHierarchy dragToData="1"/>
    <pivotHierarchy dragToData="1" caption="Tổng SL Xuất"/>
    <pivotHierarchy dragToData="1" caption="Tổng SL Xuất KM"/>
  </pivotHierarchies>
  <pivotTableStyleInfo name="PivotStyleLight16" showRowHeaders="1" showColHeaders="1" showRowStripes="0" showColStripes="0" showLastColumn="1"/>
  <filters count="1">
    <filter fld="0" type="count" id="2" iMeasureHier="21">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1AA72F-E678-4051-8A4E-738424AE5B06}" name="PivotTable7" cacheId="2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O12:P16"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Doanh Thu" fld="1" baseField="0" baseItem="0"/>
  </dataFields>
  <chartFormats count="2">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percent" id="1" iMeasureHier="20">
      <autoFilter ref="A1">
        <filterColumn colId="0">
          <top10 percent="1"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80CCF-9AB8-481A-B4B5-CA9446953E21}" name="PivotTable11" cacheId="2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S1:T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71">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47D22E-5327-4A44-8323-1EAD32DA6D00}" name="PivotTable5" cacheId="2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J12:L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73">
      <pivotArea outline="0" collapsedLevelsAreSubtotals="1" fieldPosition="0">
        <references count="1">
          <reference field="4294967294" count="1" selected="0">
            <x v="0"/>
          </reference>
        </references>
      </pivotArea>
    </format>
    <format dxfId="72">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057434-ADCF-4877-883C-5FCDDFAE6C23}" name="PivotTable4" cacheId="2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74">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C75B43-AE16-4DB2-9996-E837017E0A8A}"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21:B2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Tổng Doanh Thu" fld="1" baseField="0" baseItem="0"/>
  </dataFields>
  <formats count="2">
    <format dxfId="76">
      <pivotArea outline="0" collapsedLevelsAreSubtotals="1" fieldPosition="0"/>
    </format>
    <format dxfId="75">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AF7CF5-450B-44D5-B2A0-1E6127045FFE}" name="PivotTable10" cacheId="2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J23:K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A5562F-94B6-4688-AD04-342DE0535E2D}" name="PivotTable8" cacheId="2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O1:P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D5C5E8-E67C-450C-B274-EC6771BD7AB4}" name="PivotMarginTop5"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N1:AP223" firstHeaderRow="1" firstDataRow="2" firstDataCol="1"/>
  <pivotFields count="19">
    <pivotField showAll="0"/>
    <pivotField showAll="0"/>
    <pivotField axis="axisRow" showAll="0">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dataField="1" numFmtId="3" showAll="0"/>
    <pivotField numFmtId="165" showAll="0"/>
    <pivotField showAll="0"/>
    <pivotField numFmtId="165" showAll="0"/>
    <pivotField showAll="0"/>
    <pivotField showAll="0"/>
    <pivotField showAll="0"/>
  </pivotFields>
  <rowFields count="1">
    <field x="2"/>
  </rowFields>
  <rowItems count="2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4AD7F3-0C02-4A18-A853-9E1B54107551}"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1"/>
    </i>
    <i>
      <x v="2"/>
    </i>
    <i>
      <x v="7"/>
    </i>
    <i>
      <x v="3"/>
    </i>
    <i>
      <x v="4"/>
    </i>
    <i>
      <x v="9"/>
    </i>
    <i>
      <x v="5"/>
    </i>
    <i>
      <x v="8"/>
    </i>
    <i t="grand">
      <x/>
    </i>
  </rowItems>
  <colItems count="1">
    <i/>
  </colItems>
  <dataFields count="1">
    <dataField name="Tổng Doanh Thu" fld="1" baseField="0" baseItem="0" numFmtId="3"/>
  </dataFields>
  <formats count="2">
    <format dxfId="78">
      <pivotArea outline="0" collapsedLevelsAreSubtotals="1" fieldPosition="0"/>
    </format>
    <format dxfId="7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AF673D-DA18-4644-A40D-F326C441522A}" name="PivotNganhHang"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BA1:BB14" firstHeaderRow="1" firstDataRow="1"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axis="axisRow" showAll="0" sortType="descending">
      <items count="13">
        <item x="2"/>
        <item x="8"/>
        <item x="1"/>
        <item x="7"/>
        <item x="11"/>
        <item x="0"/>
        <item x="3"/>
        <item x="6"/>
        <item x="9"/>
        <item x="5"/>
        <item x="4"/>
        <item x="10"/>
        <item t="default"/>
      </items>
      <autoSortScope>
        <pivotArea dataOnly="0" outline="0" fieldPosition="0">
          <references count="1">
            <reference field="4294967294" count="1" selected="0">
              <x v="0"/>
            </reference>
          </references>
        </pivotArea>
      </autoSortScope>
    </pivotField>
  </pivotFields>
  <rowFields count="1">
    <field x="18"/>
  </rowFields>
  <rowItems count="13">
    <i>
      <x v="3"/>
    </i>
    <i>
      <x v="5"/>
    </i>
    <i>
      <x v="2"/>
    </i>
    <i>
      <x v="1"/>
    </i>
    <i>
      <x v="6"/>
    </i>
    <i>
      <x v="10"/>
    </i>
    <i>
      <x/>
    </i>
    <i>
      <x v="9"/>
    </i>
    <i>
      <x v="11"/>
    </i>
    <i>
      <x v="8"/>
    </i>
    <i>
      <x v="7"/>
    </i>
    <i>
      <x v="4"/>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AAA196-6011-40E4-8C30-C7E53439E787}" name="PivotSegmentCombo"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H1:AJ8" firstHeaderRow="1" firstDataRow="2"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axis="axisRow" showAll="0">
      <items count="6">
        <item x="1"/>
        <item x="4"/>
        <item x="3"/>
        <item x="2"/>
        <item x="0"/>
        <item t="default"/>
      </items>
    </pivotField>
    <pivotField dataField="1" numFmtId="3" showAll="0"/>
    <pivotField numFmtId="165" showAll="0"/>
    <pivotField showAll="0"/>
    <pivotField numFmtId="165" showAll="0"/>
    <pivotField showAll="0"/>
    <pivotField showAll="0"/>
    <pivotField showAll="0">
      <items count="13">
        <item x="2"/>
        <item x="8"/>
        <item x="1"/>
        <item x="7"/>
        <item x="11"/>
        <item x="0"/>
        <item x="3"/>
        <item x="6"/>
        <item x="9"/>
        <item x="5"/>
        <item x="4"/>
        <item x="10"/>
        <item t="default"/>
      </items>
    </pivotField>
  </pivotFields>
  <rowFields count="1">
    <field x="11"/>
  </rowFields>
  <rowItems count="6">
    <i>
      <x/>
    </i>
    <i>
      <x v="1"/>
    </i>
    <i>
      <x v="2"/>
    </i>
    <i>
      <x v="3"/>
    </i>
    <i>
      <x v="4"/>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353E32-6584-4264-84D6-9E09C2EC966A}" name="PivotTop10ProdCombo"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A1:AB12" firstHeaderRow="1" firstDataRow="1" firstDataCol="1"/>
  <pivotFields count="19">
    <pivotField showAll="0"/>
    <pivotField showAll="0"/>
    <pivotField axis="axisRow" showAll="0" measureFilter="1">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showAll="0"/>
  </pivotFields>
  <rowFields count="1">
    <field x="2"/>
  </rowFields>
  <rowItems count="11">
    <i>
      <x v="17"/>
    </i>
    <i>
      <x v="19"/>
    </i>
    <i>
      <x v="83"/>
    </i>
    <i>
      <x v="127"/>
    </i>
    <i>
      <x v="130"/>
    </i>
    <i>
      <x v="131"/>
    </i>
    <i>
      <x v="146"/>
    </i>
    <i>
      <x v="213"/>
    </i>
    <i>
      <x v="217"/>
    </i>
    <i>
      <x v="219"/>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2DAD0A-799D-4EE0-A436-9D03461BF3E2}" name="PivotTable9" cacheId="2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79">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F59ED3F-4C26-4339-806F-D0277449B26E}" name="PivotTable6" cacheId="3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1:G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A34F80-D29B-4DBC-B473-E66BA008BE91}" name="PivotTable2"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J12:K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2">
    <chartFormat chart="2"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85FBB02-DDC8-40E0-920A-36C136AA256D}" name="PivotTable7"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2:C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61">
      <pivotArea outline="0" collapsedLevelsAreSubtotals="1" fieldPosition="0">
        <references count="1">
          <reference field="4294967294" count="1" selected="0">
            <x v="0"/>
          </reference>
        </references>
      </pivotArea>
    </format>
    <format dxfId="60">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0B303A9-6646-4288-94FE-5C443422692C}" name="PivotTop10Dynamic" cacheId="3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12:G18" firstHeaderRow="1" firstDataRow="1" firstDataCol="1"/>
  <pivotFields count="3">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2"/>
    </i>
    <i>
      <x v="1"/>
    </i>
    <i>
      <x/>
    </i>
    <i t="grand">
      <x/>
    </i>
  </rowItems>
  <colItems count="1">
    <i/>
  </colItems>
  <dataFields count="1">
    <dataField name="Sum of Doanh Thu" fld="1" baseField="0" baseItem="0"/>
  </dataFields>
  <chartFormats count="1">
    <chartFormat chart="6"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0CE1F6D-9AD0-4973-B11C-93673DC8A03C}" name="PivotTable11"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23:B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B9F8BFE-E869-4F9D-B7E1-987479784AA3}" name="PivotTable10" cacheId="3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62">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25C95DF-A551-4769-998E-0AE9BC5720D0}" name="PivotTable5" cacheId="3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63">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02C4AC9-AC43-4FE8-B9F4-EB70C9AB7951}" name="PivotTable3"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64">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EE173B7-F5F9-4E86-99E1-B5F3C1A10011}" sourceName="[DataSales].[Segment]">
  <pivotTables>
    <pivotTable tabId="8" name="PivotTable2"/>
    <pivotTable tabId="9" name="PivotTable10"/>
    <pivotTable tabId="9" name="PivotTable5"/>
    <pivotTable tabId="9" name="PivotTable6"/>
    <pivotTable tabId="9" name="PivotTable7"/>
    <pivotTable tabId="9" name="PivotTop10Dynamic"/>
    <pivotTable tabId="9" name="PivotTable11"/>
    <pivotTable tabId="8" name="PivotTable13"/>
    <pivotTable tabId="8" name="PivotTable1"/>
    <pivotTable tabId="8" name="PivotTable6"/>
    <pivotTable tabId="9" name="PivotTable2"/>
    <pivotTable tabId="9" name="PivotTable3"/>
    <pivotTable tabId="8" name="PivotTable3"/>
    <pivotTable tabId="8" name="PivotTable4"/>
    <pivotTable tabId="8" name="PivotTable5"/>
    <pivotTable tabId="8" name="PivotTable7"/>
    <pivotTable tabId="8" name="PivotTable8"/>
    <pivotTable tabId="8" name="PivotTable9"/>
    <pivotTable tabId="8" name="PivotTable10"/>
    <pivotTable tabId="8" name="PivotTable11"/>
  </pivotTables>
  <data>
    <olap pivotCacheId="1291463790">
      <levels count="2">
        <level uniqueName="[DataSales].[Segment].[(All)]" sourceCaption="(All)" count="0"/>
        <level uniqueName="[DataSales].[Segment].[Segment]" sourceCaption="Segment" count="5">
          <ranges>
            <range startItem="0">
              <i n="[DataSales].[Segment].&amp;[Khách hàng Cần chú ý]" c="Khách hàng Cần chú ý"/>
              <i n="[DataSales].[Segment].&amp;[Khách hàng Mới]" c="Khách hàng Mới"/>
              <i n="[DataSales].[Segment].&amp;[Khách hàng Tiềm năng]" c="Khách hàng Tiềm năng"/>
              <i n="[DataSales].[Segment].&amp;[Khách hàng Trung thành]" c="Khách hàng Trung thành"/>
              <i n="[DataSales].[Segment].&amp;[Khách hàng VIP]" c="Khách hàng VIP"/>
            </range>
          </ranges>
        </level>
      </levels>
      <selections count="1">
        <selection n="[DataSale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F10168D-E832-4E8B-B4A7-AC38EDD01AB0}" sourceName="[DataSales].[Month]">
  <pivotTables>
    <pivotTable tabId="8" name="PivotTable11"/>
    <pivotTable tabId="8" name="PivotTable10"/>
    <pivotTable tabId="8" name="PivotTable9"/>
    <pivotTable tabId="8" name="PivotTable8"/>
    <pivotTable tabId="8" name="PivotTable7"/>
    <pivotTable tabId="8" name="PivotTable5"/>
    <pivotTable tabId="8" name="PivotTable4"/>
    <pivotTable tabId="8" name="PivotTable3"/>
    <pivotTable tabId="9" name="PivotTable3"/>
    <pivotTable tabId="9" name="PivotTable2"/>
    <pivotTable tabId="9" name="PivotTable11"/>
    <pivotTable tabId="9" name="PivotTable7"/>
    <pivotTable tabId="9" name="PivotTable6"/>
    <pivotTable tabId="9" name="PivotTable5"/>
    <pivotTable tabId="9" name="PivotTable10"/>
    <pivotTable tabId="9" name="PivotTop10Dynamic"/>
  </pivotTables>
  <data>
    <olap pivotCacheId="1291463790">
      <levels count="2">
        <level uniqueName="[DataSales].[Month].[(All)]" sourceCaption="(All)" count="0"/>
        <level uniqueName="[DataSales].[Month].[Month]" sourceCaption="Month" count="3">
          <ranges>
            <range startItem="0">
              <i n="[DataSales].[Month].&amp;[9]" c="9"/>
              <i n="[DataSales].[Month].&amp;[10]" c="10"/>
              <i n="[DataSales].[Month].&amp;[11]" c="11"/>
            </range>
          </ranges>
        </level>
      </levels>
      <selections count="1">
        <selection n="[DataSale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nh_Hàng" xr10:uid="{3A49A173-E8BF-4C98-8948-46DE6BD25347}" sourceName="Ngành Hàng">
  <pivotTables>
    <pivotTable tabId="8" name="PivotSegmentCombo"/>
  </pivotTables>
  <data>
    <tabular pivotCacheId="358204595">
      <items count="12">
        <i x="2" s="1"/>
        <i x="8" s="1"/>
        <i x="1" s="1"/>
        <i x="7" s="1"/>
        <i x="11" s="1"/>
        <i x="0" s="1"/>
        <i x="3" s="1"/>
        <i x="6" s="1"/>
        <i x="9" s="1"/>
        <i x="5" s="1"/>
        <i x="4"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65BBC23-C807-4BF6-B949-81C98F3BB912}" cache="Slicer_Segment" caption="Segment" level="1" rowHeight="234950"/>
  <slicer name="Month" xr10:uid="{785A840F-BE2C-47EE-9158-9782939996BF}" cache="Slicer_Month1"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106E5F5-6B40-4E0C-AF79-0094CC02D857}" cache="Slicer_Segment" caption="Segment" level="1" rowHeight="234950"/>
  <slicer name="Month 1" xr10:uid="{1AE90E2B-35DC-43EF-8455-E6909F59EE65}" cache="Slicer_Month1" caption="Month" level="1" rowHeight="234950"/>
  <slicer name="Ngành Hàng" xr10:uid="{925C0BD3-6DA2-4F14-B4EA-DD15791BE446}" cache="Slicer_Ngành_Hàng" caption="Ngành Hà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776E7-AF4B-4D35-8759-AE02CD431C19}" name="DataSales" displayName="DataSales" ref="A1:S706" totalsRowShown="0" headerRowDxfId="103" dataDxfId="101" headerRowBorderDxfId="102" tableBorderDxfId="100" totalsRowBorderDxfId="99">
  <autoFilter ref="A1:S706" xr:uid="{9F2776E7-AF4B-4D35-8759-AE02CD431C19}"/>
  <tableColumns count="19">
    <tableColumn id="1" xr3:uid="{B1D972B0-C3ED-48B2-B1BD-435C39893E82}" name="STT" dataDxfId="98"/>
    <tableColumn id="2" xr3:uid="{1857D698-6472-4749-9343-BF18DDF3078D}" name="Mã" dataDxfId="97"/>
    <tableColumn id="3" xr3:uid="{C7A69D3B-E508-4125-98CB-14C1ACF8E3B7}" name="Hàng" dataDxfId="96"/>
    <tableColumn id="4" xr3:uid="{2337A670-2026-4F2F-8A68-82EAEC7172E9}" name="ĐVT" dataDxfId="95"/>
    <tableColumn id="5" xr3:uid="{A908D110-857B-48BE-8063-A8A0AC1A4F5B}" name="Tiền Nhập" dataDxfId="94"/>
    <tableColumn id="6" xr3:uid="{12CBE416-E0AD-4A29-A487-E16B3D67EF5E}" name="SL Xuất KM" dataDxfId="93"/>
    <tableColumn id="7" xr3:uid="{56E41562-D9C5-4004-8886-7F5AF7EFC9C2}" name="SL Xuất" dataDxfId="92"/>
    <tableColumn id="8" xr3:uid="{159AEA2F-C454-4B16-B4F3-7C7BF9FE4ED9}" name="Tiền Xuất" dataDxfId="91"/>
    <tableColumn id="9" xr3:uid="{689AFE10-E806-4560-A844-007E6267DF63}" name="Doanh Thu" dataDxfId="90">
      <calculatedColumnFormula>H2</calculatedColumnFormula>
    </tableColumn>
    <tableColumn id="10" xr3:uid="{8C5492A8-9C2F-42D0-B680-B9F1A3E566F3}" name="Ngày Xuất" dataDxfId="89"/>
    <tableColumn id="11" xr3:uid="{1AF2EE14-422F-4A8B-AC7D-31DBB0E00338}" name="Khách hàng" dataDxfId="88"/>
    <tableColumn id="19" xr3:uid="{2423D539-DD3D-4D3B-AA05-8E16DC9B2E1F}" name="Segment" dataDxfId="87">
      <calculatedColumnFormula>VLOOKUP(DataSales[[#This Row],[Khách hàng]],'RFM Table'!$A:$I,9,FALSE)</calculatedColumnFormula>
    </tableColumn>
    <tableColumn id="12" xr3:uid="{00941814-0536-4AAA-8F11-E4810E2EF5C5}" name="Lợi Nhuận" dataDxfId="86">
      <calculatedColumnFormula>I2-E2</calculatedColumnFormula>
    </tableColumn>
    <tableColumn id="13" xr3:uid="{F8C58AA1-E8D8-4623-9A70-DEE05F883817}" name="Tỷ lệ lợi nhuận" dataDxfId="85"/>
    <tableColumn id="14" xr3:uid="{37B83D42-82F9-46CA-9D4E-462882E9E0EC}" name="Tổng số lượng bán" dataDxfId="84"/>
    <tableColumn id="15" xr3:uid="{BD786437-9E8C-432B-B617-0566CEA2D225}" name="% SL Khuyến mãi" dataDxfId="83"/>
    <tableColumn id="16" xr3:uid="{A2A8ED08-1901-41BA-B1DE-B6F7C2E1A5E7}" name="Year" dataDxfId="82"/>
    <tableColumn id="20" xr3:uid="{B0865EB6-4B99-4C8F-88C5-FAA438FEAED5}" name="Month" dataDxfId="81">
      <calculatedColumnFormula>MONTH(DataSales[[#This Row],[Ngày Xuất]])</calculatedColumnFormula>
    </tableColumn>
    <tableColumn id="17" xr3:uid="{A962B6AD-E85C-49CE-A880-C8AB4C5B0A3D}" name="Ngành Hàng" dataDxfId="8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 dockstate="right" visibility="0" width="87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CC6C200-6E69-4838-AE80-2AF7F91D4D18}">
  <we:reference id="wa200009404" version="1.0.0.8" store="en-US" storeType="OMEX"/>
  <we:alternateReferences>
    <we:reference id="wa200009404" version="1.0.0.8" store="wa200009404" storeType="OMEX"/>
  </we:alternateReferences>
  <we:properties>
    <we:property name="claude.fileId" value="&quot;48130261-84cd-41d5-bac7-5efa9f741102&quot;"/>
  </we:properties>
  <we:bindings/>
  <we:snapshot xmlns:r="http://schemas.openxmlformats.org/officeDocument/2006/relationships"/>
</we:webextension>
</file>

<file path=xl/webextensions/webextension2.xml><?xml version="1.0" encoding="utf-8"?>
<we:webextension xmlns:we="http://schemas.microsoft.com/office/webextensions/webextension/2010/11" id="{2DDC9051-F412-4091-AA30-16745AB629EB}">
  <we:reference id="wa200005502" version="1.0.0.13" store="en-US" storeType="OMEX"/>
  <we:alternateReferences>
    <we:reference id="wa200005502" version="1.0.0.13" store="wa200005502" storeType="OMEX"/>
  </we:alternateReferences>
  <we:properties>
    <we:property name="docId" value="&quot;p7flp7gBYm_LIEjGPN-g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EC4-0788-4C0C-A969-738785599A90}">
  <dimension ref="A1"/>
  <sheetViews>
    <sheetView tabSelected="1" topLeftCell="A2" zoomScale="85" zoomScaleNormal="85" workbookViewId="0">
      <selection activeCell="C33" sqref="C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B05B-8AF7-471F-BCAC-26C916B932D2}">
  <dimension ref="A1"/>
  <sheetViews>
    <sheetView zoomScale="81" zoomScaleNormal="70" workbookViewId="0">
      <selection activeCell="Q40" sqref="Q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80A0-B8CE-4860-AD55-2F82DB2493D2}">
  <dimension ref="A1:H50"/>
  <sheetViews>
    <sheetView workbookViewId="0">
      <pane ySplit="3" topLeftCell="A44" activePane="bottomLeft" state="frozen"/>
      <selection pane="bottomLeft" activeCell="E8" sqref="E8"/>
    </sheetView>
  </sheetViews>
  <sheetFormatPr defaultRowHeight="14.4" x14ac:dyDescent="0.3"/>
  <cols>
    <col min="1" max="1" width="15.21875" customWidth="1"/>
    <col min="2" max="2" width="19.33203125" customWidth="1"/>
    <col min="3" max="3" width="13.109375" customWidth="1"/>
    <col min="4" max="4" width="42.5546875" customWidth="1"/>
    <col min="5" max="5" width="38.5546875" customWidth="1"/>
    <col min="6" max="6" width="42.5546875" customWidth="1"/>
  </cols>
  <sheetData>
    <row r="1" spans="1:8" ht="40.049999999999997" customHeight="1" x14ac:dyDescent="0.3">
      <c r="A1" s="111" t="s">
        <v>792</v>
      </c>
      <c r="B1" s="112"/>
      <c r="C1" s="112"/>
      <c r="D1" s="112"/>
      <c r="E1" s="112"/>
      <c r="F1" s="112"/>
      <c r="G1" s="112"/>
      <c r="H1" s="112"/>
    </row>
    <row r="2" spans="1:8" ht="22.05" customHeight="1" x14ac:dyDescent="0.3">
      <c r="A2" s="113"/>
      <c r="B2" s="114"/>
      <c r="C2" s="114"/>
      <c r="D2" s="114"/>
      <c r="E2" s="114"/>
      <c r="F2" s="114"/>
      <c r="G2" s="114"/>
      <c r="H2" s="114"/>
    </row>
    <row r="4" spans="1:8" ht="22.05" customHeight="1" x14ac:dyDescent="0.3">
      <c r="A4" s="65" t="s">
        <v>793</v>
      </c>
      <c r="B4" s="65" t="s">
        <v>795</v>
      </c>
      <c r="C4" s="65" t="s">
        <v>797</v>
      </c>
      <c r="D4" s="65" t="s">
        <v>798</v>
      </c>
      <c r="E4" s="65" t="s">
        <v>800</v>
      </c>
      <c r="F4" s="65" t="s">
        <v>802</v>
      </c>
    </row>
    <row r="5" spans="1:8" ht="22.05" customHeight="1" x14ac:dyDescent="0.3">
      <c r="A5" s="66" t="s">
        <v>794</v>
      </c>
      <c r="B5" s="66" t="s">
        <v>796</v>
      </c>
      <c r="C5" s="67">
        <v>0.17430000000000001</v>
      </c>
      <c r="D5" s="66" t="s">
        <v>799</v>
      </c>
      <c r="E5" s="66" t="s">
        <v>801</v>
      </c>
      <c r="F5" s="66" t="s">
        <v>803</v>
      </c>
    </row>
    <row r="7" spans="1:8" ht="28.05" customHeight="1" x14ac:dyDescent="0.3">
      <c r="A7" s="97" t="s">
        <v>804</v>
      </c>
      <c r="B7" s="98"/>
      <c r="C7" s="98"/>
      <c r="D7" s="98"/>
      <c r="E7" s="98"/>
      <c r="F7" s="98"/>
      <c r="G7" s="98"/>
      <c r="H7" s="98"/>
    </row>
    <row r="8" spans="1:8" ht="22.05" customHeight="1" x14ac:dyDescent="0.3">
      <c r="A8" s="64" t="s">
        <v>805</v>
      </c>
      <c r="B8" s="64" t="s">
        <v>806</v>
      </c>
      <c r="C8" s="64" t="s">
        <v>807</v>
      </c>
      <c r="D8" s="64" t="s">
        <v>808</v>
      </c>
      <c r="E8" s="64" t="s">
        <v>809</v>
      </c>
    </row>
    <row r="9" spans="1:8" ht="50.1" customHeight="1" x14ac:dyDescent="0.3">
      <c r="A9" s="68">
        <v>1</v>
      </c>
      <c r="B9" s="69" t="s">
        <v>810</v>
      </c>
      <c r="C9" s="70" t="s">
        <v>811</v>
      </c>
      <c r="D9" s="71" t="s">
        <v>812</v>
      </c>
      <c r="E9" s="71" t="s">
        <v>813</v>
      </c>
      <c r="F9" s="71" t="s">
        <v>814</v>
      </c>
    </row>
    <row r="10" spans="1:8" ht="50.1" customHeight="1" x14ac:dyDescent="0.3">
      <c r="A10" s="68">
        <v>2</v>
      </c>
      <c r="B10" s="72"/>
      <c r="C10" s="70" t="s">
        <v>815</v>
      </c>
      <c r="D10" s="71" t="s">
        <v>816</v>
      </c>
      <c r="E10" s="71" t="s">
        <v>817</v>
      </c>
      <c r="F10" s="71" t="s">
        <v>818</v>
      </c>
    </row>
    <row r="11" spans="1:8" ht="50.1" customHeight="1" x14ac:dyDescent="0.3">
      <c r="A11" s="73">
        <v>3</v>
      </c>
      <c r="B11" s="74" t="s">
        <v>819</v>
      </c>
      <c r="C11" s="75" t="s">
        <v>820</v>
      </c>
      <c r="D11" s="76" t="s">
        <v>821</v>
      </c>
      <c r="E11" s="76" t="s">
        <v>822</v>
      </c>
      <c r="F11" s="76" t="s">
        <v>823</v>
      </c>
    </row>
    <row r="12" spans="1:8" ht="50.1" customHeight="1" x14ac:dyDescent="0.3">
      <c r="A12" s="73">
        <v>4</v>
      </c>
      <c r="B12" s="77"/>
      <c r="C12" s="75" t="s">
        <v>824</v>
      </c>
      <c r="D12" s="76" t="s">
        <v>825</v>
      </c>
      <c r="E12" s="76" t="s">
        <v>826</v>
      </c>
      <c r="F12" s="76" t="s">
        <v>827</v>
      </c>
    </row>
    <row r="13" spans="1:8" ht="50.1" customHeight="1" x14ac:dyDescent="0.3">
      <c r="A13" s="73">
        <v>5</v>
      </c>
      <c r="B13" s="77"/>
      <c r="C13" s="75" t="s">
        <v>828</v>
      </c>
      <c r="D13" s="76" t="s">
        <v>829</v>
      </c>
      <c r="E13" s="76" t="s">
        <v>830</v>
      </c>
      <c r="F13" s="76" t="s">
        <v>831</v>
      </c>
    </row>
    <row r="14" spans="1:8" ht="50.1" customHeight="1" x14ac:dyDescent="0.3">
      <c r="A14" s="78">
        <v>6</v>
      </c>
      <c r="B14" s="79" t="s">
        <v>832</v>
      </c>
      <c r="C14" s="80" t="s">
        <v>833</v>
      </c>
      <c r="D14" s="81" t="s">
        <v>834</v>
      </c>
      <c r="E14" s="81" t="s">
        <v>835</v>
      </c>
      <c r="F14" s="81" t="s">
        <v>836</v>
      </c>
    </row>
    <row r="15" spans="1:8" ht="50.1" customHeight="1" x14ac:dyDescent="0.3">
      <c r="A15" s="78">
        <v>7</v>
      </c>
      <c r="B15" s="82"/>
      <c r="C15" s="80" t="s">
        <v>837</v>
      </c>
      <c r="D15" s="81" t="s">
        <v>838</v>
      </c>
      <c r="E15" s="81" t="s">
        <v>839</v>
      </c>
      <c r="F15" s="81" t="s">
        <v>840</v>
      </c>
    </row>
    <row r="16" spans="1:8" ht="50.1" customHeight="1" x14ac:dyDescent="0.3">
      <c r="A16" s="83">
        <v>8</v>
      </c>
      <c r="B16" s="84" t="s">
        <v>841</v>
      </c>
      <c r="C16" s="85" t="s">
        <v>842</v>
      </c>
      <c r="D16" s="86" t="s">
        <v>843</v>
      </c>
      <c r="E16" s="86" t="s">
        <v>844</v>
      </c>
      <c r="F16" s="86" t="s">
        <v>845</v>
      </c>
    </row>
    <row r="18" spans="1:8" ht="28.05" customHeight="1" x14ac:dyDescent="0.3">
      <c r="A18" s="97" t="s">
        <v>846</v>
      </c>
      <c r="B18" s="98"/>
      <c r="C18" s="98"/>
      <c r="D18" s="98"/>
      <c r="E18" s="98"/>
      <c r="F18" s="98"/>
      <c r="G18" s="98"/>
      <c r="H18" s="98"/>
    </row>
    <row r="19" spans="1:8" ht="22.05" customHeight="1" x14ac:dyDescent="0.3">
      <c r="A19" s="103" t="s">
        <v>847</v>
      </c>
      <c r="B19" s="104"/>
      <c r="C19" s="104"/>
      <c r="D19" s="104"/>
      <c r="E19" s="104"/>
      <c r="F19" s="104"/>
    </row>
    <row r="20" spans="1:8" ht="30" customHeight="1" x14ac:dyDescent="0.3">
      <c r="A20" s="87"/>
      <c r="B20" s="107" t="s">
        <v>848</v>
      </c>
      <c r="C20" s="108"/>
      <c r="D20" s="108"/>
      <c r="E20" s="108"/>
      <c r="F20" s="108"/>
    </row>
    <row r="21" spans="1:8" ht="30" customHeight="1" x14ac:dyDescent="0.3">
      <c r="A21" s="87"/>
      <c r="B21" s="107" t="s">
        <v>849</v>
      </c>
      <c r="C21" s="108"/>
      <c r="D21" s="108"/>
      <c r="E21" s="108"/>
      <c r="F21" s="108"/>
    </row>
    <row r="22" spans="1:8" ht="30" customHeight="1" x14ac:dyDescent="0.3">
      <c r="A22" s="87"/>
      <c r="B22" s="107" t="s">
        <v>850</v>
      </c>
      <c r="C22" s="108"/>
      <c r="D22" s="108"/>
      <c r="E22" s="108"/>
      <c r="F22" s="108"/>
    </row>
    <row r="23" spans="1:8" ht="30" customHeight="1" x14ac:dyDescent="0.3">
      <c r="A23" s="87"/>
      <c r="B23" s="107" t="s">
        <v>851</v>
      </c>
      <c r="C23" s="108"/>
      <c r="D23" s="108"/>
      <c r="E23" s="108"/>
      <c r="F23" s="108"/>
    </row>
    <row r="24" spans="1:8" ht="22.05" customHeight="1" x14ac:dyDescent="0.3">
      <c r="A24" s="103" t="s">
        <v>852</v>
      </c>
      <c r="B24" s="104"/>
      <c r="C24" s="104"/>
      <c r="D24" s="104"/>
      <c r="E24" s="104"/>
      <c r="F24" s="104"/>
    </row>
    <row r="25" spans="1:8" ht="30" customHeight="1" x14ac:dyDescent="0.3">
      <c r="A25" s="88"/>
      <c r="B25" s="109" t="s">
        <v>853</v>
      </c>
      <c r="C25" s="110"/>
      <c r="D25" s="110"/>
      <c r="E25" s="110"/>
      <c r="F25" s="110"/>
    </row>
    <row r="26" spans="1:8" ht="30" customHeight="1" x14ac:dyDescent="0.3">
      <c r="A26" s="88"/>
      <c r="B26" s="109" t="s">
        <v>854</v>
      </c>
      <c r="C26" s="110"/>
      <c r="D26" s="110"/>
      <c r="E26" s="110"/>
      <c r="F26" s="110"/>
    </row>
    <row r="27" spans="1:8" ht="30" customHeight="1" x14ac:dyDescent="0.3">
      <c r="A27" s="88"/>
      <c r="B27" s="109" t="s">
        <v>855</v>
      </c>
      <c r="C27" s="110"/>
      <c r="D27" s="110"/>
      <c r="E27" s="110"/>
      <c r="F27" s="110"/>
    </row>
    <row r="28" spans="1:8" ht="30" customHeight="1" x14ac:dyDescent="0.3">
      <c r="A28" s="88"/>
      <c r="B28" s="109" t="s">
        <v>856</v>
      </c>
      <c r="C28" s="110"/>
      <c r="D28" s="110"/>
      <c r="E28" s="110"/>
      <c r="F28" s="110"/>
    </row>
    <row r="29" spans="1:8" ht="22.05" customHeight="1" x14ac:dyDescent="0.3">
      <c r="A29" s="103" t="s">
        <v>857</v>
      </c>
      <c r="B29" s="104"/>
      <c r="C29" s="104"/>
      <c r="D29" s="104"/>
      <c r="E29" s="104"/>
      <c r="F29" s="104"/>
    </row>
    <row r="30" spans="1:8" ht="30" customHeight="1" x14ac:dyDescent="0.3">
      <c r="A30" s="89"/>
      <c r="B30" s="101" t="s">
        <v>858</v>
      </c>
      <c r="C30" s="102"/>
      <c r="D30" s="102"/>
      <c r="E30" s="102"/>
      <c r="F30" s="102"/>
    </row>
    <row r="31" spans="1:8" ht="30" customHeight="1" x14ac:dyDescent="0.3">
      <c r="A31" s="89"/>
      <c r="B31" s="101" t="s">
        <v>859</v>
      </c>
      <c r="C31" s="102"/>
      <c r="D31" s="102"/>
      <c r="E31" s="102"/>
      <c r="F31" s="102"/>
    </row>
    <row r="32" spans="1:8" ht="30" customHeight="1" x14ac:dyDescent="0.3">
      <c r="A32" s="89"/>
      <c r="B32" s="101" t="s">
        <v>860</v>
      </c>
      <c r="C32" s="102"/>
      <c r="D32" s="102"/>
      <c r="E32" s="102"/>
      <c r="F32" s="102"/>
    </row>
    <row r="33" spans="1:8" ht="30" customHeight="1" x14ac:dyDescent="0.3">
      <c r="A33" s="89"/>
      <c r="B33" s="101" t="s">
        <v>861</v>
      </c>
      <c r="C33" s="102"/>
      <c r="D33" s="102"/>
      <c r="E33" s="102"/>
      <c r="F33" s="102"/>
    </row>
    <row r="34" spans="1:8" ht="22.05" customHeight="1" x14ac:dyDescent="0.3">
      <c r="A34" s="103" t="s">
        <v>862</v>
      </c>
      <c r="B34" s="104"/>
      <c r="C34" s="104"/>
      <c r="D34" s="104"/>
      <c r="E34" s="104"/>
      <c r="F34" s="104"/>
    </row>
    <row r="35" spans="1:8" ht="30" customHeight="1" x14ac:dyDescent="0.3">
      <c r="A35" s="90"/>
      <c r="B35" s="105" t="s">
        <v>863</v>
      </c>
      <c r="C35" s="106"/>
      <c r="D35" s="106"/>
      <c r="E35" s="106"/>
      <c r="F35" s="106"/>
    </row>
    <row r="36" spans="1:8" ht="30" customHeight="1" x14ac:dyDescent="0.3">
      <c r="A36" s="90"/>
      <c r="B36" s="105" t="s">
        <v>864</v>
      </c>
      <c r="C36" s="106"/>
      <c r="D36" s="106"/>
      <c r="E36" s="106"/>
      <c r="F36" s="106"/>
    </row>
    <row r="37" spans="1:8" ht="30" customHeight="1" x14ac:dyDescent="0.3">
      <c r="A37" s="90"/>
      <c r="B37" s="105" t="s">
        <v>865</v>
      </c>
      <c r="C37" s="106"/>
      <c r="D37" s="106"/>
      <c r="E37" s="106"/>
      <c r="F37" s="106"/>
    </row>
    <row r="38" spans="1:8" ht="30" customHeight="1" x14ac:dyDescent="0.3">
      <c r="A38" s="90"/>
      <c r="B38" s="105" t="s">
        <v>866</v>
      </c>
      <c r="C38" s="106"/>
      <c r="D38" s="106"/>
      <c r="E38" s="106"/>
      <c r="F38" s="106"/>
    </row>
    <row r="40" spans="1:8" ht="28.05" customHeight="1" x14ac:dyDescent="0.3">
      <c r="A40" s="97" t="s">
        <v>867</v>
      </c>
      <c r="B40" s="98"/>
      <c r="C40" s="98"/>
      <c r="D40" s="98"/>
      <c r="E40" s="98"/>
      <c r="F40" s="98"/>
      <c r="G40" s="98"/>
      <c r="H40" s="98"/>
    </row>
    <row r="41" spans="1:8" ht="22.05" customHeight="1" x14ac:dyDescent="0.3">
      <c r="A41" s="91" t="s">
        <v>868</v>
      </c>
      <c r="B41" s="91" t="s">
        <v>869</v>
      </c>
      <c r="C41" s="91" t="s">
        <v>870</v>
      </c>
      <c r="D41" s="91" t="s">
        <v>871</v>
      </c>
      <c r="E41" s="91" t="s">
        <v>872</v>
      </c>
    </row>
    <row r="42" spans="1:8" ht="35.1" customHeight="1" x14ac:dyDescent="0.3">
      <c r="A42" s="92" t="s">
        <v>873</v>
      </c>
      <c r="B42" s="92" t="s">
        <v>874</v>
      </c>
      <c r="C42" s="92" t="s">
        <v>875</v>
      </c>
      <c r="D42" s="92" t="s">
        <v>876</v>
      </c>
      <c r="E42" s="92" t="s">
        <v>877</v>
      </c>
    </row>
    <row r="43" spans="1:8" ht="35.1" customHeight="1" x14ac:dyDescent="0.3">
      <c r="A43" s="93" t="s">
        <v>878</v>
      </c>
      <c r="B43" s="93" t="s">
        <v>879</v>
      </c>
      <c r="C43" s="93" t="s">
        <v>880</v>
      </c>
      <c r="D43" s="93" t="s">
        <v>881</v>
      </c>
      <c r="E43" s="93" t="s">
        <v>882</v>
      </c>
    </row>
    <row r="44" spans="1:8" ht="35.1" customHeight="1" x14ac:dyDescent="0.3">
      <c r="A44" s="92" t="s">
        <v>883</v>
      </c>
      <c r="B44" s="92" t="s">
        <v>884</v>
      </c>
      <c r="C44" s="92" t="s">
        <v>880</v>
      </c>
      <c r="D44" s="92" t="s">
        <v>885</v>
      </c>
      <c r="E44" s="92" t="s">
        <v>886</v>
      </c>
    </row>
    <row r="45" spans="1:8" ht="35.1" customHeight="1" x14ac:dyDescent="0.3">
      <c r="A45" s="93" t="s">
        <v>887</v>
      </c>
      <c r="B45" s="93" t="s">
        <v>888</v>
      </c>
      <c r="C45" s="93" t="s">
        <v>889</v>
      </c>
      <c r="D45" s="93" t="s">
        <v>890</v>
      </c>
      <c r="E45" s="93" t="s">
        <v>891</v>
      </c>
    </row>
    <row r="46" spans="1:8" ht="35.1" customHeight="1" x14ac:dyDescent="0.3">
      <c r="A46" s="92" t="s">
        <v>892</v>
      </c>
      <c r="B46" s="92" t="s">
        <v>893</v>
      </c>
      <c r="C46" s="92" t="s">
        <v>894</v>
      </c>
      <c r="D46" s="92" t="s">
        <v>895</v>
      </c>
      <c r="E46" s="92" t="s">
        <v>896</v>
      </c>
    </row>
    <row r="47" spans="1:8" ht="35.1" customHeight="1" x14ac:dyDescent="0.3">
      <c r="A47" s="93" t="s">
        <v>897</v>
      </c>
      <c r="B47" s="93" t="s">
        <v>898</v>
      </c>
      <c r="C47" s="93" t="s">
        <v>899</v>
      </c>
      <c r="D47" s="93" t="s">
        <v>900</v>
      </c>
      <c r="E47" s="93" t="s">
        <v>901</v>
      </c>
    </row>
    <row r="48" spans="1:8" ht="35.1" customHeight="1" x14ac:dyDescent="0.3">
      <c r="A48" s="92" t="s">
        <v>902</v>
      </c>
      <c r="B48" s="92" t="s">
        <v>903</v>
      </c>
      <c r="C48" s="92" t="s">
        <v>904</v>
      </c>
      <c r="D48" s="92" t="s">
        <v>905</v>
      </c>
      <c r="E48" s="92" t="s">
        <v>906</v>
      </c>
    </row>
    <row r="50" spans="1:8" ht="20.100000000000001" customHeight="1" x14ac:dyDescent="0.3">
      <c r="A50" s="99" t="s">
        <v>907</v>
      </c>
      <c r="B50" s="100"/>
      <c r="C50" s="100"/>
      <c r="D50" s="100"/>
      <c r="E50" s="100"/>
      <c r="F50" s="100"/>
      <c r="G50" s="100"/>
      <c r="H50" s="100"/>
    </row>
  </sheetData>
  <mergeCells count="26">
    <mergeCell ref="B20:F20"/>
    <mergeCell ref="A1:H1"/>
    <mergeCell ref="A2:H2"/>
    <mergeCell ref="A7:H7"/>
    <mergeCell ref="A18:H18"/>
    <mergeCell ref="A19:F19"/>
    <mergeCell ref="B32:F32"/>
    <mergeCell ref="B21:F21"/>
    <mergeCell ref="B22:F22"/>
    <mergeCell ref="B23:F23"/>
    <mergeCell ref="A24:F24"/>
    <mergeCell ref="B25:F25"/>
    <mergeCell ref="B26:F26"/>
    <mergeCell ref="B27:F27"/>
    <mergeCell ref="B28:F28"/>
    <mergeCell ref="A29:F29"/>
    <mergeCell ref="B30:F30"/>
    <mergeCell ref="B31:F31"/>
    <mergeCell ref="A40:H40"/>
    <mergeCell ref="A50:H50"/>
    <mergeCell ref="B33:F33"/>
    <mergeCell ref="A34:F34"/>
    <mergeCell ref="B35:F35"/>
    <mergeCell ref="B36:F36"/>
    <mergeCell ref="B37:F37"/>
    <mergeCell ref="B38:F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6"/>
  <sheetViews>
    <sheetView topLeftCell="J1" workbookViewId="0">
      <pane ySplit="1" topLeftCell="A2" activePane="bottomLeft" state="frozen"/>
      <selection pane="bottomLeft" activeCell="T429" sqref="T429"/>
    </sheetView>
  </sheetViews>
  <sheetFormatPr defaultRowHeight="14.4" x14ac:dyDescent="0.3"/>
  <cols>
    <col min="1" max="1" width="8" customWidth="1"/>
    <col min="2" max="2" width="15" customWidth="1"/>
    <col min="3" max="3" width="45" customWidth="1"/>
    <col min="4" max="4" width="8" customWidth="1"/>
    <col min="5" max="5" width="11.6640625" customWidth="1"/>
    <col min="6" max="6" width="13.109375" customWidth="1"/>
    <col min="7" max="7" width="9.77734375" customWidth="1"/>
    <col min="8" max="8" width="11.109375" customWidth="1"/>
    <col min="9" max="9" width="12.44140625" customWidth="1"/>
    <col min="10" max="10" width="21" customWidth="1"/>
    <col min="11" max="12" width="39" customWidth="1"/>
    <col min="13" max="13" width="12" customWidth="1"/>
    <col min="14" max="14" width="23" customWidth="1"/>
    <col min="15" max="15" width="19.6640625" customWidth="1"/>
    <col min="16" max="16" width="21" customWidth="1"/>
    <col min="17" max="17" width="8" customWidth="1"/>
  </cols>
  <sheetData>
    <row r="1" spans="1:19" x14ac:dyDescent="0.3">
      <c r="A1" s="38" t="s">
        <v>0</v>
      </c>
      <c r="B1" s="39" t="s">
        <v>1</v>
      </c>
      <c r="C1" s="39" t="s">
        <v>2</v>
      </c>
      <c r="D1" s="39" t="s">
        <v>3</v>
      </c>
      <c r="E1" s="39" t="s">
        <v>4</v>
      </c>
      <c r="F1" s="39" t="s">
        <v>5</v>
      </c>
      <c r="G1" s="39" t="s">
        <v>6</v>
      </c>
      <c r="H1" s="39" t="s">
        <v>7</v>
      </c>
      <c r="I1" s="39" t="s">
        <v>8</v>
      </c>
      <c r="J1" s="39" t="s">
        <v>9</v>
      </c>
      <c r="K1" s="39" t="s">
        <v>10</v>
      </c>
      <c r="L1" s="52" t="s">
        <v>639</v>
      </c>
      <c r="M1" s="39" t="s">
        <v>11</v>
      </c>
      <c r="N1" s="39" t="s">
        <v>12</v>
      </c>
      <c r="O1" s="39" t="s">
        <v>13</v>
      </c>
      <c r="P1" s="39" t="s">
        <v>14</v>
      </c>
      <c r="Q1" s="40" t="s">
        <v>15</v>
      </c>
      <c r="R1" s="57" t="s">
        <v>756</v>
      </c>
      <c r="S1" s="57" t="s">
        <v>771</v>
      </c>
    </row>
    <row r="2" spans="1:19" x14ac:dyDescent="0.3">
      <c r="A2" s="34">
        <v>1</v>
      </c>
      <c r="B2" s="3" t="s">
        <v>16</v>
      </c>
      <c r="C2" s="3" t="s">
        <v>17</v>
      </c>
      <c r="D2" s="3" t="s">
        <v>18</v>
      </c>
      <c r="E2" s="4">
        <v>691200</v>
      </c>
      <c r="F2" s="2">
        <v>0</v>
      </c>
      <c r="G2" s="2">
        <v>96</v>
      </c>
      <c r="H2" s="4">
        <v>1036800</v>
      </c>
      <c r="I2" s="4">
        <f t="shared" ref="I2:I65" si="0">H2</f>
        <v>1036800</v>
      </c>
      <c r="J2" s="5">
        <v>45170</v>
      </c>
      <c r="K2" s="3" t="s">
        <v>19</v>
      </c>
      <c r="L2" s="3" t="str">
        <f>VLOOKUP(DataSales[[#This Row],[Khách hàng]],'RFM Table'!$A:$I,9,FALSE)</f>
        <v>Khách hàng VIP</v>
      </c>
      <c r="M2" s="4">
        <f t="shared" ref="M2:M65" si="1">I2-E2</f>
        <v>345600</v>
      </c>
      <c r="N2" s="6">
        <v>0.33333333333333331</v>
      </c>
      <c r="O2" s="2">
        <v>96</v>
      </c>
      <c r="P2" s="6">
        <v>0</v>
      </c>
      <c r="Q2" s="36">
        <v>2023</v>
      </c>
      <c r="R2" s="56">
        <f>MONTH(DataSales[[#This Row],[Ngày Xuất]])</f>
        <v>9</v>
      </c>
      <c r="S2" s="56" t="s">
        <v>772</v>
      </c>
    </row>
    <row r="3" spans="1:19" x14ac:dyDescent="0.3">
      <c r="A3" s="35">
        <v>2</v>
      </c>
      <c r="B3" s="8" t="s">
        <v>20</v>
      </c>
      <c r="C3" s="8" t="s">
        <v>21</v>
      </c>
      <c r="D3" s="8" t="s">
        <v>22</v>
      </c>
      <c r="E3" s="9">
        <v>800040</v>
      </c>
      <c r="F3" s="7">
        <v>0</v>
      </c>
      <c r="G3" s="7">
        <v>60</v>
      </c>
      <c r="H3" s="9">
        <v>1100040</v>
      </c>
      <c r="I3" s="9">
        <f t="shared" si="0"/>
        <v>1100040</v>
      </c>
      <c r="J3" s="10">
        <v>45170</v>
      </c>
      <c r="K3" s="8" t="s">
        <v>19</v>
      </c>
      <c r="L3" s="8" t="str">
        <f>VLOOKUP(DataSales[[#This Row],[Khách hàng]],'RFM Table'!$A:$I,9,FALSE)</f>
        <v>Khách hàng VIP</v>
      </c>
      <c r="M3" s="9">
        <f t="shared" si="1"/>
        <v>300000</v>
      </c>
      <c r="N3" s="11">
        <v>0.27271735573251882</v>
      </c>
      <c r="O3" s="7">
        <v>60</v>
      </c>
      <c r="P3" s="11">
        <v>0</v>
      </c>
      <c r="Q3" s="37">
        <v>2023</v>
      </c>
      <c r="R3" s="56">
        <f>MONTH(DataSales[[#This Row],[Ngày Xuất]])</f>
        <v>9</v>
      </c>
      <c r="S3" s="56" t="s">
        <v>773</v>
      </c>
    </row>
    <row r="4" spans="1:19" x14ac:dyDescent="0.3">
      <c r="A4" s="34">
        <v>3</v>
      </c>
      <c r="B4" s="3" t="s">
        <v>23</v>
      </c>
      <c r="C4" s="3" t="s">
        <v>24</v>
      </c>
      <c r="D4" s="3" t="s">
        <v>25</v>
      </c>
      <c r="E4" s="4">
        <v>365000</v>
      </c>
      <c r="F4" s="2">
        <v>0</v>
      </c>
      <c r="G4" s="2">
        <v>4</v>
      </c>
      <c r="H4" s="4">
        <v>480000</v>
      </c>
      <c r="I4" s="4">
        <f t="shared" si="0"/>
        <v>480000</v>
      </c>
      <c r="J4" s="5">
        <v>45170</v>
      </c>
      <c r="K4" s="3" t="s">
        <v>26</v>
      </c>
      <c r="L4" s="3" t="str">
        <f>VLOOKUP(DataSales[[#This Row],[Khách hàng]],'RFM Table'!$A:$I,9,FALSE)</f>
        <v>Khách hàng Cần chú ý</v>
      </c>
      <c r="M4" s="4">
        <f t="shared" si="1"/>
        <v>115000</v>
      </c>
      <c r="N4" s="6">
        <v>0.23958333333333329</v>
      </c>
      <c r="O4" s="2">
        <v>4</v>
      </c>
      <c r="P4" s="6">
        <v>0</v>
      </c>
      <c r="Q4" s="36">
        <v>2023</v>
      </c>
      <c r="R4" s="56">
        <f>MONTH(DataSales[[#This Row],[Ngày Xuất]])</f>
        <v>9</v>
      </c>
      <c r="S4" s="56" t="s">
        <v>773</v>
      </c>
    </row>
    <row r="5" spans="1:19" x14ac:dyDescent="0.3">
      <c r="A5" s="35">
        <v>4</v>
      </c>
      <c r="B5" s="8" t="s">
        <v>27</v>
      </c>
      <c r="C5" s="8" t="s">
        <v>28</v>
      </c>
      <c r="D5" s="8" t="s">
        <v>18</v>
      </c>
      <c r="E5" s="9">
        <v>1296000</v>
      </c>
      <c r="F5" s="7">
        <v>0</v>
      </c>
      <c r="G5" s="7">
        <v>180</v>
      </c>
      <c r="H5" s="9">
        <v>1692000</v>
      </c>
      <c r="I5" s="9">
        <f t="shared" si="0"/>
        <v>1692000</v>
      </c>
      <c r="J5" s="10">
        <v>45170</v>
      </c>
      <c r="K5" s="8" t="s">
        <v>29</v>
      </c>
      <c r="L5" s="8" t="str">
        <f>VLOOKUP(DataSales[[#This Row],[Khách hàng]],'RFM Table'!$A:$I,9,FALSE)</f>
        <v>Khách hàng VIP</v>
      </c>
      <c r="M5" s="9">
        <f t="shared" si="1"/>
        <v>396000</v>
      </c>
      <c r="N5" s="11">
        <v>0.23404255319148939</v>
      </c>
      <c r="O5" s="7">
        <v>180</v>
      </c>
      <c r="P5" s="11">
        <v>0</v>
      </c>
      <c r="Q5" s="37">
        <v>2023</v>
      </c>
      <c r="R5" s="56">
        <f>MONTH(DataSales[[#This Row],[Ngày Xuất]])</f>
        <v>9</v>
      </c>
      <c r="S5" s="56" t="s">
        <v>772</v>
      </c>
    </row>
    <row r="6" spans="1:19" x14ac:dyDescent="0.3">
      <c r="A6" s="34">
        <v>5</v>
      </c>
      <c r="B6" s="3" t="s">
        <v>30</v>
      </c>
      <c r="C6" s="3" t="s">
        <v>31</v>
      </c>
      <c r="D6" s="3" t="s">
        <v>32</v>
      </c>
      <c r="E6" s="4">
        <v>46800</v>
      </c>
      <c r="F6" s="2">
        <v>0</v>
      </c>
      <c r="G6" s="2">
        <v>6</v>
      </c>
      <c r="H6" s="4">
        <v>66000</v>
      </c>
      <c r="I6" s="4">
        <f t="shared" si="0"/>
        <v>66000</v>
      </c>
      <c r="J6" s="5">
        <v>45170</v>
      </c>
      <c r="K6" s="3" t="s">
        <v>33</v>
      </c>
      <c r="L6" s="3" t="str">
        <f>VLOOKUP(DataSales[[#This Row],[Khách hàng]],'RFM Table'!$A:$I,9,FALSE)</f>
        <v>Khách hàng VIP</v>
      </c>
      <c r="M6" s="4">
        <f t="shared" si="1"/>
        <v>19200</v>
      </c>
      <c r="N6" s="6">
        <v>0.29090909090909089</v>
      </c>
      <c r="O6" s="2">
        <v>6</v>
      </c>
      <c r="P6" s="6">
        <v>0</v>
      </c>
      <c r="Q6" s="36">
        <v>2023</v>
      </c>
      <c r="R6" s="56">
        <f>MONTH(DataSales[[#This Row],[Ngày Xuất]])</f>
        <v>9</v>
      </c>
      <c r="S6" s="56" t="s">
        <v>774</v>
      </c>
    </row>
    <row r="7" spans="1:19" x14ac:dyDescent="0.3">
      <c r="A7" s="35">
        <v>6</v>
      </c>
      <c r="B7" s="8" t="s">
        <v>34</v>
      </c>
      <c r="C7" s="8" t="s">
        <v>35</v>
      </c>
      <c r="D7" s="8" t="s">
        <v>32</v>
      </c>
      <c r="E7" s="9">
        <v>46800</v>
      </c>
      <c r="F7" s="7">
        <v>0</v>
      </c>
      <c r="G7" s="7">
        <v>6</v>
      </c>
      <c r="H7" s="9">
        <v>66000</v>
      </c>
      <c r="I7" s="9">
        <f t="shared" si="0"/>
        <v>66000</v>
      </c>
      <c r="J7" s="10">
        <v>45170</v>
      </c>
      <c r="K7" s="8" t="s">
        <v>33</v>
      </c>
      <c r="L7" s="8" t="str">
        <f>VLOOKUP(DataSales[[#This Row],[Khách hàng]],'RFM Table'!$A:$I,9,FALSE)</f>
        <v>Khách hàng VIP</v>
      </c>
      <c r="M7" s="9">
        <f t="shared" si="1"/>
        <v>19200</v>
      </c>
      <c r="N7" s="11">
        <v>0.29090909090909089</v>
      </c>
      <c r="O7" s="7">
        <v>6</v>
      </c>
      <c r="P7" s="11">
        <v>0</v>
      </c>
      <c r="Q7" s="37">
        <v>2023</v>
      </c>
      <c r="R7" s="56">
        <f>MONTH(DataSales[[#This Row],[Ngày Xuất]])</f>
        <v>9</v>
      </c>
      <c r="S7" s="56" t="s">
        <v>774</v>
      </c>
    </row>
    <row r="8" spans="1:19" x14ac:dyDescent="0.3">
      <c r="A8" s="34">
        <v>7</v>
      </c>
      <c r="B8" s="3" t="s">
        <v>36</v>
      </c>
      <c r="C8" s="3" t="s">
        <v>37</v>
      </c>
      <c r="D8" s="3" t="s">
        <v>32</v>
      </c>
      <c r="E8" s="4">
        <v>46800</v>
      </c>
      <c r="F8" s="2">
        <v>0</v>
      </c>
      <c r="G8" s="2">
        <v>6</v>
      </c>
      <c r="H8" s="4">
        <v>66000</v>
      </c>
      <c r="I8" s="4">
        <f t="shared" si="0"/>
        <v>66000</v>
      </c>
      <c r="J8" s="5">
        <v>45170</v>
      </c>
      <c r="K8" s="3" t="s">
        <v>33</v>
      </c>
      <c r="L8" s="3" t="str">
        <f>VLOOKUP(DataSales[[#This Row],[Khách hàng]],'RFM Table'!$A:$I,9,FALSE)</f>
        <v>Khách hàng VIP</v>
      </c>
      <c r="M8" s="4">
        <f t="shared" si="1"/>
        <v>19200</v>
      </c>
      <c r="N8" s="6">
        <v>0.29090909090909089</v>
      </c>
      <c r="O8" s="2">
        <v>6</v>
      </c>
      <c r="P8" s="6">
        <v>0</v>
      </c>
      <c r="Q8" s="36">
        <v>2023</v>
      </c>
      <c r="R8" s="56">
        <f>MONTH(DataSales[[#This Row],[Ngày Xuất]])</f>
        <v>9</v>
      </c>
      <c r="S8" s="56" t="s">
        <v>774</v>
      </c>
    </row>
    <row r="9" spans="1:19" x14ac:dyDescent="0.3">
      <c r="A9" s="35">
        <v>8</v>
      </c>
      <c r="B9" s="8" t="s">
        <v>38</v>
      </c>
      <c r="C9" s="8" t="s">
        <v>39</v>
      </c>
      <c r="D9" s="8" t="s">
        <v>18</v>
      </c>
      <c r="E9" s="9">
        <v>340000</v>
      </c>
      <c r="F9" s="7">
        <v>5</v>
      </c>
      <c r="G9" s="7">
        <v>20</v>
      </c>
      <c r="H9" s="9">
        <v>480000</v>
      </c>
      <c r="I9" s="9">
        <f t="shared" si="0"/>
        <v>480000</v>
      </c>
      <c r="J9" s="10">
        <v>45170</v>
      </c>
      <c r="K9" s="8" t="s">
        <v>33</v>
      </c>
      <c r="L9" s="8" t="str">
        <f>VLOOKUP(DataSales[[#This Row],[Khách hàng]],'RFM Table'!$A:$I,9,FALSE)</f>
        <v>Khách hàng VIP</v>
      </c>
      <c r="M9" s="9">
        <f t="shared" si="1"/>
        <v>140000</v>
      </c>
      <c r="N9" s="11">
        <v>0.29166666666666669</v>
      </c>
      <c r="O9" s="7">
        <v>25</v>
      </c>
      <c r="P9" s="11">
        <v>0.2</v>
      </c>
      <c r="Q9" s="37">
        <v>2023</v>
      </c>
      <c r="R9" s="56">
        <f>MONTH(DataSales[[#This Row],[Ngày Xuất]])</f>
        <v>9</v>
      </c>
      <c r="S9" s="56" t="s">
        <v>775</v>
      </c>
    </row>
    <row r="10" spans="1:19" x14ac:dyDescent="0.3">
      <c r="A10" s="34">
        <v>10</v>
      </c>
      <c r="B10" s="3" t="s">
        <v>40</v>
      </c>
      <c r="C10" s="3" t="s">
        <v>41</v>
      </c>
      <c r="D10" s="3" t="s">
        <v>18</v>
      </c>
      <c r="E10" s="4">
        <v>528000</v>
      </c>
      <c r="F10" s="2">
        <v>0</v>
      </c>
      <c r="G10" s="2">
        <v>48</v>
      </c>
      <c r="H10" s="4">
        <v>576000</v>
      </c>
      <c r="I10" s="4">
        <f t="shared" si="0"/>
        <v>576000</v>
      </c>
      <c r="J10" s="5">
        <v>45173</v>
      </c>
      <c r="K10" s="3" t="s">
        <v>42</v>
      </c>
      <c r="L10" s="3" t="str">
        <f>VLOOKUP(DataSales[[#This Row],[Khách hàng]],'RFM Table'!$A:$I,9,FALSE)</f>
        <v>Khách hàng Trung thành</v>
      </c>
      <c r="M10" s="4">
        <f t="shared" si="1"/>
        <v>48000</v>
      </c>
      <c r="N10" s="6">
        <v>8.3333333333333329E-2</v>
      </c>
      <c r="O10" s="2">
        <v>48</v>
      </c>
      <c r="P10" s="6">
        <v>0</v>
      </c>
      <c r="Q10" s="36">
        <v>2023</v>
      </c>
      <c r="R10" s="56">
        <f>MONTH(DataSales[[#This Row],[Ngày Xuất]])</f>
        <v>9</v>
      </c>
      <c r="S10" s="56" t="s">
        <v>772</v>
      </c>
    </row>
    <row r="11" spans="1:19" x14ac:dyDescent="0.3">
      <c r="A11" s="35">
        <v>11</v>
      </c>
      <c r="B11" s="8" t="s">
        <v>40</v>
      </c>
      <c r="C11" s="8" t="s">
        <v>41</v>
      </c>
      <c r="D11" s="8" t="s">
        <v>18</v>
      </c>
      <c r="E11" s="9">
        <v>1056000</v>
      </c>
      <c r="F11" s="7">
        <v>0</v>
      </c>
      <c r="G11" s="7">
        <v>96</v>
      </c>
      <c r="H11" s="9">
        <v>960000</v>
      </c>
      <c r="I11" s="9">
        <f t="shared" si="0"/>
        <v>960000</v>
      </c>
      <c r="J11" s="10">
        <v>45173</v>
      </c>
      <c r="K11" s="8" t="s">
        <v>43</v>
      </c>
      <c r="L11" s="8" t="str">
        <f>VLOOKUP(DataSales[[#This Row],[Khách hàng]],'RFM Table'!$A:$I,9,FALSE)</f>
        <v>Khách hàng Trung thành</v>
      </c>
      <c r="M11" s="9">
        <f t="shared" si="1"/>
        <v>-96000</v>
      </c>
      <c r="N11" s="11">
        <v>-0.1</v>
      </c>
      <c r="O11" s="7">
        <v>96</v>
      </c>
      <c r="P11" s="11">
        <v>0</v>
      </c>
      <c r="Q11" s="37">
        <v>2023</v>
      </c>
      <c r="R11" s="56">
        <f>MONTH(DataSales[[#This Row],[Ngày Xuất]])</f>
        <v>9</v>
      </c>
      <c r="S11" s="56" t="s">
        <v>772</v>
      </c>
    </row>
    <row r="12" spans="1:19" x14ac:dyDescent="0.3">
      <c r="A12" s="34">
        <v>12</v>
      </c>
      <c r="B12" s="3" t="s">
        <v>16</v>
      </c>
      <c r="C12" s="3" t="s">
        <v>17</v>
      </c>
      <c r="D12" s="3" t="s">
        <v>18</v>
      </c>
      <c r="E12" s="4">
        <v>345600</v>
      </c>
      <c r="F12" s="2">
        <v>0</v>
      </c>
      <c r="G12" s="2">
        <v>48</v>
      </c>
      <c r="H12" s="4">
        <v>576000</v>
      </c>
      <c r="I12" s="4">
        <f t="shared" si="0"/>
        <v>576000</v>
      </c>
      <c r="J12" s="5">
        <v>45173</v>
      </c>
      <c r="K12" s="3" t="s">
        <v>44</v>
      </c>
      <c r="L12" s="3" t="str">
        <f>VLOOKUP(DataSales[[#This Row],[Khách hàng]],'RFM Table'!$A:$I,9,FALSE)</f>
        <v>Khách hàng Cần chú ý</v>
      </c>
      <c r="M12" s="4">
        <f t="shared" si="1"/>
        <v>230400</v>
      </c>
      <c r="N12" s="6">
        <v>0.4</v>
      </c>
      <c r="O12" s="2">
        <v>48</v>
      </c>
      <c r="P12" s="6">
        <v>0</v>
      </c>
      <c r="Q12" s="36">
        <v>2023</v>
      </c>
      <c r="R12" s="56">
        <f>MONTH(DataSales[[#This Row],[Ngày Xuất]])</f>
        <v>9</v>
      </c>
      <c r="S12" s="56" t="s">
        <v>772</v>
      </c>
    </row>
    <row r="13" spans="1:19" x14ac:dyDescent="0.3">
      <c r="A13" s="35">
        <v>16</v>
      </c>
      <c r="B13" s="8" t="s">
        <v>45</v>
      </c>
      <c r="C13" s="8" t="s">
        <v>46</v>
      </c>
      <c r="D13" s="8" t="s">
        <v>47</v>
      </c>
      <c r="E13" s="9">
        <v>120756</v>
      </c>
      <c r="F13" s="7">
        <v>0</v>
      </c>
      <c r="G13" s="7">
        <v>2</v>
      </c>
      <c r="H13" s="9">
        <v>112000</v>
      </c>
      <c r="I13" s="9">
        <f t="shared" si="0"/>
        <v>112000</v>
      </c>
      <c r="J13" s="10">
        <v>45173</v>
      </c>
      <c r="K13" s="8" t="s">
        <v>48</v>
      </c>
      <c r="L13" s="8" t="str">
        <f>VLOOKUP(DataSales[[#This Row],[Khách hàng]],'RFM Table'!$A:$I,9,FALSE)</f>
        <v>Khách hàng Cần chú ý</v>
      </c>
      <c r="M13" s="9">
        <f t="shared" si="1"/>
        <v>-8756</v>
      </c>
      <c r="N13" s="11">
        <v>-7.8178571428571431E-2</v>
      </c>
      <c r="O13" s="7">
        <v>2</v>
      </c>
      <c r="P13" s="11">
        <v>0</v>
      </c>
      <c r="Q13" s="37">
        <v>2023</v>
      </c>
      <c r="R13" s="56">
        <f>MONTH(DataSales[[#This Row],[Ngày Xuất]])</f>
        <v>9</v>
      </c>
      <c r="S13" s="56" t="s">
        <v>776</v>
      </c>
    </row>
    <row r="14" spans="1:19" x14ac:dyDescent="0.3">
      <c r="A14" s="34">
        <v>17</v>
      </c>
      <c r="B14" s="3" t="s">
        <v>49</v>
      </c>
      <c r="C14" s="3" t="s">
        <v>50</v>
      </c>
      <c r="D14" s="3" t="s">
        <v>32</v>
      </c>
      <c r="E14" s="4">
        <v>39312</v>
      </c>
      <c r="F14" s="2">
        <v>0</v>
      </c>
      <c r="G14" s="2">
        <v>4</v>
      </c>
      <c r="H14" s="4">
        <v>46000</v>
      </c>
      <c r="I14" s="4">
        <f t="shared" si="0"/>
        <v>46000</v>
      </c>
      <c r="J14" s="5">
        <v>45173</v>
      </c>
      <c r="K14" s="3" t="s">
        <v>48</v>
      </c>
      <c r="L14" s="3" t="str">
        <f>VLOOKUP(DataSales[[#This Row],[Khách hàng]],'RFM Table'!$A:$I,9,FALSE)</f>
        <v>Khách hàng Cần chú ý</v>
      </c>
      <c r="M14" s="4">
        <f t="shared" si="1"/>
        <v>6688</v>
      </c>
      <c r="N14" s="6">
        <v>0.1453913043478261</v>
      </c>
      <c r="O14" s="2">
        <v>4</v>
      </c>
      <c r="P14" s="6">
        <v>0</v>
      </c>
      <c r="Q14" s="36">
        <v>2023</v>
      </c>
      <c r="R14" s="56">
        <f>MONTH(DataSales[[#This Row],[Ngày Xuất]])</f>
        <v>9</v>
      </c>
      <c r="S14" s="56" t="s">
        <v>772</v>
      </c>
    </row>
    <row r="15" spans="1:19" x14ac:dyDescent="0.3">
      <c r="A15" s="35">
        <v>18</v>
      </c>
      <c r="B15" s="8" t="s">
        <v>51</v>
      </c>
      <c r="C15" s="8" t="s">
        <v>52</v>
      </c>
      <c r="D15" s="8" t="s">
        <v>47</v>
      </c>
      <c r="E15" s="9">
        <v>231000</v>
      </c>
      <c r="F15" s="7">
        <v>0</v>
      </c>
      <c r="G15" s="7">
        <v>12</v>
      </c>
      <c r="H15" s="9">
        <v>240000</v>
      </c>
      <c r="I15" s="9">
        <f t="shared" si="0"/>
        <v>240000</v>
      </c>
      <c r="J15" s="10">
        <v>45173</v>
      </c>
      <c r="K15" s="8" t="s">
        <v>48</v>
      </c>
      <c r="L15" s="8" t="str">
        <f>VLOOKUP(DataSales[[#This Row],[Khách hàng]],'RFM Table'!$A:$I,9,FALSE)</f>
        <v>Khách hàng Cần chú ý</v>
      </c>
      <c r="M15" s="9">
        <f t="shared" si="1"/>
        <v>9000</v>
      </c>
      <c r="N15" s="11">
        <v>3.7499999999999999E-2</v>
      </c>
      <c r="O15" s="7">
        <v>12</v>
      </c>
      <c r="P15" s="11">
        <v>0</v>
      </c>
      <c r="Q15" s="37">
        <v>2023</v>
      </c>
      <c r="R15" s="56">
        <f>MONTH(DataSales[[#This Row],[Ngày Xuất]])</f>
        <v>9</v>
      </c>
      <c r="S15" s="56" t="s">
        <v>777</v>
      </c>
    </row>
    <row r="16" spans="1:19" x14ac:dyDescent="0.3">
      <c r="A16" s="34">
        <v>19</v>
      </c>
      <c r="B16" s="3" t="s">
        <v>53</v>
      </c>
      <c r="C16" s="3" t="s">
        <v>54</v>
      </c>
      <c r="D16" s="3" t="s">
        <v>55</v>
      </c>
      <c r="E16" s="4">
        <v>52800</v>
      </c>
      <c r="F16" s="2">
        <v>0</v>
      </c>
      <c r="G16" s="2">
        <v>2</v>
      </c>
      <c r="H16" s="4">
        <v>72000</v>
      </c>
      <c r="I16" s="4">
        <f t="shared" si="0"/>
        <v>72000</v>
      </c>
      <c r="J16" s="5">
        <v>45173</v>
      </c>
      <c r="K16" s="3" t="s">
        <v>56</v>
      </c>
      <c r="L16" s="3" t="str">
        <f>VLOOKUP(DataSales[[#This Row],[Khách hàng]],'RFM Table'!$A:$I,9,FALSE)</f>
        <v>Khách hàng Cần chú ý</v>
      </c>
      <c r="M16" s="4">
        <f t="shared" si="1"/>
        <v>19200</v>
      </c>
      <c r="N16" s="6">
        <v>0.26666666666666672</v>
      </c>
      <c r="O16" s="2">
        <v>2</v>
      </c>
      <c r="P16" s="6">
        <v>0</v>
      </c>
      <c r="Q16" s="36">
        <v>2023</v>
      </c>
      <c r="R16" s="56">
        <f>MONTH(DataSales[[#This Row],[Ngày Xuất]])</f>
        <v>9</v>
      </c>
      <c r="S16" s="56" t="s">
        <v>774</v>
      </c>
    </row>
    <row r="17" spans="1:19" x14ac:dyDescent="0.3">
      <c r="A17" s="35">
        <v>20</v>
      </c>
      <c r="B17" s="8" t="s">
        <v>57</v>
      </c>
      <c r="C17" s="8" t="s">
        <v>58</v>
      </c>
      <c r="D17" s="8" t="s">
        <v>18</v>
      </c>
      <c r="E17" s="9">
        <v>77000</v>
      </c>
      <c r="F17" s="7">
        <v>0</v>
      </c>
      <c r="G17" s="7">
        <v>10</v>
      </c>
      <c r="H17" s="9">
        <v>100000</v>
      </c>
      <c r="I17" s="9">
        <f t="shared" si="0"/>
        <v>100000</v>
      </c>
      <c r="J17" s="10">
        <v>45173</v>
      </c>
      <c r="K17" s="8" t="s">
        <v>56</v>
      </c>
      <c r="L17" s="8" t="str">
        <f>VLOOKUP(DataSales[[#This Row],[Khách hàng]],'RFM Table'!$A:$I,9,FALSE)</f>
        <v>Khách hàng Cần chú ý</v>
      </c>
      <c r="M17" s="9">
        <f t="shared" si="1"/>
        <v>23000</v>
      </c>
      <c r="N17" s="11">
        <v>0.23</v>
      </c>
      <c r="O17" s="7">
        <v>10</v>
      </c>
      <c r="P17" s="11">
        <v>0</v>
      </c>
      <c r="Q17" s="37">
        <v>2023</v>
      </c>
      <c r="R17" s="56">
        <f>MONTH(DataSales[[#This Row],[Ngày Xuất]])</f>
        <v>9</v>
      </c>
      <c r="S17" s="56" t="s">
        <v>775</v>
      </c>
    </row>
    <row r="18" spans="1:19" x14ac:dyDescent="0.3">
      <c r="A18" s="34">
        <v>21</v>
      </c>
      <c r="B18" s="3" t="s">
        <v>59</v>
      </c>
      <c r="C18" s="3" t="s">
        <v>60</v>
      </c>
      <c r="D18" s="3" t="s">
        <v>18</v>
      </c>
      <c r="E18" s="4">
        <v>792000</v>
      </c>
      <c r="F18" s="2">
        <v>0</v>
      </c>
      <c r="G18" s="2">
        <v>20</v>
      </c>
      <c r="H18" s="4">
        <v>792000</v>
      </c>
      <c r="I18" s="4">
        <f t="shared" si="0"/>
        <v>792000</v>
      </c>
      <c r="J18" s="5">
        <v>45173</v>
      </c>
      <c r="K18" s="3" t="s">
        <v>61</v>
      </c>
      <c r="L18" s="3" t="str">
        <f>VLOOKUP(DataSales[[#This Row],[Khách hàng]],'RFM Table'!$A:$I,9,FALSE)</f>
        <v>Khách hàng Trung thành</v>
      </c>
      <c r="M18" s="4">
        <f t="shared" si="1"/>
        <v>0</v>
      </c>
      <c r="N18" s="6">
        <v>0</v>
      </c>
      <c r="O18" s="2">
        <v>20</v>
      </c>
      <c r="P18" s="6">
        <v>0</v>
      </c>
      <c r="Q18" s="36">
        <v>2023</v>
      </c>
      <c r="R18" s="56">
        <f>MONTH(DataSales[[#This Row],[Ngày Xuất]])</f>
        <v>9</v>
      </c>
      <c r="S18" s="56" t="s">
        <v>772</v>
      </c>
    </row>
    <row r="19" spans="1:19" x14ac:dyDescent="0.3">
      <c r="A19" s="35">
        <v>24</v>
      </c>
      <c r="B19" s="8" t="s">
        <v>62</v>
      </c>
      <c r="C19" s="8" t="s">
        <v>63</v>
      </c>
      <c r="D19" s="8" t="s">
        <v>18</v>
      </c>
      <c r="E19" s="9">
        <v>570000</v>
      </c>
      <c r="F19" s="7">
        <v>0</v>
      </c>
      <c r="G19" s="7">
        <v>60</v>
      </c>
      <c r="H19" s="9">
        <v>1080000</v>
      </c>
      <c r="I19" s="9">
        <f t="shared" si="0"/>
        <v>1080000</v>
      </c>
      <c r="J19" s="10">
        <v>45173</v>
      </c>
      <c r="K19" s="8" t="s">
        <v>64</v>
      </c>
      <c r="L19" s="8" t="str">
        <f>VLOOKUP(DataSales[[#This Row],[Khách hàng]],'RFM Table'!$A:$I,9,FALSE)</f>
        <v>Khách hàng Trung thành</v>
      </c>
      <c r="M19" s="9">
        <f t="shared" si="1"/>
        <v>510000</v>
      </c>
      <c r="N19" s="11">
        <v>0.47222222222222221</v>
      </c>
      <c r="O19" s="7">
        <v>60</v>
      </c>
      <c r="P19" s="11">
        <v>0</v>
      </c>
      <c r="Q19" s="37">
        <v>2023</v>
      </c>
      <c r="R19" s="56">
        <f>MONTH(DataSales[[#This Row],[Ngày Xuất]])</f>
        <v>9</v>
      </c>
      <c r="S19" s="56" t="s">
        <v>775</v>
      </c>
    </row>
    <row r="20" spans="1:19" x14ac:dyDescent="0.3">
      <c r="A20" s="34">
        <v>25</v>
      </c>
      <c r="B20" s="3" t="s">
        <v>65</v>
      </c>
      <c r="C20" s="3" t="s">
        <v>66</v>
      </c>
      <c r="D20" s="3" t="s">
        <v>18</v>
      </c>
      <c r="E20" s="4">
        <v>200010</v>
      </c>
      <c r="F20" s="2">
        <v>0</v>
      </c>
      <c r="G20" s="2">
        <v>30</v>
      </c>
      <c r="H20" s="4">
        <v>240000</v>
      </c>
      <c r="I20" s="4">
        <f t="shared" si="0"/>
        <v>240000</v>
      </c>
      <c r="J20" s="5">
        <v>45173</v>
      </c>
      <c r="K20" s="3" t="s">
        <v>64</v>
      </c>
      <c r="L20" s="3" t="str">
        <f>VLOOKUP(DataSales[[#This Row],[Khách hàng]],'RFM Table'!$A:$I,9,FALSE)</f>
        <v>Khách hàng Trung thành</v>
      </c>
      <c r="M20" s="4">
        <f t="shared" si="1"/>
        <v>39990</v>
      </c>
      <c r="N20" s="6">
        <v>0.166625</v>
      </c>
      <c r="O20" s="2">
        <v>30</v>
      </c>
      <c r="P20" s="6">
        <v>0</v>
      </c>
      <c r="Q20" s="36">
        <v>2023</v>
      </c>
      <c r="R20" s="56">
        <f>MONTH(DataSales[[#This Row],[Ngày Xuất]])</f>
        <v>9</v>
      </c>
      <c r="S20" s="56" t="s">
        <v>772</v>
      </c>
    </row>
    <row r="21" spans="1:19" x14ac:dyDescent="0.3">
      <c r="A21" s="35">
        <v>27</v>
      </c>
      <c r="B21" s="8" t="s">
        <v>67</v>
      </c>
      <c r="C21" s="8" t="s">
        <v>68</v>
      </c>
      <c r="D21" s="8" t="s">
        <v>25</v>
      </c>
      <c r="E21" s="9">
        <v>340000</v>
      </c>
      <c r="F21" s="7">
        <v>0</v>
      </c>
      <c r="G21" s="7">
        <v>4</v>
      </c>
      <c r="H21" s="9">
        <v>520000</v>
      </c>
      <c r="I21" s="9">
        <f t="shared" si="0"/>
        <v>520000</v>
      </c>
      <c r="J21" s="10">
        <v>45174</v>
      </c>
      <c r="K21" s="8" t="s">
        <v>56</v>
      </c>
      <c r="L21" s="8" t="str">
        <f>VLOOKUP(DataSales[[#This Row],[Khách hàng]],'RFM Table'!$A:$I,9,FALSE)</f>
        <v>Khách hàng Cần chú ý</v>
      </c>
      <c r="M21" s="9">
        <f t="shared" si="1"/>
        <v>180000</v>
      </c>
      <c r="N21" s="11">
        <v>0.34615384615384609</v>
      </c>
      <c r="O21" s="7">
        <v>4</v>
      </c>
      <c r="P21" s="11">
        <v>0</v>
      </c>
      <c r="Q21" s="37">
        <v>2023</v>
      </c>
      <c r="R21" s="56">
        <f>MONTH(DataSales[[#This Row],[Ngày Xuất]])</f>
        <v>9</v>
      </c>
      <c r="S21" s="56" t="s">
        <v>773</v>
      </c>
    </row>
    <row r="22" spans="1:19" x14ac:dyDescent="0.3">
      <c r="A22" s="34">
        <v>28</v>
      </c>
      <c r="B22" s="3" t="s">
        <v>65</v>
      </c>
      <c r="C22" s="3" t="s">
        <v>66</v>
      </c>
      <c r="D22" s="3" t="s">
        <v>18</v>
      </c>
      <c r="E22" s="4">
        <v>200010</v>
      </c>
      <c r="F22" s="2">
        <v>0</v>
      </c>
      <c r="G22" s="2">
        <v>30</v>
      </c>
      <c r="H22" s="4">
        <v>220500</v>
      </c>
      <c r="I22" s="4">
        <f t="shared" si="0"/>
        <v>220500</v>
      </c>
      <c r="J22" s="5">
        <v>45175</v>
      </c>
      <c r="K22" s="3" t="s">
        <v>69</v>
      </c>
      <c r="L22" s="3" t="str">
        <f>VLOOKUP(DataSales[[#This Row],[Khách hàng]],'RFM Table'!$A:$I,9,FALSE)</f>
        <v>Khách hàng Cần chú ý</v>
      </c>
      <c r="M22" s="4">
        <f t="shared" si="1"/>
        <v>20490</v>
      </c>
      <c r="N22" s="6">
        <v>9.292517006802721E-2</v>
      </c>
      <c r="O22" s="2">
        <v>30</v>
      </c>
      <c r="P22" s="6">
        <v>0</v>
      </c>
      <c r="Q22" s="36">
        <v>2023</v>
      </c>
      <c r="R22" s="56">
        <f>MONTH(DataSales[[#This Row],[Ngày Xuất]])</f>
        <v>9</v>
      </c>
      <c r="S22" s="56" t="s">
        <v>772</v>
      </c>
    </row>
    <row r="23" spans="1:19" x14ac:dyDescent="0.3">
      <c r="A23" s="35">
        <v>29</v>
      </c>
      <c r="B23" s="8" t="s">
        <v>70</v>
      </c>
      <c r="C23" s="8" t="s">
        <v>71</v>
      </c>
      <c r="D23" s="8" t="s">
        <v>72</v>
      </c>
      <c r="E23" s="9">
        <v>165000</v>
      </c>
      <c r="F23" s="7">
        <v>0</v>
      </c>
      <c r="G23" s="7">
        <v>30</v>
      </c>
      <c r="H23" s="9">
        <v>195000</v>
      </c>
      <c r="I23" s="9">
        <f t="shared" si="0"/>
        <v>195000</v>
      </c>
      <c r="J23" s="10">
        <v>45176</v>
      </c>
      <c r="K23" s="8" t="s">
        <v>73</v>
      </c>
      <c r="L23" s="8" t="str">
        <f>VLOOKUP(DataSales[[#This Row],[Khách hàng]],'RFM Table'!$A:$I,9,FALSE)</f>
        <v>Khách hàng Cần chú ý</v>
      </c>
      <c r="M23" s="9">
        <f t="shared" si="1"/>
        <v>30000</v>
      </c>
      <c r="N23" s="11">
        <v>0.15384615384615391</v>
      </c>
      <c r="O23" s="7">
        <v>30</v>
      </c>
      <c r="P23" s="11">
        <v>0</v>
      </c>
      <c r="Q23" s="37">
        <v>2023</v>
      </c>
      <c r="R23" s="56">
        <f>MONTH(DataSales[[#This Row],[Ngày Xuất]])</f>
        <v>9</v>
      </c>
      <c r="S23" s="56" t="s">
        <v>776</v>
      </c>
    </row>
    <row r="24" spans="1:19" x14ac:dyDescent="0.3">
      <c r="A24" s="34">
        <v>30</v>
      </c>
      <c r="B24" s="3" t="s">
        <v>74</v>
      </c>
      <c r="C24" s="3" t="s">
        <v>75</v>
      </c>
      <c r="D24" s="3" t="s">
        <v>72</v>
      </c>
      <c r="E24" s="4">
        <v>165000</v>
      </c>
      <c r="F24" s="2">
        <v>0</v>
      </c>
      <c r="G24" s="2">
        <v>30</v>
      </c>
      <c r="H24" s="4">
        <v>195000</v>
      </c>
      <c r="I24" s="4">
        <f t="shared" si="0"/>
        <v>195000</v>
      </c>
      <c r="J24" s="5">
        <v>45176</v>
      </c>
      <c r="K24" s="3" t="s">
        <v>73</v>
      </c>
      <c r="L24" s="3" t="str">
        <f>VLOOKUP(DataSales[[#This Row],[Khách hàng]],'RFM Table'!$A:$I,9,FALSE)</f>
        <v>Khách hàng Cần chú ý</v>
      </c>
      <c r="M24" s="4">
        <f t="shared" si="1"/>
        <v>30000</v>
      </c>
      <c r="N24" s="6">
        <v>0.15384615384615391</v>
      </c>
      <c r="O24" s="2">
        <v>30</v>
      </c>
      <c r="P24" s="6">
        <v>0</v>
      </c>
      <c r="Q24" s="36">
        <v>2023</v>
      </c>
      <c r="R24" s="56">
        <f>MONTH(DataSales[[#This Row],[Ngày Xuất]])</f>
        <v>9</v>
      </c>
      <c r="S24" s="56" t="s">
        <v>776</v>
      </c>
    </row>
    <row r="25" spans="1:19" x14ac:dyDescent="0.3">
      <c r="A25" s="35">
        <v>31</v>
      </c>
      <c r="B25" s="8" t="s">
        <v>76</v>
      </c>
      <c r="C25" s="8" t="s">
        <v>77</v>
      </c>
      <c r="D25" s="8" t="s">
        <v>47</v>
      </c>
      <c r="E25" s="9">
        <v>240000</v>
      </c>
      <c r="F25" s="7">
        <v>0</v>
      </c>
      <c r="G25" s="7">
        <v>1</v>
      </c>
      <c r="H25" s="9">
        <v>250000</v>
      </c>
      <c r="I25" s="9">
        <f t="shared" si="0"/>
        <v>250000</v>
      </c>
      <c r="J25" s="10">
        <v>45176</v>
      </c>
      <c r="K25" s="8" t="s">
        <v>73</v>
      </c>
      <c r="L25" s="8" t="str">
        <f>VLOOKUP(DataSales[[#This Row],[Khách hàng]],'RFM Table'!$A:$I,9,FALSE)</f>
        <v>Khách hàng Cần chú ý</v>
      </c>
      <c r="M25" s="9">
        <f t="shared" si="1"/>
        <v>10000</v>
      </c>
      <c r="N25" s="11">
        <v>0.04</v>
      </c>
      <c r="O25" s="7">
        <v>1</v>
      </c>
      <c r="P25" s="11">
        <v>0</v>
      </c>
      <c r="Q25" s="37">
        <v>2023</v>
      </c>
      <c r="R25" s="56">
        <f>MONTH(DataSales[[#This Row],[Ngày Xuất]])</f>
        <v>9</v>
      </c>
      <c r="S25" s="56" t="s">
        <v>778</v>
      </c>
    </row>
    <row r="26" spans="1:19" x14ac:dyDescent="0.3">
      <c r="A26" s="34">
        <v>32</v>
      </c>
      <c r="B26" s="3" t="s">
        <v>78</v>
      </c>
      <c r="C26" s="3" t="s">
        <v>79</v>
      </c>
      <c r="D26" s="3" t="s">
        <v>47</v>
      </c>
      <c r="E26" s="4">
        <v>240000</v>
      </c>
      <c r="F26" s="2">
        <v>0</v>
      </c>
      <c r="G26" s="2">
        <v>1</v>
      </c>
      <c r="H26" s="4">
        <v>250000</v>
      </c>
      <c r="I26" s="4">
        <f t="shared" si="0"/>
        <v>250000</v>
      </c>
      <c r="J26" s="5">
        <v>45176</v>
      </c>
      <c r="K26" s="3" t="s">
        <v>73</v>
      </c>
      <c r="L26" s="3" t="str">
        <f>VLOOKUP(DataSales[[#This Row],[Khách hàng]],'RFM Table'!$A:$I,9,FALSE)</f>
        <v>Khách hàng Cần chú ý</v>
      </c>
      <c r="M26" s="4">
        <f t="shared" si="1"/>
        <v>10000</v>
      </c>
      <c r="N26" s="6">
        <v>0.04</v>
      </c>
      <c r="O26" s="2">
        <v>1</v>
      </c>
      <c r="P26" s="6">
        <v>0</v>
      </c>
      <c r="Q26" s="36">
        <v>2023</v>
      </c>
      <c r="R26" s="56">
        <f>MONTH(DataSales[[#This Row],[Ngày Xuất]])</f>
        <v>9</v>
      </c>
      <c r="S26" s="56" t="s">
        <v>778</v>
      </c>
    </row>
    <row r="27" spans="1:19" x14ac:dyDescent="0.3">
      <c r="A27" s="35">
        <v>35</v>
      </c>
      <c r="B27" s="8" t="s">
        <v>80</v>
      </c>
      <c r="C27" s="8" t="s">
        <v>81</v>
      </c>
      <c r="D27" s="8" t="s">
        <v>47</v>
      </c>
      <c r="E27" s="9">
        <v>768000</v>
      </c>
      <c r="F27" s="7">
        <v>1</v>
      </c>
      <c r="G27" s="7">
        <v>4</v>
      </c>
      <c r="H27" s="9">
        <v>960000</v>
      </c>
      <c r="I27" s="9">
        <f t="shared" si="0"/>
        <v>960000</v>
      </c>
      <c r="J27" s="10">
        <v>45180</v>
      </c>
      <c r="K27" s="8" t="s">
        <v>82</v>
      </c>
      <c r="L27" s="8" t="str">
        <f>VLOOKUP(DataSales[[#This Row],[Khách hàng]],'RFM Table'!$A:$I,9,FALSE)</f>
        <v>Khách hàng Trung thành</v>
      </c>
      <c r="M27" s="9">
        <f t="shared" si="1"/>
        <v>192000</v>
      </c>
      <c r="N27" s="11">
        <v>0.2</v>
      </c>
      <c r="O27" s="7">
        <v>5</v>
      </c>
      <c r="P27" s="11">
        <v>0.2</v>
      </c>
      <c r="Q27" s="37">
        <v>2023</v>
      </c>
      <c r="R27" s="56">
        <f>MONTH(DataSales[[#This Row],[Ngày Xuất]])</f>
        <v>9</v>
      </c>
      <c r="S27" s="56" t="s">
        <v>779</v>
      </c>
    </row>
    <row r="28" spans="1:19" x14ac:dyDescent="0.3">
      <c r="A28" s="34">
        <v>36</v>
      </c>
      <c r="B28" s="3" t="s">
        <v>16</v>
      </c>
      <c r="C28" s="3" t="s">
        <v>17</v>
      </c>
      <c r="D28" s="3" t="s">
        <v>18</v>
      </c>
      <c r="E28" s="4">
        <v>345600</v>
      </c>
      <c r="F28" s="2">
        <v>4</v>
      </c>
      <c r="G28" s="2">
        <v>48</v>
      </c>
      <c r="H28" s="4">
        <v>576000</v>
      </c>
      <c r="I28" s="4">
        <f t="shared" si="0"/>
        <v>576000</v>
      </c>
      <c r="J28" s="5">
        <v>45180</v>
      </c>
      <c r="K28" s="3" t="s">
        <v>82</v>
      </c>
      <c r="L28" s="3" t="str">
        <f>VLOOKUP(DataSales[[#This Row],[Khách hàng]],'RFM Table'!$A:$I,9,FALSE)</f>
        <v>Khách hàng Trung thành</v>
      </c>
      <c r="M28" s="4">
        <f t="shared" si="1"/>
        <v>230400</v>
      </c>
      <c r="N28" s="6">
        <v>0.4</v>
      </c>
      <c r="O28" s="2">
        <v>52</v>
      </c>
      <c r="P28" s="6">
        <v>7.6923076923076927E-2</v>
      </c>
      <c r="Q28" s="36">
        <v>2023</v>
      </c>
      <c r="R28" s="56">
        <f>MONTH(DataSales[[#This Row],[Ngày Xuất]])</f>
        <v>9</v>
      </c>
      <c r="S28" s="56" t="s">
        <v>772</v>
      </c>
    </row>
    <row r="29" spans="1:19" x14ac:dyDescent="0.3">
      <c r="A29" s="35">
        <v>38</v>
      </c>
      <c r="B29" s="8" t="s">
        <v>83</v>
      </c>
      <c r="C29" s="8" t="s">
        <v>84</v>
      </c>
      <c r="D29" s="8" t="s">
        <v>25</v>
      </c>
      <c r="E29" s="9">
        <v>920000</v>
      </c>
      <c r="F29" s="7">
        <v>0</v>
      </c>
      <c r="G29" s="7">
        <v>8</v>
      </c>
      <c r="H29" s="9">
        <v>1800000</v>
      </c>
      <c r="I29" s="9">
        <f t="shared" si="0"/>
        <v>1800000</v>
      </c>
      <c r="J29" s="10">
        <v>45180</v>
      </c>
      <c r="K29" s="8" t="s">
        <v>85</v>
      </c>
      <c r="L29" s="8" t="str">
        <f>VLOOKUP(DataSales[[#This Row],[Khách hàng]],'RFM Table'!$A:$I,9,FALSE)</f>
        <v>Khách hàng VIP</v>
      </c>
      <c r="M29" s="9">
        <f t="shared" si="1"/>
        <v>880000</v>
      </c>
      <c r="N29" s="11">
        <v>0.48888888888888887</v>
      </c>
      <c r="O29" s="7">
        <v>8</v>
      </c>
      <c r="P29" s="11">
        <v>0</v>
      </c>
      <c r="Q29" s="37">
        <v>2023</v>
      </c>
      <c r="R29" s="56">
        <f>MONTH(DataSales[[#This Row],[Ngày Xuất]])</f>
        <v>9</v>
      </c>
      <c r="S29" s="56" t="s">
        <v>773</v>
      </c>
    </row>
    <row r="30" spans="1:19" x14ac:dyDescent="0.3">
      <c r="A30" s="34">
        <v>39</v>
      </c>
      <c r="B30" s="3" t="s">
        <v>86</v>
      </c>
      <c r="C30" s="3" t="s">
        <v>87</v>
      </c>
      <c r="D30" s="3" t="s">
        <v>22</v>
      </c>
      <c r="E30" s="4">
        <v>190008</v>
      </c>
      <c r="F30" s="2">
        <v>0</v>
      </c>
      <c r="G30" s="2">
        <v>12</v>
      </c>
      <c r="H30" s="4">
        <v>276000</v>
      </c>
      <c r="I30" s="4">
        <f t="shared" si="0"/>
        <v>276000</v>
      </c>
      <c r="J30" s="5">
        <v>45180</v>
      </c>
      <c r="K30" s="3" t="s">
        <v>88</v>
      </c>
      <c r="L30" s="3" t="str">
        <f>VLOOKUP(DataSales[[#This Row],[Khách hàng]],'RFM Table'!$A:$I,9,FALSE)</f>
        <v>Khách hàng Trung thành</v>
      </c>
      <c r="M30" s="4">
        <f t="shared" si="1"/>
        <v>85992</v>
      </c>
      <c r="N30" s="6">
        <v>0.31156521739130433</v>
      </c>
      <c r="O30" s="2">
        <v>12</v>
      </c>
      <c r="P30" s="6">
        <v>0</v>
      </c>
      <c r="Q30" s="36">
        <v>2023</v>
      </c>
      <c r="R30" s="56">
        <f>MONTH(DataSales[[#This Row],[Ngày Xuất]])</f>
        <v>9</v>
      </c>
      <c r="S30" s="56" t="s">
        <v>773</v>
      </c>
    </row>
    <row r="31" spans="1:19" x14ac:dyDescent="0.3">
      <c r="A31" s="35">
        <v>40</v>
      </c>
      <c r="B31" s="8" t="s">
        <v>16</v>
      </c>
      <c r="C31" s="8" t="s">
        <v>17</v>
      </c>
      <c r="D31" s="8" t="s">
        <v>18</v>
      </c>
      <c r="E31" s="9">
        <v>345600</v>
      </c>
      <c r="F31" s="7">
        <v>4</v>
      </c>
      <c r="G31" s="7">
        <v>48</v>
      </c>
      <c r="H31" s="9">
        <v>532000</v>
      </c>
      <c r="I31" s="9">
        <f t="shared" si="0"/>
        <v>532000</v>
      </c>
      <c r="J31" s="10">
        <v>45180</v>
      </c>
      <c r="K31" s="8" t="s">
        <v>89</v>
      </c>
      <c r="L31" s="8" t="str">
        <f>VLOOKUP(DataSales[[#This Row],[Khách hàng]],'RFM Table'!$A:$I,9,FALSE)</f>
        <v>Khách hàng VIP</v>
      </c>
      <c r="M31" s="9">
        <f t="shared" si="1"/>
        <v>186400</v>
      </c>
      <c r="N31" s="11">
        <v>0.35037593984962412</v>
      </c>
      <c r="O31" s="7">
        <v>52</v>
      </c>
      <c r="P31" s="11">
        <v>7.6923076923076927E-2</v>
      </c>
      <c r="Q31" s="37">
        <v>2023</v>
      </c>
      <c r="R31" s="56">
        <f>MONTH(DataSales[[#This Row],[Ngày Xuất]])</f>
        <v>9</v>
      </c>
      <c r="S31" s="56" t="s">
        <v>772</v>
      </c>
    </row>
    <row r="32" spans="1:19" x14ac:dyDescent="0.3">
      <c r="A32" s="34">
        <v>41</v>
      </c>
      <c r="B32" s="3" t="s">
        <v>90</v>
      </c>
      <c r="C32" s="3" t="s">
        <v>91</v>
      </c>
      <c r="D32" s="3" t="s">
        <v>92</v>
      </c>
      <c r="E32" s="4">
        <v>735000</v>
      </c>
      <c r="F32" s="2">
        <v>24</v>
      </c>
      <c r="G32" s="2">
        <v>120</v>
      </c>
      <c r="H32" s="4">
        <v>750000</v>
      </c>
      <c r="I32" s="4">
        <f t="shared" si="0"/>
        <v>750000</v>
      </c>
      <c r="J32" s="5">
        <v>45180</v>
      </c>
      <c r="K32" s="3" t="s">
        <v>93</v>
      </c>
      <c r="L32" s="3" t="str">
        <f>VLOOKUP(DataSales[[#This Row],[Khách hàng]],'RFM Table'!$A:$I,9,FALSE)</f>
        <v>Khách hàng Trung thành</v>
      </c>
      <c r="M32" s="4">
        <f t="shared" si="1"/>
        <v>15000</v>
      </c>
      <c r="N32" s="6">
        <v>0.02</v>
      </c>
      <c r="O32" s="2">
        <v>144</v>
      </c>
      <c r="P32" s="6">
        <v>0.16666666666666671</v>
      </c>
      <c r="Q32" s="36">
        <v>2023</v>
      </c>
      <c r="R32" s="56">
        <f>MONTH(DataSales[[#This Row],[Ngày Xuất]])</f>
        <v>9</v>
      </c>
      <c r="S32" s="56" t="s">
        <v>777</v>
      </c>
    </row>
    <row r="33" spans="1:19" x14ac:dyDescent="0.3">
      <c r="A33" s="35">
        <v>42</v>
      </c>
      <c r="B33" s="8" t="s">
        <v>94</v>
      </c>
      <c r="C33" s="8" t="s">
        <v>95</v>
      </c>
      <c r="D33" s="8" t="s">
        <v>22</v>
      </c>
      <c r="E33" s="9">
        <v>90000</v>
      </c>
      <c r="F33" s="7">
        <v>2</v>
      </c>
      <c r="G33" s="7">
        <v>12</v>
      </c>
      <c r="H33" s="9">
        <v>132000</v>
      </c>
      <c r="I33" s="9">
        <f t="shared" si="0"/>
        <v>132000</v>
      </c>
      <c r="J33" s="10">
        <v>45180</v>
      </c>
      <c r="K33" s="8" t="s">
        <v>96</v>
      </c>
      <c r="L33" s="8" t="str">
        <f>VLOOKUP(DataSales[[#This Row],[Khách hàng]],'RFM Table'!$A:$I,9,FALSE)</f>
        <v>Khách hàng VIP</v>
      </c>
      <c r="M33" s="9">
        <f t="shared" si="1"/>
        <v>42000</v>
      </c>
      <c r="N33" s="11">
        <v>0.31818181818181818</v>
      </c>
      <c r="O33" s="7">
        <v>14</v>
      </c>
      <c r="P33" s="11">
        <v>0.14285714285714279</v>
      </c>
      <c r="Q33" s="37">
        <v>2023</v>
      </c>
      <c r="R33" s="56">
        <f>MONTH(DataSales[[#This Row],[Ngày Xuất]])</f>
        <v>9</v>
      </c>
      <c r="S33" s="56" t="s">
        <v>773</v>
      </c>
    </row>
    <row r="34" spans="1:19" x14ac:dyDescent="0.3">
      <c r="A34" s="34">
        <v>44</v>
      </c>
      <c r="B34" s="3" t="s">
        <v>97</v>
      </c>
      <c r="C34" s="3" t="s">
        <v>98</v>
      </c>
      <c r="D34" s="3" t="s">
        <v>72</v>
      </c>
      <c r="E34" s="4">
        <v>84000</v>
      </c>
      <c r="F34" s="2">
        <v>0</v>
      </c>
      <c r="G34" s="2">
        <v>6</v>
      </c>
      <c r="H34" s="4">
        <v>84000</v>
      </c>
      <c r="I34" s="4">
        <f t="shared" si="0"/>
        <v>84000</v>
      </c>
      <c r="J34" s="5">
        <v>45180</v>
      </c>
      <c r="K34" s="3" t="s">
        <v>99</v>
      </c>
      <c r="L34" s="3" t="str">
        <f>VLOOKUP(DataSales[[#This Row],[Khách hàng]],'RFM Table'!$A:$I,9,FALSE)</f>
        <v>Khách hàng Trung thành</v>
      </c>
      <c r="M34" s="4">
        <f t="shared" si="1"/>
        <v>0</v>
      </c>
      <c r="N34" s="6">
        <v>0</v>
      </c>
      <c r="O34" s="2">
        <v>6</v>
      </c>
      <c r="P34" s="6">
        <v>0</v>
      </c>
      <c r="Q34" s="36">
        <v>2023</v>
      </c>
      <c r="R34" s="56">
        <f>MONTH(DataSales[[#This Row],[Ngày Xuất]])</f>
        <v>9</v>
      </c>
      <c r="S34" s="56" t="s">
        <v>777</v>
      </c>
    </row>
    <row r="35" spans="1:19" x14ac:dyDescent="0.3">
      <c r="A35" s="35">
        <v>45</v>
      </c>
      <c r="B35" s="8" t="s">
        <v>100</v>
      </c>
      <c r="C35" s="8" t="s">
        <v>101</v>
      </c>
      <c r="D35" s="8" t="s">
        <v>32</v>
      </c>
      <c r="E35" s="9">
        <v>290000</v>
      </c>
      <c r="F35" s="7">
        <v>1</v>
      </c>
      <c r="G35" s="7">
        <v>10</v>
      </c>
      <c r="H35" s="9">
        <v>355000</v>
      </c>
      <c r="I35" s="9">
        <f t="shared" si="0"/>
        <v>355000</v>
      </c>
      <c r="J35" s="10">
        <v>45180</v>
      </c>
      <c r="K35" s="8" t="s">
        <v>99</v>
      </c>
      <c r="L35" s="8" t="str">
        <f>VLOOKUP(DataSales[[#This Row],[Khách hàng]],'RFM Table'!$A:$I,9,FALSE)</f>
        <v>Khách hàng Trung thành</v>
      </c>
      <c r="M35" s="9">
        <f t="shared" si="1"/>
        <v>65000</v>
      </c>
      <c r="N35" s="11">
        <v>0.18309859154929581</v>
      </c>
      <c r="O35" s="7">
        <v>11</v>
      </c>
      <c r="P35" s="11">
        <v>9.0909090909090912E-2</v>
      </c>
      <c r="Q35" s="37">
        <v>2023</v>
      </c>
      <c r="R35" s="56">
        <f>MONTH(DataSales[[#This Row],[Ngày Xuất]])</f>
        <v>9</v>
      </c>
      <c r="S35" s="56" t="s">
        <v>779</v>
      </c>
    </row>
    <row r="36" spans="1:19" x14ac:dyDescent="0.3">
      <c r="A36" s="34">
        <v>46</v>
      </c>
      <c r="B36" s="3" t="s">
        <v>102</v>
      </c>
      <c r="C36" s="3" t="s">
        <v>103</v>
      </c>
      <c r="D36" s="3" t="s">
        <v>104</v>
      </c>
      <c r="E36" s="4">
        <v>52500</v>
      </c>
      <c r="F36" s="2">
        <v>0</v>
      </c>
      <c r="G36" s="2">
        <v>2</v>
      </c>
      <c r="H36" s="4">
        <v>60000</v>
      </c>
      <c r="I36" s="4">
        <f t="shared" si="0"/>
        <v>60000</v>
      </c>
      <c r="J36" s="5">
        <v>45180</v>
      </c>
      <c r="K36" s="3" t="s">
        <v>99</v>
      </c>
      <c r="L36" s="3" t="str">
        <f>VLOOKUP(DataSales[[#This Row],[Khách hàng]],'RFM Table'!$A:$I,9,FALSE)</f>
        <v>Khách hàng Trung thành</v>
      </c>
      <c r="M36" s="4">
        <f t="shared" si="1"/>
        <v>7500</v>
      </c>
      <c r="N36" s="6">
        <v>0.125</v>
      </c>
      <c r="O36" s="2">
        <v>2</v>
      </c>
      <c r="P36" s="6">
        <v>0</v>
      </c>
      <c r="Q36" s="36">
        <v>2023</v>
      </c>
      <c r="R36" s="56">
        <f>MONTH(DataSales[[#This Row],[Ngày Xuất]])</f>
        <v>9</v>
      </c>
      <c r="S36" s="56" t="s">
        <v>773</v>
      </c>
    </row>
    <row r="37" spans="1:19" x14ac:dyDescent="0.3">
      <c r="A37" s="35">
        <v>47</v>
      </c>
      <c r="B37" s="8" t="s">
        <v>105</v>
      </c>
      <c r="C37" s="8" t="s">
        <v>106</v>
      </c>
      <c r="D37" s="8" t="s">
        <v>18</v>
      </c>
      <c r="E37" s="9">
        <v>120835</v>
      </c>
      <c r="F37" s="7">
        <v>0</v>
      </c>
      <c r="G37" s="7">
        <v>5</v>
      </c>
      <c r="H37" s="9">
        <v>125000</v>
      </c>
      <c r="I37" s="9">
        <f t="shared" si="0"/>
        <v>125000</v>
      </c>
      <c r="J37" s="10">
        <v>45180</v>
      </c>
      <c r="K37" s="8" t="s">
        <v>99</v>
      </c>
      <c r="L37" s="8" t="str">
        <f>VLOOKUP(DataSales[[#This Row],[Khách hàng]],'RFM Table'!$A:$I,9,FALSE)</f>
        <v>Khách hàng Trung thành</v>
      </c>
      <c r="M37" s="9">
        <f t="shared" si="1"/>
        <v>4165</v>
      </c>
      <c r="N37" s="11">
        <v>3.3320000000000002E-2</v>
      </c>
      <c r="O37" s="7">
        <v>5</v>
      </c>
      <c r="P37" s="11">
        <v>0</v>
      </c>
      <c r="Q37" s="37">
        <v>2023</v>
      </c>
      <c r="R37" s="56">
        <f>MONTH(DataSales[[#This Row],[Ngày Xuất]])</f>
        <v>9</v>
      </c>
      <c r="S37" s="56" t="s">
        <v>775</v>
      </c>
    </row>
    <row r="38" spans="1:19" x14ac:dyDescent="0.3">
      <c r="A38" s="34">
        <v>48</v>
      </c>
      <c r="B38" s="3" t="s">
        <v>57</v>
      </c>
      <c r="C38" s="3" t="s">
        <v>58</v>
      </c>
      <c r="D38" s="3" t="s">
        <v>18</v>
      </c>
      <c r="E38" s="4">
        <v>77000</v>
      </c>
      <c r="F38" s="2">
        <v>0</v>
      </c>
      <c r="G38" s="2">
        <v>10</v>
      </c>
      <c r="H38" s="4">
        <v>100000</v>
      </c>
      <c r="I38" s="4">
        <f t="shared" si="0"/>
        <v>100000</v>
      </c>
      <c r="J38" s="5">
        <v>45180</v>
      </c>
      <c r="K38" s="3" t="s">
        <v>99</v>
      </c>
      <c r="L38" s="3" t="str">
        <f>VLOOKUP(DataSales[[#This Row],[Khách hàng]],'RFM Table'!$A:$I,9,FALSE)</f>
        <v>Khách hàng Trung thành</v>
      </c>
      <c r="M38" s="4">
        <f t="shared" si="1"/>
        <v>23000</v>
      </c>
      <c r="N38" s="6">
        <v>0.23</v>
      </c>
      <c r="O38" s="2">
        <v>10</v>
      </c>
      <c r="P38" s="6">
        <v>0</v>
      </c>
      <c r="Q38" s="36">
        <v>2023</v>
      </c>
      <c r="R38" s="56">
        <f>MONTH(DataSales[[#This Row],[Ngày Xuất]])</f>
        <v>9</v>
      </c>
      <c r="S38" s="56" t="s">
        <v>775</v>
      </c>
    </row>
    <row r="39" spans="1:19" x14ac:dyDescent="0.3">
      <c r="A39" s="35">
        <v>49</v>
      </c>
      <c r="B39" s="8" t="s">
        <v>107</v>
      </c>
      <c r="C39" s="8" t="s">
        <v>108</v>
      </c>
      <c r="D39" s="8" t="s">
        <v>22</v>
      </c>
      <c r="E39" s="9">
        <v>59000</v>
      </c>
      <c r="F39" s="7">
        <v>0</v>
      </c>
      <c r="G39" s="7">
        <v>2</v>
      </c>
      <c r="H39" s="9">
        <v>80000</v>
      </c>
      <c r="I39" s="9">
        <f t="shared" si="0"/>
        <v>80000</v>
      </c>
      <c r="J39" s="10">
        <v>45180</v>
      </c>
      <c r="K39" s="8" t="s">
        <v>99</v>
      </c>
      <c r="L39" s="8" t="str">
        <f>VLOOKUP(DataSales[[#This Row],[Khách hàng]],'RFM Table'!$A:$I,9,FALSE)</f>
        <v>Khách hàng Trung thành</v>
      </c>
      <c r="M39" s="9">
        <f t="shared" si="1"/>
        <v>21000</v>
      </c>
      <c r="N39" s="11">
        <v>0.26250000000000001</v>
      </c>
      <c r="O39" s="7">
        <v>2</v>
      </c>
      <c r="P39" s="11">
        <v>0</v>
      </c>
      <c r="Q39" s="37">
        <v>2023</v>
      </c>
      <c r="R39" s="56">
        <f>MONTH(DataSales[[#This Row],[Ngày Xuất]])</f>
        <v>9</v>
      </c>
      <c r="S39" s="56" t="s">
        <v>773</v>
      </c>
    </row>
    <row r="40" spans="1:19" x14ac:dyDescent="0.3">
      <c r="A40" s="34">
        <v>50</v>
      </c>
      <c r="B40" s="3" t="s">
        <v>109</v>
      </c>
      <c r="C40" s="3" t="s">
        <v>110</v>
      </c>
      <c r="D40" s="3" t="s">
        <v>47</v>
      </c>
      <c r="E40" s="4">
        <v>388512</v>
      </c>
      <c r="F40" s="2">
        <v>6</v>
      </c>
      <c r="G40" s="2">
        <v>24</v>
      </c>
      <c r="H40" s="4">
        <v>384000</v>
      </c>
      <c r="I40" s="4">
        <f t="shared" si="0"/>
        <v>384000</v>
      </c>
      <c r="J40" s="5">
        <v>45180</v>
      </c>
      <c r="K40" s="3" t="s">
        <v>111</v>
      </c>
      <c r="L40" s="3" t="str">
        <f>VLOOKUP(DataSales[[#This Row],[Khách hàng]],'RFM Table'!$A:$I,9,FALSE)</f>
        <v>Khách hàng Cần chú ý</v>
      </c>
      <c r="M40" s="4">
        <f t="shared" si="1"/>
        <v>-4512</v>
      </c>
      <c r="N40" s="6">
        <v>-1.175E-2</v>
      </c>
      <c r="O40" s="2">
        <v>30</v>
      </c>
      <c r="P40" s="6">
        <v>0.2</v>
      </c>
      <c r="Q40" s="36">
        <v>2023</v>
      </c>
      <c r="R40" s="56">
        <f>MONTH(DataSales[[#This Row],[Ngày Xuất]])</f>
        <v>9</v>
      </c>
      <c r="S40" s="56" t="s">
        <v>777</v>
      </c>
    </row>
    <row r="41" spans="1:19" x14ac:dyDescent="0.3">
      <c r="A41" s="35">
        <v>51</v>
      </c>
      <c r="B41" s="8" t="s">
        <v>112</v>
      </c>
      <c r="C41" s="8" t="s">
        <v>113</v>
      </c>
      <c r="D41" s="8" t="s">
        <v>47</v>
      </c>
      <c r="E41" s="9">
        <v>178500</v>
      </c>
      <c r="F41" s="7">
        <v>0</v>
      </c>
      <c r="G41" s="7">
        <v>12</v>
      </c>
      <c r="H41" s="9">
        <v>216000</v>
      </c>
      <c r="I41" s="9">
        <f t="shared" si="0"/>
        <v>216000</v>
      </c>
      <c r="J41" s="10">
        <v>45180</v>
      </c>
      <c r="K41" s="8" t="s">
        <v>111</v>
      </c>
      <c r="L41" s="8" t="str">
        <f>VLOOKUP(DataSales[[#This Row],[Khách hàng]],'RFM Table'!$A:$I,9,FALSE)</f>
        <v>Khách hàng Cần chú ý</v>
      </c>
      <c r="M41" s="9">
        <f t="shared" si="1"/>
        <v>37500</v>
      </c>
      <c r="N41" s="11">
        <v>0.1736111111111111</v>
      </c>
      <c r="O41" s="7">
        <v>12</v>
      </c>
      <c r="P41" s="11">
        <v>0</v>
      </c>
      <c r="Q41" s="37">
        <v>2023</v>
      </c>
      <c r="R41" s="56">
        <f>MONTH(DataSales[[#This Row],[Ngày Xuất]])</f>
        <v>9</v>
      </c>
      <c r="S41" s="56" t="s">
        <v>777</v>
      </c>
    </row>
    <row r="42" spans="1:19" x14ac:dyDescent="0.3">
      <c r="A42" s="34">
        <v>54</v>
      </c>
      <c r="B42" s="3" t="s">
        <v>114</v>
      </c>
      <c r="C42" s="3" t="s">
        <v>115</v>
      </c>
      <c r="D42" s="3" t="s">
        <v>47</v>
      </c>
      <c r="E42" s="4">
        <v>95000</v>
      </c>
      <c r="F42" s="2">
        <v>0</v>
      </c>
      <c r="G42" s="2">
        <v>1</v>
      </c>
      <c r="H42" s="4">
        <v>218000</v>
      </c>
      <c r="I42" s="4">
        <f t="shared" si="0"/>
        <v>218000</v>
      </c>
      <c r="J42" s="5">
        <v>45180</v>
      </c>
      <c r="K42" s="3" t="s">
        <v>116</v>
      </c>
      <c r="L42" s="3" t="str">
        <f>VLOOKUP(DataSales[[#This Row],[Khách hàng]],'RFM Table'!$A:$I,9,FALSE)</f>
        <v>Khách hàng VIP</v>
      </c>
      <c r="M42" s="4">
        <f t="shared" si="1"/>
        <v>123000</v>
      </c>
      <c r="N42" s="6">
        <v>0.56422018348623848</v>
      </c>
      <c r="O42" s="2">
        <v>1</v>
      </c>
      <c r="P42" s="6">
        <v>0</v>
      </c>
      <c r="Q42" s="36">
        <v>2023</v>
      </c>
      <c r="R42" s="56">
        <f>MONTH(DataSales[[#This Row],[Ngày Xuất]])</f>
        <v>9</v>
      </c>
      <c r="S42" s="56" t="s">
        <v>779</v>
      </c>
    </row>
    <row r="43" spans="1:19" x14ac:dyDescent="0.3">
      <c r="A43" s="35">
        <v>55</v>
      </c>
      <c r="B43" s="8" t="s">
        <v>117</v>
      </c>
      <c r="C43" s="8" t="s">
        <v>118</v>
      </c>
      <c r="D43" s="8" t="s">
        <v>47</v>
      </c>
      <c r="E43" s="9">
        <v>100000</v>
      </c>
      <c r="F43" s="7">
        <v>1</v>
      </c>
      <c r="G43" s="7">
        <v>1</v>
      </c>
      <c r="H43" s="9">
        <v>218000</v>
      </c>
      <c r="I43" s="9">
        <f t="shared" si="0"/>
        <v>218000</v>
      </c>
      <c r="J43" s="10">
        <v>45180</v>
      </c>
      <c r="K43" s="8" t="s">
        <v>116</v>
      </c>
      <c r="L43" s="8" t="str">
        <f>VLOOKUP(DataSales[[#This Row],[Khách hàng]],'RFM Table'!$A:$I,9,FALSE)</f>
        <v>Khách hàng VIP</v>
      </c>
      <c r="M43" s="9">
        <f t="shared" si="1"/>
        <v>118000</v>
      </c>
      <c r="N43" s="11">
        <v>0.54128440366972475</v>
      </c>
      <c r="O43" s="7">
        <v>2</v>
      </c>
      <c r="P43" s="11">
        <v>0.5</v>
      </c>
      <c r="Q43" s="37">
        <v>2023</v>
      </c>
      <c r="R43" s="56">
        <f>MONTH(DataSales[[#This Row],[Ngày Xuất]])</f>
        <v>9</v>
      </c>
      <c r="S43" s="56" t="s">
        <v>779</v>
      </c>
    </row>
    <row r="44" spans="1:19" x14ac:dyDescent="0.3">
      <c r="A44" s="34">
        <v>56</v>
      </c>
      <c r="B44" s="3" t="s">
        <v>119</v>
      </c>
      <c r="C44" s="3" t="s">
        <v>120</v>
      </c>
      <c r="D44" s="3" t="s">
        <v>47</v>
      </c>
      <c r="E44" s="4">
        <v>100000</v>
      </c>
      <c r="F44" s="2">
        <v>0</v>
      </c>
      <c r="G44" s="2">
        <v>1</v>
      </c>
      <c r="H44" s="4">
        <v>218000</v>
      </c>
      <c r="I44" s="4">
        <f t="shared" si="0"/>
        <v>218000</v>
      </c>
      <c r="J44" s="5">
        <v>45180</v>
      </c>
      <c r="K44" s="3" t="s">
        <v>116</v>
      </c>
      <c r="L44" s="3" t="str">
        <f>VLOOKUP(DataSales[[#This Row],[Khách hàng]],'RFM Table'!$A:$I,9,FALSE)</f>
        <v>Khách hàng VIP</v>
      </c>
      <c r="M44" s="4">
        <f t="shared" si="1"/>
        <v>118000</v>
      </c>
      <c r="N44" s="6">
        <v>0.54128440366972475</v>
      </c>
      <c r="O44" s="2">
        <v>1</v>
      </c>
      <c r="P44" s="6">
        <v>0</v>
      </c>
      <c r="Q44" s="36">
        <v>2023</v>
      </c>
      <c r="R44" s="56">
        <f>MONTH(DataSales[[#This Row],[Ngày Xuất]])</f>
        <v>9</v>
      </c>
      <c r="S44" s="56" t="s">
        <v>779</v>
      </c>
    </row>
    <row r="45" spans="1:19" x14ac:dyDescent="0.3">
      <c r="A45" s="35">
        <v>57</v>
      </c>
      <c r="B45" s="8" t="s">
        <v>121</v>
      </c>
      <c r="C45" s="8" t="s">
        <v>122</v>
      </c>
      <c r="D45" s="8" t="s">
        <v>47</v>
      </c>
      <c r="E45" s="9">
        <v>100000</v>
      </c>
      <c r="F45" s="7">
        <v>0</v>
      </c>
      <c r="G45" s="7">
        <v>1</v>
      </c>
      <c r="H45" s="9">
        <v>218000</v>
      </c>
      <c r="I45" s="9">
        <f t="shared" si="0"/>
        <v>218000</v>
      </c>
      <c r="J45" s="10">
        <v>45180</v>
      </c>
      <c r="K45" s="8" t="s">
        <v>116</v>
      </c>
      <c r="L45" s="8" t="str">
        <f>VLOOKUP(DataSales[[#This Row],[Khách hàng]],'RFM Table'!$A:$I,9,FALSE)</f>
        <v>Khách hàng VIP</v>
      </c>
      <c r="M45" s="9">
        <f t="shared" si="1"/>
        <v>118000</v>
      </c>
      <c r="N45" s="11">
        <v>0.54128440366972475</v>
      </c>
      <c r="O45" s="7">
        <v>1</v>
      </c>
      <c r="P45" s="11">
        <v>0</v>
      </c>
      <c r="Q45" s="37">
        <v>2023</v>
      </c>
      <c r="R45" s="56">
        <f>MONTH(DataSales[[#This Row],[Ngày Xuất]])</f>
        <v>9</v>
      </c>
      <c r="S45" s="56" t="s">
        <v>779</v>
      </c>
    </row>
    <row r="46" spans="1:19" x14ac:dyDescent="0.3">
      <c r="A46" s="34">
        <v>58</v>
      </c>
      <c r="B46" s="3" t="s">
        <v>38</v>
      </c>
      <c r="C46" s="3" t="s">
        <v>39</v>
      </c>
      <c r="D46" s="3" t="s">
        <v>18</v>
      </c>
      <c r="E46" s="4">
        <v>102000</v>
      </c>
      <c r="F46" s="2">
        <v>0</v>
      </c>
      <c r="G46" s="2">
        <v>6</v>
      </c>
      <c r="H46" s="4">
        <v>144000</v>
      </c>
      <c r="I46" s="4">
        <f t="shared" si="0"/>
        <v>144000</v>
      </c>
      <c r="J46" s="5">
        <v>45180</v>
      </c>
      <c r="K46" s="3" t="s">
        <v>116</v>
      </c>
      <c r="L46" s="3" t="str">
        <f>VLOOKUP(DataSales[[#This Row],[Khách hàng]],'RFM Table'!$A:$I,9,FALSE)</f>
        <v>Khách hàng VIP</v>
      </c>
      <c r="M46" s="4">
        <f t="shared" si="1"/>
        <v>42000</v>
      </c>
      <c r="N46" s="6">
        <v>0.29166666666666669</v>
      </c>
      <c r="O46" s="2">
        <v>6</v>
      </c>
      <c r="P46" s="6">
        <v>0</v>
      </c>
      <c r="Q46" s="36">
        <v>2023</v>
      </c>
      <c r="R46" s="56">
        <f>MONTH(DataSales[[#This Row],[Ngày Xuất]])</f>
        <v>9</v>
      </c>
      <c r="S46" s="56" t="s">
        <v>775</v>
      </c>
    </row>
    <row r="47" spans="1:19" x14ac:dyDescent="0.3">
      <c r="A47" s="35">
        <v>59</v>
      </c>
      <c r="B47" s="8" t="s">
        <v>62</v>
      </c>
      <c r="C47" s="8" t="s">
        <v>63</v>
      </c>
      <c r="D47" s="8" t="s">
        <v>18</v>
      </c>
      <c r="E47" s="9">
        <v>285000</v>
      </c>
      <c r="F47" s="7">
        <v>0</v>
      </c>
      <c r="G47" s="7">
        <v>30</v>
      </c>
      <c r="H47" s="9">
        <v>420000</v>
      </c>
      <c r="I47" s="9">
        <f t="shared" si="0"/>
        <v>420000</v>
      </c>
      <c r="J47" s="10">
        <v>45180</v>
      </c>
      <c r="K47" s="8" t="s">
        <v>123</v>
      </c>
      <c r="L47" s="8" t="str">
        <f>VLOOKUP(DataSales[[#This Row],[Khách hàng]],'RFM Table'!$A:$I,9,FALSE)</f>
        <v>Khách hàng Trung thành</v>
      </c>
      <c r="M47" s="9">
        <f t="shared" si="1"/>
        <v>135000</v>
      </c>
      <c r="N47" s="11">
        <v>0.32142857142857151</v>
      </c>
      <c r="O47" s="7">
        <v>30</v>
      </c>
      <c r="P47" s="11">
        <v>0</v>
      </c>
      <c r="Q47" s="37">
        <v>2023</v>
      </c>
      <c r="R47" s="56">
        <f>MONTH(DataSales[[#This Row],[Ngày Xuất]])</f>
        <v>9</v>
      </c>
      <c r="S47" s="56" t="s">
        <v>775</v>
      </c>
    </row>
    <row r="48" spans="1:19" x14ac:dyDescent="0.3">
      <c r="A48" s="34">
        <v>60</v>
      </c>
      <c r="B48" s="3" t="s">
        <v>124</v>
      </c>
      <c r="C48" s="3" t="s">
        <v>125</v>
      </c>
      <c r="D48" s="3" t="s">
        <v>18</v>
      </c>
      <c r="E48" s="4">
        <v>80000</v>
      </c>
      <c r="F48" s="2">
        <v>0</v>
      </c>
      <c r="G48" s="2">
        <v>20</v>
      </c>
      <c r="H48" s="4">
        <v>130000</v>
      </c>
      <c r="I48" s="4">
        <f t="shared" si="0"/>
        <v>130000</v>
      </c>
      <c r="J48" s="5">
        <v>45180</v>
      </c>
      <c r="K48" s="3" t="s">
        <v>123</v>
      </c>
      <c r="L48" s="3" t="str">
        <f>VLOOKUP(DataSales[[#This Row],[Khách hàng]],'RFM Table'!$A:$I,9,FALSE)</f>
        <v>Khách hàng Trung thành</v>
      </c>
      <c r="M48" s="4">
        <f t="shared" si="1"/>
        <v>50000</v>
      </c>
      <c r="N48" s="6">
        <v>0.38461538461538458</v>
      </c>
      <c r="O48" s="2">
        <v>20</v>
      </c>
      <c r="P48" s="6">
        <v>0</v>
      </c>
      <c r="Q48" s="36">
        <v>2023</v>
      </c>
      <c r="R48" s="56">
        <f>MONTH(DataSales[[#This Row],[Ngày Xuất]])</f>
        <v>9</v>
      </c>
      <c r="S48" s="56" t="s">
        <v>775</v>
      </c>
    </row>
    <row r="49" spans="1:19" x14ac:dyDescent="0.3">
      <c r="A49" s="35">
        <v>61</v>
      </c>
      <c r="B49" s="8" t="s">
        <v>126</v>
      </c>
      <c r="C49" s="8" t="s">
        <v>127</v>
      </c>
      <c r="D49" s="8" t="s">
        <v>18</v>
      </c>
      <c r="E49" s="9">
        <v>270000</v>
      </c>
      <c r="F49" s="7">
        <v>0</v>
      </c>
      <c r="G49" s="7">
        <v>40</v>
      </c>
      <c r="H49" s="9">
        <v>300000</v>
      </c>
      <c r="I49" s="9">
        <f t="shared" si="0"/>
        <v>300000</v>
      </c>
      <c r="J49" s="10">
        <v>45180</v>
      </c>
      <c r="K49" s="8" t="s">
        <v>123</v>
      </c>
      <c r="L49" s="8" t="str">
        <f>VLOOKUP(DataSales[[#This Row],[Khách hàng]],'RFM Table'!$A:$I,9,FALSE)</f>
        <v>Khách hàng Trung thành</v>
      </c>
      <c r="M49" s="9">
        <f t="shared" si="1"/>
        <v>30000</v>
      </c>
      <c r="N49" s="11">
        <v>0.1</v>
      </c>
      <c r="O49" s="7">
        <v>40</v>
      </c>
      <c r="P49" s="11">
        <v>0</v>
      </c>
      <c r="Q49" s="37">
        <v>2023</v>
      </c>
      <c r="R49" s="56">
        <f>MONTH(DataSales[[#This Row],[Ngày Xuất]])</f>
        <v>9</v>
      </c>
      <c r="S49" s="56" t="s">
        <v>772</v>
      </c>
    </row>
    <row r="50" spans="1:19" x14ac:dyDescent="0.3">
      <c r="A50" s="34">
        <v>62</v>
      </c>
      <c r="B50" s="3" t="s">
        <v>128</v>
      </c>
      <c r="C50" s="3" t="s">
        <v>129</v>
      </c>
      <c r="D50" s="3" t="s">
        <v>22</v>
      </c>
      <c r="E50" s="4">
        <v>90000</v>
      </c>
      <c r="F50" s="2">
        <v>0</v>
      </c>
      <c r="G50" s="2">
        <v>6</v>
      </c>
      <c r="H50" s="4">
        <v>144000</v>
      </c>
      <c r="I50" s="4">
        <f t="shared" si="0"/>
        <v>144000</v>
      </c>
      <c r="J50" s="5">
        <v>45180</v>
      </c>
      <c r="K50" s="3" t="s">
        <v>130</v>
      </c>
      <c r="L50" s="3" t="str">
        <f>VLOOKUP(DataSales[[#This Row],[Khách hàng]],'RFM Table'!$A:$I,9,FALSE)</f>
        <v>Khách hàng Cần chú ý</v>
      </c>
      <c r="M50" s="4">
        <f t="shared" si="1"/>
        <v>54000</v>
      </c>
      <c r="N50" s="6">
        <v>0.375</v>
      </c>
      <c r="O50" s="2">
        <v>6</v>
      </c>
      <c r="P50" s="6">
        <v>0</v>
      </c>
      <c r="Q50" s="36">
        <v>2023</v>
      </c>
      <c r="R50" s="56">
        <f>MONTH(DataSales[[#This Row],[Ngày Xuất]])</f>
        <v>9</v>
      </c>
      <c r="S50" s="56" t="s">
        <v>773</v>
      </c>
    </row>
    <row r="51" spans="1:19" x14ac:dyDescent="0.3">
      <c r="A51" s="35">
        <v>66</v>
      </c>
      <c r="B51" s="8" t="s">
        <v>38</v>
      </c>
      <c r="C51" s="8" t="s">
        <v>39</v>
      </c>
      <c r="D51" s="8" t="s">
        <v>18</v>
      </c>
      <c r="E51" s="9">
        <v>340000</v>
      </c>
      <c r="F51" s="7">
        <v>0</v>
      </c>
      <c r="G51" s="7">
        <v>20</v>
      </c>
      <c r="H51" s="9">
        <v>500000</v>
      </c>
      <c r="I51" s="9">
        <f t="shared" si="0"/>
        <v>500000</v>
      </c>
      <c r="J51" s="10">
        <v>45181</v>
      </c>
      <c r="K51" s="8" t="s">
        <v>131</v>
      </c>
      <c r="L51" s="8" t="str">
        <f>VLOOKUP(DataSales[[#This Row],[Khách hàng]],'RFM Table'!$A:$I,9,FALSE)</f>
        <v>Khách hàng VIP</v>
      </c>
      <c r="M51" s="9">
        <f t="shared" si="1"/>
        <v>160000</v>
      </c>
      <c r="N51" s="11">
        <v>0.32</v>
      </c>
      <c r="O51" s="7">
        <v>20</v>
      </c>
      <c r="P51" s="11">
        <v>0</v>
      </c>
      <c r="Q51" s="37">
        <v>2023</v>
      </c>
      <c r="R51" s="56">
        <f>MONTH(DataSales[[#This Row],[Ngày Xuất]])</f>
        <v>9</v>
      </c>
      <c r="S51" s="56" t="s">
        <v>775</v>
      </c>
    </row>
    <row r="52" spans="1:19" x14ac:dyDescent="0.3">
      <c r="A52" s="34">
        <v>68</v>
      </c>
      <c r="B52" s="3" t="s">
        <v>132</v>
      </c>
      <c r="C52" s="3" t="s">
        <v>133</v>
      </c>
      <c r="D52" s="3" t="s">
        <v>47</v>
      </c>
      <c r="E52" s="4">
        <v>43500</v>
      </c>
      <c r="F52" s="2">
        <v>0</v>
      </c>
      <c r="G52" s="2">
        <v>3</v>
      </c>
      <c r="H52" s="4">
        <v>42000</v>
      </c>
      <c r="I52" s="4">
        <f t="shared" si="0"/>
        <v>42000</v>
      </c>
      <c r="J52" s="5">
        <v>45181</v>
      </c>
      <c r="K52" s="3" t="s">
        <v>134</v>
      </c>
      <c r="L52" s="3" t="str">
        <f>VLOOKUP(DataSales[[#This Row],[Khách hàng]],'RFM Table'!$A:$I,9,FALSE)</f>
        <v>Khách hàng Tiềm năng</v>
      </c>
      <c r="M52" s="4">
        <f t="shared" si="1"/>
        <v>-1500</v>
      </c>
      <c r="N52" s="6">
        <v>-3.5714285714285712E-2</v>
      </c>
      <c r="O52" s="2">
        <v>3</v>
      </c>
      <c r="P52" s="6">
        <v>0</v>
      </c>
      <c r="Q52" s="36">
        <v>2023</v>
      </c>
      <c r="R52" s="56">
        <f>MONTH(DataSales[[#This Row],[Ngày Xuất]])</f>
        <v>9</v>
      </c>
      <c r="S52" s="56" t="s">
        <v>776</v>
      </c>
    </row>
    <row r="53" spans="1:19" x14ac:dyDescent="0.3">
      <c r="A53" s="35">
        <v>69</v>
      </c>
      <c r="B53" s="8" t="s">
        <v>135</v>
      </c>
      <c r="C53" s="8" t="s">
        <v>136</v>
      </c>
      <c r="D53" s="8" t="s">
        <v>47</v>
      </c>
      <c r="E53" s="9">
        <v>58000</v>
      </c>
      <c r="F53" s="7">
        <v>0</v>
      </c>
      <c r="G53" s="7">
        <v>4</v>
      </c>
      <c r="H53" s="9">
        <v>56000</v>
      </c>
      <c r="I53" s="9">
        <f t="shared" si="0"/>
        <v>56000</v>
      </c>
      <c r="J53" s="10">
        <v>45181</v>
      </c>
      <c r="K53" s="8" t="s">
        <v>134</v>
      </c>
      <c r="L53" s="8" t="str">
        <f>VLOOKUP(DataSales[[#This Row],[Khách hàng]],'RFM Table'!$A:$I,9,FALSE)</f>
        <v>Khách hàng Tiềm năng</v>
      </c>
      <c r="M53" s="9">
        <f t="shared" si="1"/>
        <v>-2000</v>
      </c>
      <c r="N53" s="11">
        <v>-3.5714285714285712E-2</v>
      </c>
      <c r="O53" s="7">
        <v>4</v>
      </c>
      <c r="P53" s="11">
        <v>0</v>
      </c>
      <c r="Q53" s="37">
        <v>2023</v>
      </c>
      <c r="R53" s="56">
        <f>MONTH(DataSales[[#This Row],[Ngày Xuất]])</f>
        <v>9</v>
      </c>
      <c r="S53" s="56" t="s">
        <v>776</v>
      </c>
    </row>
    <row r="54" spans="1:19" x14ac:dyDescent="0.3">
      <c r="A54" s="34">
        <v>70</v>
      </c>
      <c r="B54" s="3" t="s">
        <v>137</v>
      </c>
      <c r="C54" s="3" t="s">
        <v>138</v>
      </c>
      <c r="D54" s="3" t="s">
        <v>47</v>
      </c>
      <c r="E54" s="4">
        <v>43500</v>
      </c>
      <c r="F54" s="2">
        <v>0</v>
      </c>
      <c r="G54" s="2">
        <v>3</v>
      </c>
      <c r="H54" s="4">
        <v>42000</v>
      </c>
      <c r="I54" s="4">
        <f t="shared" si="0"/>
        <v>42000</v>
      </c>
      <c r="J54" s="5">
        <v>45181</v>
      </c>
      <c r="K54" s="3" t="s">
        <v>134</v>
      </c>
      <c r="L54" s="3" t="str">
        <f>VLOOKUP(DataSales[[#This Row],[Khách hàng]],'RFM Table'!$A:$I,9,FALSE)</f>
        <v>Khách hàng Tiềm năng</v>
      </c>
      <c r="M54" s="4">
        <f t="shared" si="1"/>
        <v>-1500</v>
      </c>
      <c r="N54" s="6">
        <v>-3.5714285714285712E-2</v>
      </c>
      <c r="O54" s="2">
        <v>3</v>
      </c>
      <c r="P54" s="6">
        <v>0</v>
      </c>
      <c r="Q54" s="36">
        <v>2023</v>
      </c>
      <c r="R54" s="56">
        <f>MONTH(DataSales[[#This Row],[Ngày Xuất]])</f>
        <v>9</v>
      </c>
      <c r="S54" s="56" t="s">
        <v>776</v>
      </c>
    </row>
    <row r="55" spans="1:19" x14ac:dyDescent="0.3">
      <c r="A55" s="35">
        <v>71</v>
      </c>
      <c r="B55" s="8" t="s">
        <v>45</v>
      </c>
      <c r="C55" s="8" t="s">
        <v>46</v>
      </c>
      <c r="D55" s="8" t="s">
        <v>47</v>
      </c>
      <c r="E55" s="9">
        <v>362268</v>
      </c>
      <c r="F55" s="7">
        <v>1</v>
      </c>
      <c r="G55" s="7">
        <v>6</v>
      </c>
      <c r="H55" s="9">
        <v>340000</v>
      </c>
      <c r="I55" s="9">
        <f t="shared" si="0"/>
        <v>340000</v>
      </c>
      <c r="J55" s="10">
        <v>45183</v>
      </c>
      <c r="K55" s="8" t="s">
        <v>139</v>
      </c>
      <c r="L55" s="8" t="str">
        <f>VLOOKUP(DataSales[[#This Row],[Khách hàng]],'RFM Table'!$A:$I,9,FALSE)</f>
        <v>Khách hàng Cần chú ý</v>
      </c>
      <c r="M55" s="9">
        <f t="shared" si="1"/>
        <v>-22268</v>
      </c>
      <c r="N55" s="11">
        <v>-6.5494117647058828E-2</v>
      </c>
      <c r="O55" s="7">
        <v>7</v>
      </c>
      <c r="P55" s="11">
        <v>0.14285714285714279</v>
      </c>
      <c r="Q55" s="37">
        <v>2023</v>
      </c>
      <c r="R55" s="56">
        <f>MONTH(DataSales[[#This Row],[Ngày Xuất]])</f>
        <v>9</v>
      </c>
      <c r="S55" s="56" t="s">
        <v>776</v>
      </c>
    </row>
    <row r="56" spans="1:19" x14ac:dyDescent="0.3">
      <c r="A56" s="34">
        <v>73</v>
      </c>
      <c r="B56" s="3" t="s">
        <v>140</v>
      </c>
      <c r="C56" s="3" t="s">
        <v>141</v>
      </c>
      <c r="D56" s="3" t="s">
        <v>18</v>
      </c>
      <c r="E56" s="4">
        <v>305000</v>
      </c>
      <c r="F56" s="2">
        <v>0</v>
      </c>
      <c r="G56" s="2">
        <v>4</v>
      </c>
      <c r="H56" s="4">
        <v>424000</v>
      </c>
      <c r="I56" s="4">
        <f t="shared" si="0"/>
        <v>424000</v>
      </c>
      <c r="J56" s="5">
        <v>45183</v>
      </c>
      <c r="K56" s="3" t="s">
        <v>142</v>
      </c>
      <c r="L56" s="3" t="str">
        <f>VLOOKUP(DataSales[[#This Row],[Khách hàng]],'RFM Table'!$A:$I,9,FALSE)</f>
        <v>Khách hàng Cần chú ý</v>
      </c>
      <c r="M56" s="4">
        <f t="shared" si="1"/>
        <v>119000</v>
      </c>
      <c r="N56" s="6">
        <v>0.28066037735849059</v>
      </c>
      <c r="O56" s="2">
        <v>4</v>
      </c>
      <c r="P56" s="6">
        <v>0</v>
      </c>
      <c r="Q56" s="36">
        <v>2023</v>
      </c>
      <c r="R56" s="56">
        <f>MONTH(DataSales[[#This Row],[Ngày Xuất]])</f>
        <v>9</v>
      </c>
      <c r="S56" s="56" t="s">
        <v>773</v>
      </c>
    </row>
    <row r="57" spans="1:19" x14ac:dyDescent="0.3">
      <c r="A57" s="35">
        <v>74</v>
      </c>
      <c r="B57" s="8" t="s">
        <v>143</v>
      </c>
      <c r="C57" s="8" t="s">
        <v>144</v>
      </c>
      <c r="D57" s="8" t="s">
        <v>47</v>
      </c>
      <c r="E57" s="9">
        <v>294000</v>
      </c>
      <c r="F57" s="7">
        <v>1</v>
      </c>
      <c r="G57" s="7">
        <v>6</v>
      </c>
      <c r="H57" s="9">
        <v>310000</v>
      </c>
      <c r="I57" s="9">
        <f t="shared" si="0"/>
        <v>310000</v>
      </c>
      <c r="J57" s="10">
        <v>45183</v>
      </c>
      <c r="K57" s="8" t="s">
        <v>142</v>
      </c>
      <c r="L57" s="8" t="str">
        <f>VLOOKUP(DataSales[[#This Row],[Khách hàng]],'RFM Table'!$A:$I,9,FALSE)</f>
        <v>Khách hàng Cần chú ý</v>
      </c>
      <c r="M57" s="9">
        <f t="shared" si="1"/>
        <v>16000</v>
      </c>
      <c r="N57" s="11">
        <v>5.1612903225806452E-2</v>
      </c>
      <c r="O57" s="7">
        <v>7</v>
      </c>
      <c r="P57" s="11">
        <v>0.14285714285714279</v>
      </c>
      <c r="Q57" s="37">
        <v>2023</v>
      </c>
      <c r="R57" s="56">
        <f>MONTH(DataSales[[#This Row],[Ngày Xuất]])</f>
        <v>9</v>
      </c>
      <c r="S57" s="56" t="s">
        <v>774</v>
      </c>
    </row>
    <row r="58" spans="1:19" x14ac:dyDescent="0.3">
      <c r="A58" s="34">
        <v>75</v>
      </c>
      <c r="B58" s="3" t="s">
        <v>145</v>
      </c>
      <c r="C58" s="3" t="s">
        <v>146</v>
      </c>
      <c r="D58" s="3" t="s">
        <v>18</v>
      </c>
      <c r="E58" s="4">
        <v>144000</v>
      </c>
      <c r="F58" s="2">
        <v>0</v>
      </c>
      <c r="G58" s="2">
        <v>24</v>
      </c>
      <c r="H58" s="4">
        <v>192000</v>
      </c>
      <c r="I58" s="4">
        <f t="shared" si="0"/>
        <v>192000</v>
      </c>
      <c r="J58" s="5">
        <v>45183</v>
      </c>
      <c r="K58" s="3" t="s">
        <v>147</v>
      </c>
      <c r="L58" s="3" t="str">
        <f>VLOOKUP(DataSales[[#This Row],[Khách hàng]],'RFM Table'!$A:$I,9,FALSE)</f>
        <v>Khách hàng Trung thành</v>
      </c>
      <c r="M58" s="4">
        <f t="shared" si="1"/>
        <v>48000</v>
      </c>
      <c r="N58" s="6">
        <v>0.25</v>
      </c>
      <c r="O58" s="2">
        <v>24</v>
      </c>
      <c r="P58" s="6">
        <v>0</v>
      </c>
      <c r="Q58" s="36">
        <v>2023</v>
      </c>
      <c r="R58" s="56">
        <f>MONTH(DataSales[[#This Row],[Ngày Xuất]])</f>
        <v>9</v>
      </c>
      <c r="S58" s="56" t="s">
        <v>772</v>
      </c>
    </row>
    <row r="59" spans="1:19" x14ac:dyDescent="0.3">
      <c r="A59" s="35">
        <v>79</v>
      </c>
      <c r="B59" s="8" t="s">
        <v>148</v>
      </c>
      <c r="C59" s="8" t="s">
        <v>149</v>
      </c>
      <c r="D59" s="8" t="s">
        <v>104</v>
      </c>
      <c r="E59" s="9">
        <v>63000</v>
      </c>
      <c r="F59" s="7">
        <v>0</v>
      </c>
      <c r="G59" s="7">
        <v>1</v>
      </c>
      <c r="H59" s="9">
        <v>69000</v>
      </c>
      <c r="I59" s="9">
        <f t="shared" si="0"/>
        <v>69000</v>
      </c>
      <c r="J59" s="10">
        <v>45183</v>
      </c>
      <c r="K59" s="8" t="s">
        <v>150</v>
      </c>
      <c r="L59" s="8" t="str">
        <f>VLOOKUP(DataSales[[#This Row],[Khách hàng]],'RFM Table'!$A:$I,9,FALSE)</f>
        <v>Khách hàng Trung thành</v>
      </c>
      <c r="M59" s="9">
        <f t="shared" si="1"/>
        <v>6000</v>
      </c>
      <c r="N59" s="11">
        <v>8.6956521739130432E-2</v>
      </c>
      <c r="O59" s="7">
        <v>1</v>
      </c>
      <c r="P59" s="11">
        <v>0</v>
      </c>
      <c r="Q59" s="37">
        <v>2023</v>
      </c>
      <c r="R59" s="56">
        <f>MONTH(DataSales[[#This Row],[Ngày Xuất]])</f>
        <v>9</v>
      </c>
      <c r="S59" s="56" t="s">
        <v>780</v>
      </c>
    </row>
    <row r="60" spans="1:19" x14ac:dyDescent="0.3">
      <c r="A60" s="34">
        <v>80</v>
      </c>
      <c r="B60" s="3" t="s">
        <v>151</v>
      </c>
      <c r="C60" s="3" t="s">
        <v>152</v>
      </c>
      <c r="D60" s="3" t="s">
        <v>72</v>
      </c>
      <c r="E60" s="4">
        <v>110000</v>
      </c>
      <c r="F60" s="2">
        <v>0</v>
      </c>
      <c r="G60" s="2">
        <v>20</v>
      </c>
      <c r="H60" s="4">
        <v>130000</v>
      </c>
      <c r="I60" s="4">
        <f t="shared" si="0"/>
        <v>130000</v>
      </c>
      <c r="J60" s="5">
        <v>45183</v>
      </c>
      <c r="K60" s="3" t="s">
        <v>150</v>
      </c>
      <c r="L60" s="3" t="str">
        <f>VLOOKUP(DataSales[[#This Row],[Khách hàng]],'RFM Table'!$A:$I,9,FALSE)</f>
        <v>Khách hàng Trung thành</v>
      </c>
      <c r="M60" s="4">
        <f t="shared" si="1"/>
        <v>20000</v>
      </c>
      <c r="N60" s="6">
        <v>0.15384615384615391</v>
      </c>
      <c r="O60" s="2">
        <v>20</v>
      </c>
      <c r="P60" s="6">
        <v>0</v>
      </c>
      <c r="Q60" s="36">
        <v>2023</v>
      </c>
      <c r="R60" s="56">
        <f>MONTH(DataSales[[#This Row],[Ngày Xuất]])</f>
        <v>9</v>
      </c>
      <c r="S60" s="56" t="s">
        <v>776</v>
      </c>
    </row>
    <row r="61" spans="1:19" x14ac:dyDescent="0.3">
      <c r="A61" s="35">
        <v>81</v>
      </c>
      <c r="B61" s="8" t="s">
        <v>70</v>
      </c>
      <c r="C61" s="8" t="s">
        <v>71</v>
      </c>
      <c r="D61" s="8" t="s">
        <v>72</v>
      </c>
      <c r="E61" s="9">
        <v>165000</v>
      </c>
      <c r="F61" s="7">
        <v>0</v>
      </c>
      <c r="G61" s="7">
        <v>30</v>
      </c>
      <c r="H61" s="9">
        <v>195000</v>
      </c>
      <c r="I61" s="9">
        <f t="shared" si="0"/>
        <v>195000</v>
      </c>
      <c r="J61" s="10">
        <v>45183</v>
      </c>
      <c r="K61" s="8" t="s">
        <v>150</v>
      </c>
      <c r="L61" s="8" t="str">
        <f>VLOOKUP(DataSales[[#This Row],[Khách hàng]],'RFM Table'!$A:$I,9,FALSE)</f>
        <v>Khách hàng Trung thành</v>
      </c>
      <c r="M61" s="9">
        <f t="shared" si="1"/>
        <v>30000</v>
      </c>
      <c r="N61" s="11">
        <v>0.15384615384615391</v>
      </c>
      <c r="O61" s="7">
        <v>30</v>
      </c>
      <c r="P61" s="11">
        <v>0</v>
      </c>
      <c r="Q61" s="37">
        <v>2023</v>
      </c>
      <c r="R61" s="56">
        <f>MONTH(DataSales[[#This Row],[Ngày Xuất]])</f>
        <v>9</v>
      </c>
      <c r="S61" s="56" t="s">
        <v>776</v>
      </c>
    </row>
    <row r="62" spans="1:19" x14ac:dyDescent="0.3">
      <c r="A62" s="34">
        <v>82</v>
      </c>
      <c r="B62" s="3" t="s">
        <v>74</v>
      </c>
      <c r="C62" s="3" t="s">
        <v>75</v>
      </c>
      <c r="D62" s="3" t="s">
        <v>72</v>
      </c>
      <c r="E62" s="4">
        <v>165000</v>
      </c>
      <c r="F62" s="2">
        <v>0</v>
      </c>
      <c r="G62" s="2">
        <v>30</v>
      </c>
      <c r="H62" s="4">
        <v>195000</v>
      </c>
      <c r="I62" s="4">
        <f t="shared" si="0"/>
        <v>195000</v>
      </c>
      <c r="J62" s="5">
        <v>45183</v>
      </c>
      <c r="K62" s="3" t="s">
        <v>150</v>
      </c>
      <c r="L62" s="3" t="str">
        <f>VLOOKUP(DataSales[[#This Row],[Khách hàng]],'RFM Table'!$A:$I,9,FALSE)</f>
        <v>Khách hàng Trung thành</v>
      </c>
      <c r="M62" s="4">
        <f t="shared" si="1"/>
        <v>30000</v>
      </c>
      <c r="N62" s="6">
        <v>0.15384615384615391</v>
      </c>
      <c r="O62" s="2">
        <v>30</v>
      </c>
      <c r="P62" s="6">
        <v>0</v>
      </c>
      <c r="Q62" s="36">
        <v>2023</v>
      </c>
      <c r="R62" s="56">
        <f>MONTH(DataSales[[#This Row],[Ngày Xuất]])</f>
        <v>9</v>
      </c>
      <c r="S62" s="56" t="s">
        <v>776</v>
      </c>
    </row>
    <row r="63" spans="1:19" x14ac:dyDescent="0.3">
      <c r="A63" s="35">
        <v>84</v>
      </c>
      <c r="B63" s="8" t="s">
        <v>153</v>
      </c>
      <c r="C63" s="8" t="s">
        <v>154</v>
      </c>
      <c r="D63" s="8" t="s">
        <v>155</v>
      </c>
      <c r="E63" s="9">
        <v>820800</v>
      </c>
      <c r="F63" s="7">
        <v>0</v>
      </c>
      <c r="G63" s="7">
        <v>24</v>
      </c>
      <c r="H63" s="9">
        <v>840000</v>
      </c>
      <c r="I63" s="9">
        <f t="shared" si="0"/>
        <v>840000</v>
      </c>
      <c r="J63" s="10">
        <v>45183</v>
      </c>
      <c r="K63" s="8" t="s">
        <v>150</v>
      </c>
      <c r="L63" s="8" t="str">
        <f>VLOOKUP(DataSales[[#This Row],[Khách hàng]],'RFM Table'!$A:$I,9,FALSE)</f>
        <v>Khách hàng Trung thành</v>
      </c>
      <c r="M63" s="9">
        <f t="shared" si="1"/>
        <v>19200</v>
      </c>
      <c r="N63" s="11">
        <v>2.2857142857142861E-2</v>
      </c>
      <c r="O63" s="7">
        <v>24</v>
      </c>
      <c r="P63" s="11">
        <v>0</v>
      </c>
      <c r="Q63" s="37">
        <v>2023</v>
      </c>
      <c r="R63" s="56">
        <f>MONTH(DataSales[[#This Row],[Ngày Xuất]])</f>
        <v>9</v>
      </c>
      <c r="S63" s="56" t="s">
        <v>776</v>
      </c>
    </row>
    <row r="64" spans="1:19" x14ac:dyDescent="0.3">
      <c r="A64" s="34">
        <v>85</v>
      </c>
      <c r="B64" s="3" t="s">
        <v>156</v>
      </c>
      <c r="C64" s="3" t="s">
        <v>157</v>
      </c>
      <c r="D64" s="3" t="s">
        <v>158</v>
      </c>
      <c r="E64" s="4">
        <v>138000</v>
      </c>
      <c r="F64" s="2">
        <v>0</v>
      </c>
      <c r="G64" s="2">
        <v>6</v>
      </c>
      <c r="H64" s="4">
        <v>162000</v>
      </c>
      <c r="I64" s="4">
        <f t="shared" si="0"/>
        <v>162000</v>
      </c>
      <c r="J64" s="5">
        <v>45183</v>
      </c>
      <c r="K64" s="3" t="s">
        <v>159</v>
      </c>
      <c r="L64" s="3" t="str">
        <f>VLOOKUP(DataSales[[#This Row],[Khách hàng]],'RFM Table'!$A:$I,9,FALSE)</f>
        <v>Khách hàng Trung thành</v>
      </c>
      <c r="M64" s="4">
        <f t="shared" si="1"/>
        <v>24000</v>
      </c>
      <c r="N64" s="6">
        <v>0.14814814814814811</v>
      </c>
      <c r="O64" s="2">
        <v>6</v>
      </c>
      <c r="P64" s="6">
        <v>0</v>
      </c>
      <c r="Q64" s="36">
        <v>2023</v>
      </c>
      <c r="R64" s="56">
        <f>MONTH(DataSales[[#This Row],[Ngày Xuất]])</f>
        <v>9</v>
      </c>
      <c r="S64" s="56" t="s">
        <v>776</v>
      </c>
    </row>
    <row r="65" spans="1:19" x14ac:dyDescent="0.3">
      <c r="A65" s="35">
        <v>86</v>
      </c>
      <c r="B65" s="8" t="s">
        <v>132</v>
      </c>
      <c r="C65" s="8" t="s">
        <v>133</v>
      </c>
      <c r="D65" s="8" t="s">
        <v>47</v>
      </c>
      <c r="E65" s="9">
        <v>72500</v>
      </c>
      <c r="F65" s="7">
        <v>0</v>
      </c>
      <c r="G65" s="7">
        <v>5</v>
      </c>
      <c r="H65" s="9">
        <v>70000</v>
      </c>
      <c r="I65" s="9">
        <f t="shared" si="0"/>
        <v>70000</v>
      </c>
      <c r="J65" s="10">
        <v>45183</v>
      </c>
      <c r="K65" s="8" t="s">
        <v>159</v>
      </c>
      <c r="L65" s="8" t="str">
        <f>VLOOKUP(DataSales[[#This Row],[Khách hàng]],'RFM Table'!$A:$I,9,FALSE)</f>
        <v>Khách hàng Trung thành</v>
      </c>
      <c r="M65" s="9">
        <f t="shared" si="1"/>
        <v>-2500</v>
      </c>
      <c r="N65" s="11">
        <v>-3.5714285714285712E-2</v>
      </c>
      <c r="O65" s="7">
        <v>5</v>
      </c>
      <c r="P65" s="11">
        <v>0</v>
      </c>
      <c r="Q65" s="37">
        <v>2023</v>
      </c>
      <c r="R65" s="56">
        <f>MONTH(DataSales[[#This Row],[Ngày Xuất]])</f>
        <v>9</v>
      </c>
      <c r="S65" s="56" t="s">
        <v>776</v>
      </c>
    </row>
    <row r="66" spans="1:19" x14ac:dyDescent="0.3">
      <c r="A66" s="34">
        <v>87</v>
      </c>
      <c r="B66" s="3" t="s">
        <v>135</v>
      </c>
      <c r="C66" s="3" t="s">
        <v>136</v>
      </c>
      <c r="D66" s="3" t="s">
        <v>47</v>
      </c>
      <c r="E66" s="4">
        <v>72500</v>
      </c>
      <c r="F66" s="2">
        <v>0</v>
      </c>
      <c r="G66" s="2">
        <v>5</v>
      </c>
      <c r="H66" s="4">
        <v>70000</v>
      </c>
      <c r="I66" s="4">
        <f t="shared" ref="I66:I129" si="2">H66</f>
        <v>70000</v>
      </c>
      <c r="J66" s="5">
        <v>45183</v>
      </c>
      <c r="K66" s="3" t="s">
        <v>159</v>
      </c>
      <c r="L66" s="3" t="str">
        <f>VLOOKUP(DataSales[[#This Row],[Khách hàng]],'RFM Table'!$A:$I,9,FALSE)</f>
        <v>Khách hàng Trung thành</v>
      </c>
      <c r="M66" s="4">
        <f t="shared" ref="M66:M129" si="3">I66-E66</f>
        <v>-2500</v>
      </c>
      <c r="N66" s="6">
        <v>-3.5714285714285712E-2</v>
      </c>
      <c r="O66" s="2">
        <v>5</v>
      </c>
      <c r="P66" s="6">
        <v>0</v>
      </c>
      <c r="Q66" s="36">
        <v>2023</v>
      </c>
      <c r="R66" s="56">
        <f>MONTH(DataSales[[#This Row],[Ngày Xuất]])</f>
        <v>9</v>
      </c>
      <c r="S66" s="56" t="s">
        <v>776</v>
      </c>
    </row>
    <row r="67" spans="1:19" x14ac:dyDescent="0.3">
      <c r="A67" s="35">
        <v>88</v>
      </c>
      <c r="B67" s="8" t="s">
        <v>137</v>
      </c>
      <c r="C67" s="8" t="s">
        <v>138</v>
      </c>
      <c r="D67" s="8" t="s">
        <v>47</v>
      </c>
      <c r="E67" s="9">
        <v>72500</v>
      </c>
      <c r="F67" s="7">
        <v>0</v>
      </c>
      <c r="G67" s="7">
        <v>5</v>
      </c>
      <c r="H67" s="9">
        <v>70000</v>
      </c>
      <c r="I67" s="9">
        <f t="shared" si="2"/>
        <v>70000</v>
      </c>
      <c r="J67" s="10">
        <v>45183</v>
      </c>
      <c r="K67" s="8" t="s">
        <v>159</v>
      </c>
      <c r="L67" s="8" t="str">
        <f>VLOOKUP(DataSales[[#This Row],[Khách hàng]],'RFM Table'!$A:$I,9,FALSE)</f>
        <v>Khách hàng Trung thành</v>
      </c>
      <c r="M67" s="9">
        <f t="shared" si="3"/>
        <v>-2500</v>
      </c>
      <c r="N67" s="11">
        <v>-3.5714285714285712E-2</v>
      </c>
      <c r="O67" s="7">
        <v>5</v>
      </c>
      <c r="P67" s="11">
        <v>0</v>
      </c>
      <c r="Q67" s="37">
        <v>2023</v>
      </c>
      <c r="R67" s="56">
        <f>MONTH(DataSales[[#This Row],[Ngày Xuất]])</f>
        <v>9</v>
      </c>
      <c r="S67" s="56" t="s">
        <v>776</v>
      </c>
    </row>
    <row r="68" spans="1:19" x14ac:dyDescent="0.3">
      <c r="A68" s="34">
        <v>89</v>
      </c>
      <c r="B68" s="3" t="s">
        <v>153</v>
      </c>
      <c r="C68" s="3" t="s">
        <v>154</v>
      </c>
      <c r="D68" s="3" t="s">
        <v>155</v>
      </c>
      <c r="E68" s="4">
        <v>171000</v>
      </c>
      <c r="F68" s="2">
        <v>0</v>
      </c>
      <c r="G68" s="2">
        <v>5</v>
      </c>
      <c r="H68" s="4">
        <v>175000</v>
      </c>
      <c r="I68" s="4">
        <f t="shared" si="2"/>
        <v>175000</v>
      </c>
      <c r="J68" s="5">
        <v>45183</v>
      </c>
      <c r="K68" s="3" t="s">
        <v>159</v>
      </c>
      <c r="L68" s="3" t="str">
        <f>VLOOKUP(DataSales[[#This Row],[Khách hàng]],'RFM Table'!$A:$I,9,FALSE)</f>
        <v>Khách hàng Trung thành</v>
      </c>
      <c r="M68" s="4">
        <f t="shared" si="3"/>
        <v>4000</v>
      </c>
      <c r="N68" s="6">
        <v>2.2857142857142861E-2</v>
      </c>
      <c r="O68" s="2">
        <v>5</v>
      </c>
      <c r="P68" s="6">
        <v>0</v>
      </c>
      <c r="Q68" s="36">
        <v>2023</v>
      </c>
      <c r="R68" s="56">
        <f>MONTH(DataSales[[#This Row],[Ngày Xuất]])</f>
        <v>9</v>
      </c>
      <c r="S68" s="56" t="s">
        <v>776</v>
      </c>
    </row>
    <row r="69" spans="1:19" x14ac:dyDescent="0.3">
      <c r="A69" s="35">
        <v>90</v>
      </c>
      <c r="B69" s="8" t="s">
        <v>160</v>
      </c>
      <c r="C69" s="8" t="s">
        <v>161</v>
      </c>
      <c r="D69" s="8" t="s">
        <v>18</v>
      </c>
      <c r="E69" s="9">
        <v>42000</v>
      </c>
      <c r="F69" s="7">
        <v>1</v>
      </c>
      <c r="G69" s="7">
        <v>12</v>
      </c>
      <c r="H69" s="9">
        <v>72000</v>
      </c>
      <c r="I69" s="9">
        <f t="shared" si="2"/>
        <v>72000</v>
      </c>
      <c r="J69" s="10">
        <v>45183</v>
      </c>
      <c r="K69" s="8" t="s">
        <v>162</v>
      </c>
      <c r="L69" s="8" t="str">
        <f>VLOOKUP(DataSales[[#This Row],[Khách hàng]],'RFM Table'!$A:$I,9,FALSE)</f>
        <v>Khách hàng Cần chú ý</v>
      </c>
      <c r="M69" s="9">
        <f t="shared" si="3"/>
        <v>30000</v>
      </c>
      <c r="N69" s="11">
        <v>0.41666666666666669</v>
      </c>
      <c r="O69" s="7">
        <v>13</v>
      </c>
      <c r="P69" s="11">
        <v>7.6923076923076927E-2</v>
      </c>
      <c r="Q69" s="37">
        <v>2023</v>
      </c>
      <c r="R69" s="56">
        <f>MONTH(DataSales[[#This Row],[Ngày Xuất]])</f>
        <v>9</v>
      </c>
      <c r="S69" s="56" t="s">
        <v>772</v>
      </c>
    </row>
    <row r="70" spans="1:19" x14ac:dyDescent="0.3">
      <c r="A70" s="34">
        <v>91</v>
      </c>
      <c r="B70" s="3" t="s">
        <v>163</v>
      </c>
      <c r="C70" s="3" t="s">
        <v>164</v>
      </c>
      <c r="D70" s="3" t="s">
        <v>18</v>
      </c>
      <c r="E70" s="4">
        <v>70400</v>
      </c>
      <c r="F70" s="2">
        <v>2</v>
      </c>
      <c r="G70" s="2">
        <v>8</v>
      </c>
      <c r="H70" s="4">
        <v>136000</v>
      </c>
      <c r="I70" s="4">
        <f t="shared" si="2"/>
        <v>136000</v>
      </c>
      <c r="J70" s="5">
        <v>45183</v>
      </c>
      <c r="K70" s="3" t="s">
        <v>162</v>
      </c>
      <c r="L70" s="3" t="str">
        <f>VLOOKUP(DataSales[[#This Row],[Khách hàng]],'RFM Table'!$A:$I,9,FALSE)</f>
        <v>Khách hàng Cần chú ý</v>
      </c>
      <c r="M70" s="4">
        <f t="shared" si="3"/>
        <v>65600</v>
      </c>
      <c r="N70" s="6">
        <v>0.4823529411764706</v>
      </c>
      <c r="O70" s="2">
        <v>10</v>
      </c>
      <c r="P70" s="6">
        <v>0.2</v>
      </c>
      <c r="Q70" s="36">
        <v>2023</v>
      </c>
      <c r="R70" s="56">
        <f>MONTH(DataSales[[#This Row],[Ngày Xuất]])</f>
        <v>9</v>
      </c>
      <c r="S70" s="56" t="s">
        <v>772</v>
      </c>
    </row>
    <row r="71" spans="1:19" x14ac:dyDescent="0.3">
      <c r="A71" s="35">
        <v>92</v>
      </c>
      <c r="B71" s="8" t="s">
        <v>165</v>
      </c>
      <c r="C71" s="8" t="s">
        <v>166</v>
      </c>
      <c r="D71" s="8" t="s">
        <v>22</v>
      </c>
      <c r="E71" s="9">
        <v>77500</v>
      </c>
      <c r="F71" s="7">
        <v>1</v>
      </c>
      <c r="G71" s="7">
        <v>5</v>
      </c>
      <c r="H71" s="9">
        <v>175000</v>
      </c>
      <c r="I71" s="9">
        <f t="shared" si="2"/>
        <v>175000</v>
      </c>
      <c r="J71" s="10">
        <v>45183</v>
      </c>
      <c r="K71" s="8" t="s">
        <v>162</v>
      </c>
      <c r="L71" s="8" t="str">
        <f>VLOOKUP(DataSales[[#This Row],[Khách hàng]],'RFM Table'!$A:$I,9,FALSE)</f>
        <v>Khách hàng Cần chú ý</v>
      </c>
      <c r="M71" s="9">
        <f t="shared" si="3"/>
        <v>97500</v>
      </c>
      <c r="N71" s="11">
        <v>0.55714285714285716</v>
      </c>
      <c r="O71" s="7">
        <v>6</v>
      </c>
      <c r="P71" s="11">
        <v>0.16666666666666671</v>
      </c>
      <c r="Q71" s="37">
        <v>2023</v>
      </c>
      <c r="R71" s="56">
        <f>MONTH(DataSales[[#This Row],[Ngày Xuất]])</f>
        <v>9</v>
      </c>
      <c r="S71" s="56" t="s">
        <v>773</v>
      </c>
    </row>
    <row r="72" spans="1:19" x14ac:dyDescent="0.3">
      <c r="A72" s="34">
        <v>93</v>
      </c>
      <c r="B72" s="3" t="s">
        <v>156</v>
      </c>
      <c r="C72" s="3" t="s">
        <v>157</v>
      </c>
      <c r="D72" s="3" t="s">
        <v>158</v>
      </c>
      <c r="E72" s="4">
        <v>46000</v>
      </c>
      <c r="F72" s="2">
        <v>0</v>
      </c>
      <c r="G72" s="2">
        <v>2</v>
      </c>
      <c r="H72" s="4">
        <v>56000</v>
      </c>
      <c r="I72" s="4">
        <f t="shared" si="2"/>
        <v>56000</v>
      </c>
      <c r="J72" s="5">
        <v>45183</v>
      </c>
      <c r="K72" s="3" t="s">
        <v>167</v>
      </c>
      <c r="L72" s="3" t="str">
        <f>VLOOKUP(DataSales[[#This Row],[Khách hàng]],'RFM Table'!$A:$I,9,FALSE)</f>
        <v>Khách hàng Trung thành</v>
      </c>
      <c r="M72" s="4">
        <f t="shared" si="3"/>
        <v>10000</v>
      </c>
      <c r="N72" s="6">
        <v>0.1785714285714286</v>
      </c>
      <c r="O72" s="2">
        <v>2</v>
      </c>
      <c r="P72" s="6">
        <v>0</v>
      </c>
      <c r="Q72" s="36">
        <v>2023</v>
      </c>
      <c r="R72" s="56">
        <f>MONTH(DataSales[[#This Row],[Ngày Xuất]])</f>
        <v>9</v>
      </c>
      <c r="S72" s="56" t="s">
        <v>776</v>
      </c>
    </row>
    <row r="73" spans="1:19" x14ac:dyDescent="0.3">
      <c r="A73" s="35">
        <v>94</v>
      </c>
      <c r="B73" s="8" t="s">
        <v>70</v>
      </c>
      <c r="C73" s="8" t="s">
        <v>71</v>
      </c>
      <c r="D73" s="8" t="s">
        <v>72</v>
      </c>
      <c r="E73" s="9">
        <v>110000</v>
      </c>
      <c r="F73" s="7">
        <v>0</v>
      </c>
      <c r="G73" s="7">
        <v>20</v>
      </c>
      <c r="H73" s="9">
        <v>130000</v>
      </c>
      <c r="I73" s="9">
        <f t="shared" si="2"/>
        <v>130000</v>
      </c>
      <c r="J73" s="10">
        <v>45183</v>
      </c>
      <c r="K73" s="8" t="s">
        <v>167</v>
      </c>
      <c r="L73" s="8" t="str">
        <f>VLOOKUP(DataSales[[#This Row],[Khách hàng]],'RFM Table'!$A:$I,9,FALSE)</f>
        <v>Khách hàng Trung thành</v>
      </c>
      <c r="M73" s="9">
        <f t="shared" si="3"/>
        <v>20000</v>
      </c>
      <c r="N73" s="11">
        <v>0.15384615384615391</v>
      </c>
      <c r="O73" s="7">
        <v>20</v>
      </c>
      <c r="P73" s="11">
        <v>0</v>
      </c>
      <c r="Q73" s="37">
        <v>2023</v>
      </c>
      <c r="R73" s="56">
        <f>MONTH(DataSales[[#This Row],[Ngày Xuất]])</f>
        <v>9</v>
      </c>
      <c r="S73" s="56" t="s">
        <v>776</v>
      </c>
    </row>
    <row r="74" spans="1:19" x14ac:dyDescent="0.3">
      <c r="A74" s="34">
        <v>95</v>
      </c>
      <c r="B74" s="3" t="s">
        <v>153</v>
      </c>
      <c r="C74" s="3" t="s">
        <v>154</v>
      </c>
      <c r="D74" s="3" t="s">
        <v>155</v>
      </c>
      <c r="E74" s="4">
        <v>171000</v>
      </c>
      <c r="F74" s="2">
        <v>0</v>
      </c>
      <c r="G74" s="2">
        <v>5</v>
      </c>
      <c r="H74" s="4">
        <v>175000</v>
      </c>
      <c r="I74" s="4">
        <f t="shared" si="2"/>
        <v>175000</v>
      </c>
      <c r="J74" s="5">
        <v>45183</v>
      </c>
      <c r="K74" s="3" t="s">
        <v>167</v>
      </c>
      <c r="L74" s="3" t="str">
        <f>VLOOKUP(DataSales[[#This Row],[Khách hàng]],'RFM Table'!$A:$I,9,FALSE)</f>
        <v>Khách hàng Trung thành</v>
      </c>
      <c r="M74" s="4">
        <f t="shared" si="3"/>
        <v>4000</v>
      </c>
      <c r="N74" s="6">
        <v>2.2857142857142861E-2</v>
      </c>
      <c r="O74" s="2">
        <v>5</v>
      </c>
      <c r="P74" s="6">
        <v>0</v>
      </c>
      <c r="Q74" s="36">
        <v>2023</v>
      </c>
      <c r="R74" s="56">
        <f>MONTH(DataSales[[#This Row],[Ngày Xuất]])</f>
        <v>9</v>
      </c>
      <c r="S74" s="56" t="s">
        <v>776</v>
      </c>
    </row>
    <row r="75" spans="1:19" x14ac:dyDescent="0.3">
      <c r="A75" s="35">
        <v>96</v>
      </c>
      <c r="B75" s="8" t="s">
        <v>168</v>
      </c>
      <c r="C75" s="8" t="s">
        <v>169</v>
      </c>
      <c r="D75" s="8" t="s">
        <v>170</v>
      </c>
      <c r="E75" s="9">
        <v>163485</v>
      </c>
      <c r="F75" s="7">
        <v>0</v>
      </c>
      <c r="G75" s="7">
        <v>1</v>
      </c>
      <c r="H75" s="9">
        <v>175000</v>
      </c>
      <c r="I75" s="9">
        <f t="shared" si="2"/>
        <v>175000</v>
      </c>
      <c r="J75" s="10">
        <v>45183</v>
      </c>
      <c r="K75" s="8" t="s">
        <v>167</v>
      </c>
      <c r="L75" s="8" t="str">
        <f>VLOOKUP(DataSales[[#This Row],[Khách hàng]],'RFM Table'!$A:$I,9,FALSE)</f>
        <v>Khách hàng Trung thành</v>
      </c>
      <c r="M75" s="9">
        <f t="shared" si="3"/>
        <v>11515</v>
      </c>
      <c r="N75" s="11">
        <v>6.5799999999999997E-2</v>
      </c>
      <c r="O75" s="7">
        <v>1</v>
      </c>
      <c r="P75" s="11">
        <v>0</v>
      </c>
      <c r="Q75" s="37">
        <v>2023</v>
      </c>
      <c r="R75" s="56">
        <f>MONTH(DataSales[[#This Row],[Ngày Xuất]])</f>
        <v>9</v>
      </c>
      <c r="S75" s="56" t="s">
        <v>781</v>
      </c>
    </row>
    <row r="76" spans="1:19" x14ac:dyDescent="0.3">
      <c r="A76" s="34">
        <v>99</v>
      </c>
      <c r="B76" s="3" t="s">
        <v>171</v>
      </c>
      <c r="C76" s="3" t="s">
        <v>172</v>
      </c>
      <c r="D76" s="3" t="s">
        <v>22</v>
      </c>
      <c r="E76" s="4">
        <v>90000</v>
      </c>
      <c r="F76" s="2">
        <v>0</v>
      </c>
      <c r="G76" s="2">
        <v>30</v>
      </c>
      <c r="H76" s="4">
        <v>165000</v>
      </c>
      <c r="I76" s="4">
        <f t="shared" si="2"/>
        <v>165000</v>
      </c>
      <c r="J76" s="5">
        <v>45184</v>
      </c>
      <c r="K76" s="3" t="s">
        <v>173</v>
      </c>
      <c r="L76" s="3" t="str">
        <f>VLOOKUP(DataSales[[#This Row],[Khách hàng]],'RFM Table'!$A:$I,9,FALSE)</f>
        <v>Khách hàng Cần chú ý</v>
      </c>
      <c r="M76" s="4">
        <f t="shared" si="3"/>
        <v>75000</v>
      </c>
      <c r="N76" s="6">
        <v>0.45454545454545447</v>
      </c>
      <c r="O76" s="2">
        <v>30</v>
      </c>
      <c r="P76" s="6">
        <v>0</v>
      </c>
      <c r="Q76" s="36">
        <v>2023</v>
      </c>
      <c r="R76" s="56">
        <f>MONTH(DataSales[[#This Row],[Ngày Xuất]])</f>
        <v>9</v>
      </c>
      <c r="S76" s="56" t="s">
        <v>773</v>
      </c>
    </row>
    <row r="77" spans="1:19" x14ac:dyDescent="0.3">
      <c r="A77" s="35">
        <v>100</v>
      </c>
      <c r="B77" s="8" t="s">
        <v>174</v>
      </c>
      <c r="C77" s="8" t="s">
        <v>175</v>
      </c>
      <c r="D77" s="8" t="s">
        <v>22</v>
      </c>
      <c r="E77" s="9">
        <v>90000</v>
      </c>
      <c r="F77" s="7">
        <v>0</v>
      </c>
      <c r="G77" s="7">
        <v>24</v>
      </c>
      <c r="H77" s="9">
        <v>168000</v>
      </c>
      <c r="I77" s="9">
        <f t="shared" si="2"/>
        <v>168000</v>
      </c>
      <c r="J77" s="10">
        <v>45184</v>
      </c>
      <c r="K77" s="8" t="s">
        <v>173</v>
      </c>
      <c r="L77" s="8" t="str">
        <f>VLOOKUP(DataSales[[#This Row],[Khách hàng]],'RFM Table'!$A:$I,9,FALSE)</f>
        <v>Khách hàng Cần chú ý</v>
      </c>
      <c r="M77" s="9">
        <f t="shared" si="3"/>
        <v>78000</v>
      </c>
      <c r="N77" s="11">
        <v>0.4642857142857143</v>
      </c>
      <c r="O77" s="7">
        <v>24</v>
      </c>
      <c r="P77" s="11">
        <v>0</v>
      </c>
      <c r="Q77" s="37">
        <v>2023</v>
      </c>
      <c r="R77" s="56">
        <f>MONTH(DataSales[[#This Row],[Ngày Xuất]])</f>
        <v>9</v>
      </c>
      <c r="S77" s="56" t="s">
        <v>773</v>
      </c>
    </row>
    <row r="78" spans="1:19" x14ac:dyDescent="0.3">
      <c r="A78" s="34">
        <v>101</v>
      </c>
      <c r="B78" s="3" t="s">
        <v>176</v>
      </c>
      <c r="C78" s="3" t="s">
        <v>177</v>
      </c>
      <c r="D78" s="3" t="s">
        <v>155</v>
      </c>
      <c r="E78" s="4">
        <v>55440</v>
      </c>
      <c r="F78" s="2">
        <v>0</v>
      </c>
      <c r="G78" s="2">
        <v>2</v>
      </c>
      <c r="H78" s="4">
        <v>64000</v>
      </c>
      <c r="I78" s="4">
        <f t="shared" si="2"/>
        <v>64000</v>
      </c>
      <c r="J78" s="5">
        <v>45185</v>
      </c>
      <c r="K78" s="3" t="s">
        <v>178</v>
      </c>
      <c r="L78" s="3" t="str">
        <f>VLOOKUP(DataSales[[#This Row],[Khách hàng]],'RFM Table'!$A:$I,9,FALSE)</f>
        <v>Khách hàng Trung thành</v>
      </c>
      <c r="M78" s="4">
        <f t="shared" si="3"/>
        <v>8560</v>
      </c>
      <c r="N78" s="6">
        <v>0.13375000000000001</v>
      </c>
      <c r="O78" s="2">
        <v>2</v>
      </c>
      <c r="P78" s="6">
        <v>0</v>
      </c>
      <c r="Q78" s="36">
        <v>2023</v>
      </c>
      <c r="R78" s="56">
        <f>MONTH(DataSales[[#This Row],[Ngày Xuất]])</f>
        <v>9</v>
      </c>
      <c r="S78" s="56" t="s">
        <v>780</v>
      </c>
    </row>
    <row r="79" spans="1:19" x14ac:dyDescent="0.3">
      <c r="A79" s="35">
        <v>102</v>
      </c>
      <c r="B79" s="8" t="s">
        <v>179</v>
      </c>
      <c r="C79" s="8" t="s">
        <v>180</v>
      </c>
      <c r="D79" s="8" t="s">
        <v>155</v>
      </c>
      <c r="E79" s="9">
        <v>55440</v>
      </c>
      <c r="F79" s="7">
        <v>0</v>
      </c>
      <c r="G79" s="7">
        <v>2</v>
      </c>
      <c r="H79" s="9">
        <v>64000</v>
      </c>
      <c r="I79" s="9">
        <f t="shared" si="2"/>
        <v>64000</v>
      </c>
      <c r="J79" s="10">
        <v>45185</v>
      </c>
      <c r="K79" s="8" t="s">
        <v>178</v>
      </c>
      <c r="L79" s="8" t="str">
        <f>VLOOKUP(DataSales[[#This Row],[Khách hàng]],'RFM Table'!$A:$I,9,FALSE)</f>
        <v>Khách hàng Trung thành</v>
      </c>
      <c r="M79" s="9">
        <f t="shared" si="3"/>
        <v>8560</v>
      </c>
      <c r="N79" s="11">
        <v>0.13375000000000001</v>
      </c>
      <c r="O79" s="7">
        <v>2</v>
      </c>
      <c r="P79" s="11">
        <v>0</v>
      </c>
      <c r="Q79" s="37">
        <v>2023</v>
      </c>
      <c r="R79" s="56">
        <f>MONTH(DataSales[[#This Row],[Ngày Xuất]])</f>
        <v>9</v>
      </c>
      <c r="S79" s="56" t="s">
        <v>780</v>
      </c>
    </row>
    <row r="80" spans="1:19" x14ac:dyDescent="0.3">
      <c r="A80" s="34">
        <v>103</v>
      </c>
      <c r="B80" s="3" t="s">
        <v>181</v>
      </c>
      <c r="C80" s="3" t="s">
        <v>182</v>
      </c>
      <c r="D80" s="3" t="s">
        <v>155</v>
      </c>
      <c r="E80" s="4">
        <v>55440</v>
      </c>
      <c r="F80" s="2">
        <v>0</v>
      </c>
      <c r="G80" s="2">
        <v>2</v>
      </c>
      <c r="H80" s="4">
        <v>64000</v>
      </c>
      <c r="I80" s="4">
        <f t="shared" si="2"/>
        <v>64000</v>
      </c>
      <c r="J80" s="5">
        <v>45185</v>
      </c>
      <c r="K80" s="3" t="s">
        <v>178</v>
      </c>
      <c r="L80" s="3" t="str">
        <f>VLOOKUP(DataSales[[#This Row],[Khách hàng]],'RFM Table'!$A:$I,9,FALSE)</f>
        <v>Khách hàng Trung thành</v>
      </c>
      <c r="M80" s="4">
        <f t="shared" si="3"/>
        <v>8560</v>
      </c>
      <c r="N80" s="6">
        <v>0.13375000000000001</v>
      </c>
      <c r="O80" s="2">
        <v>2</v>
      </c>
      <c r="P80" s="6">
        <v>0</v>
      </c>
      <c r="Q80" s="36">
        <v>2023</v>
      </c>
      <c r="R80" s="56">
        <f>MONTH(DataSales[[#This Row],[Ngày Xuất]])</f>
        <v>9</v>
      </c>
      <c r="S80" s="56" t="s">
        <v>780</v>
      </c>
    </row>
    <row r="81" spans="1:19" x14ac:dyDescent="0.3">
      <c r="A81" s="35">
        <v>104</v>
      </c>
      <c r="B81" s="8" t="s">
        <v>183</v>
      </c>
      <c r="C81" s="8" t="s">
        <v>184</v>
      </c>
      <c r="D81" s="8" t="s">
        <v>155</v>
      </c>
      <c r="E81" s="9">
        <v>83160</v>
      </c>
      <c r="F81" s="7">
        <v>0</v>
      </c>
      <c r="G81" s="7">
        <v>3</v>
      </c>
      <c r="H81" s="9">
        <v>96000</v>
      </c>
      <c r="I81" s="9">
        <f t="shared" si="2"/>
        <v>96000</v>
      </c>
      <c r="J81" s="10">
        <v>45185</v>
      </c>
      <c r="K81" s="8" t="s">
        <v>178</v>
      </c>
      <c r="L81" s="8" t="str">
        <f>VLOOKUP(DataSales[[#This Row],[Khách hàng]],'RFM Table'!$A:$I,9,FALSE)</f>
        <v>Khách hàng Trung thành</v>
      </c>
      <c r="M81" s="9">
        <f t="shared" si="3"/>
        <v>12840</v>
      </c>
      <c r="N81" s="11">
        <v>0.13375000000000001</v>
      </c>
      <c r="O81" s="7">
        <v>3</v>
      </c>
      <c r="P81" s="11">
        <v>0</v>
      </c>
      <c r="Q81" s="37">
        <v>2023</v>
      </c>
      <c r="R81" s="56">
        <f>MONTH(DataSales[[#This Row],[Ngày Xuất]])</f>
        <v>9</v>
      </c>
      <c r="S81" s="56" t="s">
        <v>780</v>
      </c>
    </row>
    <row r="82" spans="1:19" x14ac:dyDescent="0.3">
      <c r="A82" s="34">
        <v>105</v>
      </c>
      <c r="B82" s="3" t="s">
        <v>185</v>
      </c>
      <c r="C82" s="3" t="s">
        <v>186</v>
      </c>
      <c r="D82" s="3" t="s">
        <v>155</v>
      </c>
      <c r="E82" s="4">
        <v>83160</v>
      </c>
      <c r="F82" s="2">
        <v>0</v>
      </c>
      <c r="G82" s="2">
        <v>3</v>
      </c>
      <c r="H82" s="4">
        <v>96000</v>
      </c>
      <c r="I82" s="4">
        <f t="shared" si="2"/>
        <v>96000</v>
      </c>
      <c r="J82" s="5">
        <v>45185</v>
      </c>
      <c r="K82" s="3" t="s">
        <v>178</v>
      </c>
      <c r="L82" s="3" t="str">
        <f>VLOOKUP(DataSales[[#This Row],[Khách hàng]],'RFM Table'!$A:$I,9,FALSE)</f>
        <v>Khách hàng Trung thành</v>
      </c>
      <c r="M82" s="4">
        <f t="shared" si="3"/>
        <v>12840</v>
      </c>
      <c r="N82" s="6">
        <v>0.13375000000000001</v>
      </c>
      <c r="O82" s="2">
        <v>3</v>
      </c>
      <c r="P82" s="6">
        <v>0</v>
      </c>
      <c r="Q82" s="36">
        <v>2023</v>
      </c>
      <c r="R82" s="56">
        <f>MONTH(DataSales[[#This Row],[Ngày Xuất]])</f>
        <v>9</v>
      </c>
      <c r="S82" s="56" t="s">
        <v>780</v>
      </c>
    </row>
    <row r="83" spans="1:19" x14ac:dyDescent="0.3">
      <c r="A83" s="35">
        <v>106</v>
      </c>
      <c r="B83" s="8" t="s">
        <v>187</v>
      </c>
      <c r="C83" s="8" t="s">
        <v>188</v>
      </c>
      <c r="D83" s="8" t="s">
        <v>18</v>
      </c>
      <c r="E83" s="9">
        <v>450000</v>
      </c>
      <c r="F83" s="7">
        <v>0</v>
      </c>
      <c r="G83" s="7">
        <v>60</v>
      </c>
      <c r="H83" s="9">
        <v>480000</v>
      </c>
      <c r="I83" s="9">
        <f t="shared" si="2"/>
        <v>480000</v>
      </c>
      <c r="J83" s="10">
        <v>45185</v>
      </c>
      <c r="K83" s="8" t="s">
        <v>178</v>
      </c>
      <c r="L83" s="8" t="str">
        <f>VLOOKUP(DataSales[[#This Row],[Khách hàng]],'RFM Table'!$A:$I,9,FALSE)</f>
        <v>Khách hàng Trung thành</v>
      </c>
      <c r="M83" s="9">
        <f t="shared" si="3"/>
        <v>30000</v>
      </c>
      <c r="N83" s="11">
        <v>6.25E-2</v>
      </c>
      <c r="O83" s="7">
        <v>60</v>
      </c>
      <c r="P83" s="11">
        <v>0</v>
      </c>
      <c r="Q83" s="37">
        <v>2023</v>
      </c>
      <c r="R83" s="56">
        <f>MONTH(DataSales[[#This Row],[Ngày Xuất]])</f>
        <v>9</v>
      </c>
      <c r="S83" s="56" t="s">
        <v>772</v>
      </c>
    </row>
    <row r="84" spans="1:19" x14ac:dyDescent="0.3">
      <c r="A84" s="34">
        <v>107</v>
      </c>
      <c r="B84" s="3" t="s">
        <v>189</v>
      </c>
      <c r="C84" s="3" t="s">
        <v>190</v>
      </c>
      <c r="D84" s="3" t="s">
        <v>170</v>
      </c>
      <c r="E84" s="4">
        <v>390000</v>
      </c>
      <c r="F84" s="2">
        <v>0</v>
      </c>
      <c r="G84" s="2">
        <v>5</v>
      </c>
      <c r="H84" s="4">
        <v>390000</v>
      </c>
      <c r="I84" s="4">
        <f t="shared" si="2"/>
        <v>390000</v>
      </c>
      <c r="J84" s="5">
        <v>45185</v>
      </c>
      <c r="K84" s="3" t="s">
        <v>178</v>
      </c>
      <c r="L84" s="3" t="str">
        <f>VLOOKUP(DataSales[[#This Row],[Khách hàng]],'RFM Table'!$A:$I,9,FALSE)</f>
        <v>Khách hàng Trung thành</v>
      </c>
      <c r="M84" s="4">
        <f t="shared" si="3"/>
        <v>0</v>
      </c>
      <c r="N84" s="6">
        <v>0</v>
      </c>
      <c r="O84" s="2">
        <v>5</v>
      </c>
      <c r="P84" s="6">
        <v>0</v>
      </c>
      <c r="Q84" s="36">
        <v>2023</v>
      </c>
      <c r="R84" s="56">
        <f>MONTH(DataSales[[#This Row],[Ngày Xuất]])</f>
        <v>9</v>
      </c>
      <c r="S84" s="56" t="s">
        <v>781</v>
      </c>
    </row>
    <row r="85" spans="1:19" x14ac:dyDescent="0.3">
      <c r="A85" s="35">
        <v>108</v>
      </c>
      <c r="B85" s="8" t="s">
        <v>38</v>
      </c>
      <c r="C85" s="8" t="s">
        <v>39</v>
      </c>
      <c r="D85" s="8" t="s">
        <v>18</v>
      </c>
      <c r="E85" s="9">
        <v>340000</v>
      </c>
      <c r="F85" s="7">
        <v>0</v>
      </c>
      <c r="G85" s="7">
        <v>20</v>
      </c>
      <c r="H85" s="9">
        <v>500000</v>
      </c>
      <c r="I85" s="9">
        <f t="shared" si="2"/>
        <v>500000</v>
      </c>
      <c r="J85" s="10">
        <v>45185</v>
      </c>
      <c r="K85" s="8" t="s">
        <v>191</v>
      </c>
      <c r="L85" s="8" t="str">
        <f>VLOOKUP(DataSales[[#This Row],[Khách hàng]],'RFM Table'!$A:$I,9,FALSE)</f>
        <v>Khách hàng Cần chú ý</v>
      </c>
      <c r="M85" s="9">
        <f t="shared" si="3"/>
        <v>160000</v>
      </c>
      <c r="N85" s="11">
        <v>0.32</v>
      </c>
      <c r="O85" s="7">
        <v>20</v>
      </c>
      <c r="P85" s="11">
        <v>0</v>
      </c>
      <c r="Q85" s="37">
        <v>2023</v>
      </c>
      <c r="R85" s="56">
        <f>MONTH(DataSales[[#This Row],[Ngày Xuất]])</f>
        <v>9</v>
      </c>
      <c r="S85" s="56" t="s">
        <v>775</v>
      </c>
    </row>
    <row r="86" spans="1:19" x14ac:dyDescent="0.3">
      <c r="A86" s="34">
        <v>109</v>
      </c>
      <c r="B86" s="3" t="s">
        <v>192</v>
      </c>
      <c r="C86" s="3" t="s">
        <v>193</v>
      </c>
      <c r="D86" s="3" t="s">
        <v>32</v>
      </c>
      <c r="E86" s="4">
        <v>144000</v>
      </c>
      <c r="F86" s="2">
        <v>0</v>
      </c>
      <c r="G86" s="2">
        <v>6</v>
      </c>
      <c r="H86" s="4">
        <v>180000</v>
      </c>
      <c r="I86" s="4">
        <f t="shared" si="2"/>
        <v>180000</v>
      </c>
      <c r="J86" s="5">
        <v>45185</v>
      </c>
      <c r="K86" s="3" t="s">
        <v>194</v>
      </c>
      <c r="L86" s="3" t="str">
        <f>VLOOKUP(DataSales[[#This Row],[Khách hàng]],'RFM Table'!$A:$I,9,FALSE)</f>
        <v>Khách hàng Trung thành</v>
      </c>
      <c r="M86" s="4">
        <f t="shared" si="3"/>
        <v>36000</v>
      </c>
      <c r="N86" s="6">
        <v>0.2</v>
      </c>
      <c r="O86" s="2">
        <v>6</v>
      </c>
      <c r="P86" s="6">
        <v>0</v>
      </c>
      <c r="Q86" s="36">
        <v>2023</v>
      </c>
      <c r="R86" s="56">
        <f>MONTH(DataSales[[#This Row],[Ngày Xuất]])</f>
        <v>9</v>
      </c>
      <c r="S86" s="56" t="s">
        <v>777</v>
      </c>
    </row>
    <row r="87" spans="1:19" x14ac:dyDescent="0.3">
      <c r="A87" s="35">
        <v>110</v>
      </c>
      <c r="B87" s="8" t="s">
        <v>49</v>
      </c>
      <c r="C87" s="8" t="s">
        <v>50</v>
      </c>
      <c r="D87" s="8" t="s">
        <v>32</v>
      </c>
      <c r="E87" s="9">
        <v>98280</v>
      </c>
      <c r="F87" s="7">
        <v>0</v>
      </c>
      <c r="G87" s="7">
        <v>10</v>
      </c>
      <c r="H87" s="9">
        <v>115000</v>
      </c>
      <c r="I87" s="9">
        <f t="shared" si="2"/>
        <v>115000</v>
      </c>
      <c r="J87" s="10">
        <v>45185</v>
      </c>
      <c r="K87" s="8" t="s">
        <v>194</v>
      </c>
      <c r="L87" s="8" t="str">
        <f>VLOOKUP(DataSales[[#This Row],[Khách hàng]],'RFM Table'!$A:$I,9,FALSE)</f>
        <v>Khách hàng Trung thành</v>
      </c>
      <c r="M87" s="9">
        <f t="shared" si="3"/>
        <v>16720</v>
      </c>
      <c r="N87" s="11">
        <v>0.1453913043478261</v>
      </c>
      <c r="O87" s="7">
        <v>10</v>
      </c>
      <c r="P87" s="11">
        <v>0</v>
      </c>
      <c r="Q87" s="37">
        <v>2023</v>
      </c>
      <c r="R87" s="56">
        <f>MONTH(DataSales[[#This Row],[Ngày Xuất]])</f>
        <v>9</v>
      </c>
      <c r="S87" s="56" t="s">
        <v>772</v>
      </c>
    </row>
    <row r="88" spans="1:19" x14ac:dyDescent="0.3">
      <c r="A88" s="34">
        <v>111</v>
      </c>
      <c r="B88" s="3" t="s">
        <v>195</v>
      </c>
      <c r="C88" s="3" t="s">
        <v>196</v>
      </c>
      <c r="D88" s="3" t="s">
        <v>92</v>
      </c>
      <c r="E88" s="4">
        <v>126000</v>
      </c>
      <c r="F88" s="2">
        <v>4</v>
      </c>
      <c r="G88" s="2">
        <v>24</v>
      </c>
      <c r="H88" s="4">
        <v>168000</v>
      </c>
      <c r="I88" s="4">
        <f t="shared" si="2"/>
        <v>168000</v>
      </c>
      <c r="J88" s="5">
        <v>45185</v>
      </c>
      <c r="K88" s="3" t="s">
        <v>194</v>
      </c>
      <c r="L88" s="3" t="str">
        <f>VLOOKUP(DataSales[[#This Row],[Khách hàng]],'RFM Table'!$A:$I,9,FALSE)</f>
        <v>Khách hàng Trung thành</v>
      </c>
      <c r="M88" s="4">
        <f t="shared" si="3"/>
        <v>42000</v>
      </c>
      <c r="N88" s="6">
        <v>0.25</v>
      </c>
      <c r="O88" s="2">
        <v>28</v>
      </c>
      <c r="P88" s="6">
        <v>0.14285714285714279</v>
      </c>
      <c r="Q88" s="36">
        <v>2023</v>
      </c>
      <c r="R88" s="56">
        <f>MONTH(DataSales[[#This Row],[Ngày Xuất]])</f>
        <v>9</v>
      </c>
      <c r="S88" s="56" t="s">
        <v>777</v>
      </c>
    </row>
    <row r="89" spans="1:19" x14ac:dyDescent="0.3">
      <c r="A89" s="35">
        <v>112</v>
      </c>
      <c r="B89" s="8" t="s">
        <v>197</v>
      </c>
      <c r="C89" s="8" t="s">
        <v>198</v>
      </c>
      <c r="D89" s="8" t="s">
        <v>32</v>
      </c>
      <c r="E89" s="9">
        <v>180000</v>
      </c>
      <c r="F89" s="7">
        <v>0</v>
      </c>
      <c r="G89" s="7">
        <v>10</v>
      </c>
      <c r="H89" s="9">
        <v>220000</v>
      </c>
      <c r="I89" s="9">
        <f t="shared" si="2"/>
        <v>220000</v>
      </c>
      <c r="J89" s="10">
        <v>45185</v>
      </c>
      <c r="K89" s="8" t="s">
        <v>199</v>
      </c>
      <c r="L89" s="8" t="str">
        <f>VLOOKUP(DataSales[[#This Row],[Khách hàng]],'RFM Table'!$A:$I,9,FALSE)</f>
        <v>Khách hàng VIP</v>
      </c>
      <c r="M89" s="9">
        <f t="shared" si="3"/>
        <v>40000</v>
      </c>
      <c r="N89" s="11">
        <v>0.1818181818181818</v>
      </c>
      <c r="O89" s="7">
        <v>10</v>
      </c>
      <c r="P89" s="11">
        <v>0</v>
      </c>
      <c r="Q89" s="37">
        <v>2023</v>
      </c>
      <c r="R89" s="56">
        <f>MONTH(DataSales[[#This Row],[Ngày Xuất]])</f>
        <v>9</v>
      </c>
      <c r="S89" s="56" t="s">
        <v>779</v>
      </c>
    </row>
    <row r="90" spans="1:19" x14ac:dyDescent="0.3">
      <c r="A90" s="34">
        <v>113</v>
      </c>
      <c r="B90" s="3" t="s">
        <v>200</v>
      </c>
      <c r="C90" s="3" t="s">
        <v>201</v>
      </c>
      <c r="D90" s="3" t="s">
        <v>32</v>
      </c>
      <c r="E90" s="4">
        <v>265716</v>
      </c>
      <c r="F90" s="2">
        <v>0</v>
      </c>
      <c r="G90" s="2">
        <v>12</v>
      </c>
      <c r="H90" s="4">
        <v>360000</v>
      </c>
      <c r="I90" s="4">
        <f t="shared" si="2"/>
        <v>360000</v>
      </c>
      <c r="J90" s="5">
        <v>45185</v>
      </c>
      <c r="K90" s="3" t="s">
        <v>199</v>
      </c>
      <c r="L90" s="3" t="str">
        <f>VLOOKUP(DataSales[[#This Row],[Khách hàng]],'RFM Table'!$A:$I,9,FALSE)</f>
        <v>Khách hàng VIP</v>
      </c>
      <c r="M90" s="4">
        <f t="shared" si="3"/>
        <v>94284</v>
      </c>
      <c r="N90" s="6">
        <v>0.26190000000000002</v>
      </c>
      <c r="O90" s="2">
        <v>12</v>
      </c>
      <c r="P90" s="6">
        <v>0</v>
      </c>
      <c r="Q90" s="36">
        <v>2023</v>
      </c>
      <c r="R90" s="56">
        <f>MONTH(DataSales[[#This Row],[Ngày Xuất]])</f>
        <v>9</v>
      </c>
      <c r="S90" s="56" t="s">
        <v>779</v>
      </c>
    </row>
    <row r="91" spans="1:19" x14ac:dyDescent="0.3">
      <c r="A91" s="35">
        <v>114</v>
      </c>
      <c r="B91" s="8" t="s">
        <v>200</v>
      </c>
      <c r="C91" s="8" t="s">
        <v>201</v>
      </c>
      <c r="D91" s="8" t="s">
        <v>32</v>
      </c>
      <c r="E91" s="9">
        <v>265716</v>
      </c>
      <c r="F91" s="7">
        <v>0</v>
      </c>
      <c r="G91" s="7">
        <v>12</v>
      </c>
      <c r="H91" s="9">
        <v>360000</v>
      </c>
      <c r="I91" s="9">
        <f t="shared" si="2"/>
        <v>360000</v>
      </c>
      <c r="J91" s="10">
        <v>45185</v>
      </c>
      <c r="K91" s="8" t="s">
        <v>202</v>
      </c>
      <c r="L91" s="8" t="str">
        <f>VLOOKUP(DataSales[[#This Row],[Khách hàng]],'RFM Table'!$A:$I,9,FALSE)</f>
        <v>Khách hàng Cần chú ý</v>
      </c>
      <c r="M91" s="9">
        <f t="shared" si="3"/>
        <v>94284</v>
      </c>
      <c r="N91" s="11">
        <v>0.26190000000000002</v>
      </c>
      <c r="O91" s="7">
        <v>12</v>
      </c>
      <c r="P91" s="11">
        <v>0</v>
      </c>
      <c r="Q91" s="37">
        <v>2023</v>
      </c>
      <c r="R91" s="56">
        <f>MONTH(DataSales[[#This Row],[Ngày Xuất]])</f>
        <v>9</v>
      </c>
      <c r="S91" s="56" t="s">
        <v>779</v>
      </c>
    </row>
    <row r="92" spans="1:19" x14ac:dyDescent="0.3">
      <c r="A92" s="34">
        <v>115</v>
      </c>
      <c r="B92" s="3" t="s">
        <v>132</v>
      </c>
      <c r="C92" s="3" t="s">
        <v>133</v>
      </c>
      <c r="D92" s="3" t="s">
        <v>47</v>
      </c>
      <c r="E92" s="4">
        <v>43500</v>
      </c>
      <c r="F92" s="2">
        <v>0</v>
      </c>
      <c r="G92" s="2">
        <v>3</v>
      </c>
      <c r="H92" s="4">
        <v>42000</v>
      </c>
      <c r="I92" s="4">
        <f t="shared" si="2"/>
        <v>42000</v>
      </c>
      <c r="J92" s="5">
        <v>45185</v>
      </c>
      <c r="K92" s="3" t="s">
        <v>203</v>
      </c>
      <c r="L92" s="3" t="str">
        <f>VLOOKUP(DataSales[[#This Row],[Khách hàng]],'RFM Table'!$A:$I,9,FALSE)</f>
        <v>Khách hàng Cần chú ý</v>
      </c>
      <c r="M92" s="4">
        <f t="shared" si="3"/>
        <v>-1500</v>
      </c>
      <c r="N92" s="6">
        <v>-3.5714285714285712E-2</v>
      </c>
      <c r="O92" s="2">
        <v>3</v>
      </c>
      <c r="P92" s="6">
        <v>0</v>
      </c>
      <c r="Q92" s="36">
        <v>2023</v>
      </c>
      <c r="R92" s="56">
        <f>MONTH(DataSales[[#This Row],[Ngày Xuất]])</f>
        <v>9</v>
      </c>
      <c r="S92" s="56" t="s">
        <v>776</v>
      </c>
    </row>
    <row r="93" spans="1:19" x14ac:dyDescent="0.3">
      <c r="A93" s="35">
        <v>116</v>
      </c>
      <c r="B93" s="8" t="s">
        <v>135</v>
      </c>
      <c r="C93" s="8" t="s">
        <v>136</v>
      </c>
      <c r="D93" s="8" t="s">
        <v>47</v>
      </c>
      <c r="E93" s="9">
        <v>58000</v>
      </c>
      <c r="F93" s="7">
        <v>0</v>
      </c>
      <c r="G93" s="7">
        <v>4</v>
      </c>
      <c r="H93" s="9">
        <v>56000</v>
      </c>
      <c r="I93" s="9">
        <f t="shared" si="2"/>
        <v>56000</v>
      </c>
      <c r="J93" s="10">
        <v>45185</v>
      </c>
      <c r="K93" s="8" t="s">
        <v>203</v>
      </c>
      <c r="L93" s="8" t="str">
        <f>VLOOKUP(DataSales[[#This Row],[Khách hàng]],'RFM Table'!$A:$I,9,FALSE)</f>
        <v>Khách hàng Cần chú ý</v>
      </c>
      <c r="M93" s="9">
        <f t="shared" si="3"/>
        <v>-2000</v>
      </c>
      <c r="N93" s="11">
        <v>-3.5714285714285712E-2</v>
      </c>
      <c r="O93" s="7">
        <v>4</v>
      </c>
      <c r="P93" s="11">
        <v>0</v>
      </c>
      <c r="Q93" s="37">
        <v>2023</v>
      </c>
      <c r="R93" s="56">
        <f>MONTH(DataSales[[#This Row],[Ngày Xuất]])</f>
        <v>9</v>
      </c>
      <c r="S93" s="56" t="s">
        <v>776</v>
      </c>
    </row>
    <row r="94" spans="1:19" x14ac:dyDescent="0.3">
      <c r="A94" s="34">
        <v>117</v>
      </c>
      <c r="B94" s="3" t="s">
        <v>137</v>
      </c>
      <c r="C94" s="3" t="s">
        <v>138</v>
      </c>
      <c r="D94" s="3" t="s">
        <v>47</v>
      </c>
      <c r="E94" s="4">
        <v>43500</v>
      </c>
      <c r="F94" s="2">
        <v>0</v>
      </c>
      <c r="G94" s="2">
        <v>3</v>
      </c>
      <c r="H94" s="4">
        <v>42000</v>
      </c>
      <c r="I94" s="4">
        <f t="shared" si="2"/>
        <v>42000</v>
      </c>
      <c r="J94" s="5">
        <v>45185</v>
      </c>
      <c r="K94" s="3" t="s">
        <v>203</v>
      </c>
      <c r="L94" s="3" t="str">
        <f>VLOOKUP(DataSales[[#This Row],[Khách hàng]],'RFM Table'!$A:$I,9,FALSE)</f>
        <v>Khách hàng Cần chú ý</v>
      </c>
      <c r="M94" s="4">
        <f t="shared" si="3"/>
        <v>-1500</v>
      </c>
      <c r="N94" s="6">
        <v>-3.5714285714285712E-2</v>
      </c>
      <c r="O94" s="2">
        <v>3</v>
      </c>
      <c r="P94" s="6">
        <v>0</v>
      </c>
      <c r="Q94" s="36">
        <v>2023</v>
      </c>
      <c r="R94" s="56">
        <f>MONTH(DataSales[[#This Row],[Ngày Xuất]])</f>
        <v>9</v>
      </c>
      <c r="S94" s="56" t="s">
        <v>776</v>
      </c>
    </row>
    <row r="95" spans="1:19" x14ac:dyDescent="0.3">
      <c r="A95" s="35">
        <v>118</v>
      </c>
      <c r="B95" s="8" t="s">
        <v>145</v>
      </c>
      <c r="C95" s="8" t="s">
        <v>146</v>
      </c>
      <c r="D95" s="8" t="s">
        <v>18</v>
      </c>
      <c r="E95" s="9">
        <v>288000</v>
      </c>
      <c r="F95" s="7">
        <v>0</v>
      </c>
      <c r="G95" s="7">
        <v>48</v>
      </c>
      <c r="H95" s="9">
        <v>360000</v>
      </c>
      <c r="I95" s="9">
        <f t="shared" si="2"/>
        <v>360000</v>
      </c>
      <c r="J95" s="10">
        <v>45185</v>
      </c>
      <c r="K95" s="8" t="s">
        <v>204</v>
      </c>
      <c r="L95" s="8" t="str">
        <f>VLOOKUP(DataSales[[#This Row],[Khách hàng]],'RFM Table'!$A:$I,9,FALSE)</f>
        <v>Khách hàng VIP</v>
      </c>
      <c r="M95" s="9">
        <f t="shared" si="3"/>
        <v>72000</v>
      </c>
      <c r="N95" s="11">
        <v>0.2</v>
      </c>
      <c r="O95" s="7">
        <v>48</v>
      </c>
      <c r="P95" s="11">
        <v>0</v>
      </c>
      <c r="Q95" s="37">
        <v>2023</v>
      </c>
      <c r="R95" s="56">
        <f>MONTH(DataSales[[#This Row],[Ngày Xuất]])</f>
        <v>9</v>
      </c>
      <c r="S95" s="56" t="s">
        <v>772</v>
      </c>
    </row>
    <row r="96" spans="1:19" x14ac:dyDescent="0.3">
      <c r="A96" s="34">
        <v>119</v>
      </c>
      <c r="B96" s="3" t="s">
        <v>205</v>
      </c>
      <c r="C96" s="3" t="s">
        <v>206</v>
      </c>
      <c r="D96" s="3" t="s">
        <v>47</v>
      </c>
      <c r="E96" s="4">
        <v>300000</v>
      </c>
      <c r="F96" s="2">
        <v>0</v>
      </c>
      <c r="G96" s="2">
        <v>3</v>
      </c>
      <c r="H96" s="4">
        <v>654000</v>
      </c>
      <c r="I96" s="4">
        <f t="shared" si="2"/>
        <v>654000</v>
      </c>
      <c r="J96" s="5">
        <v>45185</v>
      </c>
      <c r="K96" s="3" t="s">
        <v>207</v>
      </c>
      <c r="L96" s="3" t="str">
        <f>VLOOKUP(DataSales[[#This Row],[Khách hàng]],'RFM Table'!$A:$I,9,FALSE)</f>
        <v>Khách hàng Trung thành</v>
      </c>
      <c r="M96" s="4">
        <f t="shared" si="3"/>
        <v>354000</v>
      </c>
      <c r="N96" s="6">
        <v>0.54128440366972475</v>
      </c>
      <c r="O96" s="2">
        <v>3</v>
      </c>
      <c r="P96" s="6">
        <v>0</v>
      </c>
      <c r="Q96" s="36">
        <v>2023</v>
      </c>
      <c r="R96" s="56">
        <f>MONTH(DataSales[[#This Row],[Ngày Xuất]])</f>
        <v>9</v>
      </c>
      <c r="S96" s="56" t="s">
        <v>779</v>
      </c>
    </row>
    <row r="97" spans="1:19" x14ac:dyDescent="0.3">
      <c r="A97" s="35">
        <v>120</v>
      </c>
      <c r="B97" s="8" t="s">
        <v>119</v>
      </c>
      <c r="C97" s="8" t="s">
        <v>120</v>
      </c>
      <c r="D97" s="8" t="s">
        <v>47</v>
      </c>
      <c r="E97" s="9">
        <v>300000</v>
      </c>
      <c r="F97" s="7">
        <v>0</v>
      </c>
      <c r="G97" s="7">
        <v>3</v>
      </c>
      <c r="H97" s="9">
        <v>654000</v>
      </c>
      <c r="I97" s="9">
        <f t="shared" si="2"/>
        <v>654000</v>
      </c>
      <c r="J97" s="10">
        <v>45185</v>
      </c>
      <c r="K97" s="8" t="s">
        <v>207</v>
      </c>
      <c r="L97" s="8" t="str">
        <f>VLOOKUP(DataSales[[#This Row],[Khách hàng]],'RFM Table'!$A:$I,9,FALSE)</f>
        <v>Khách hàng Trung thành</v>
      </c>
      <c r="M97" s="9">
        <f t="shared" si="3"/>
        <v>354000</v>
      </c>
      <c r="N97" s="11">
        <v>0.54128440366972475</v>
      </c>
      <c r="O97" s="7">
        <v>3</v>
      </c>
      <c r="P97" s="11">
        <v>0</v>
      </c>
      <c r="Q97" s="37">
        <v>2023</v>
      </c>
      <c r="R97" s="56">
        <f>MONTH(DataSales[[#This Row],[Ngày Xuất]])</f>
        <v>9</v>
      </c>
      <c r="S97" s="56" t="s">
        <v>779</v>
      </c>
    </row>
    <row r="98" spans="1:19" x14ac:dyDescent="0.3">
      <c r="A98" s="34">
        <v>122</v>
      </c>
      <c r="B98" s="3" t="s">
        <v>16</v>
      </c>
      <c r="C98" s="3" t="s">
        <v>17</v>
      </c>
      <c r="D98" s="3" t="s">
        <v>18</v>
      </c>
      <c r="E98" s="4">
        <v>345600</v>
      </c>
      <c r="F98" s="2">
        <v>5</v>
      </c>
      <c r="G98" s="2">
        <v>48</v>
      </c>
      <c r="H98" s="4">
        <v>521000</v>
      </c>
      <c r="I98" s="4">
        <f t="shared" si="2"/>
        <v>521000</v>
      </c>
      <c r="J98" s="5">
        <v>45185</v>
      </c>
      <c r="K98" s="3" t="s">
        <v>208</v>
      </c>
      <c r="L98" s="3" t="str">
        <f>VLOOKUP(DataSales[[#This Row],[Khách hàng]],'RFM Table'!$A:$I,9,FALSE)</f>
        <v>Khách hàng Cần chú ý</v>
      </c>
      <c r="M98" s="4">
        <f t="shared" si="3"/>
        <v>175400</v>
      </c>
      <c r="N98" s="6">
        <v>0.3366602687140115</v>
      </c>
      <c r="O98" s="2">
        <v>53</v>
      </c>
      <c r="P98" s="6">
        <v>9.4339622641509441E-2</v>
      </c>
      <c r="Q98" s="36">
        <v>2023</v>
      </c>
      <c r="R98" s="56">
        <f>MONTH(DataSales[[#This Row],[Ngày Xuất]])</f>
        <v>9</v>
      </c>
      <c r="S98" s="56" t="s">
        <v>772</v>
      </c>
    </row>
    <row r="99" spans="1:19" x14ac:dyDescent="0.3">
      <c r="A99" s="35">
        <v>123</v>
      </c>
      <c r="B99" s="8" t="s">
        <v>200</v>
      </c>
      <c r="C99" s="8" t="s">
        <v>201</v>
      </c>
      <c r="D99" s="8" t="s">
        <v>32</v>
      </c>
      <c r="E99" s="9">
        <v>265716</v>
      </c>
      <c r="F99" s="7">
        <v>1</v>
      </c>
      <c r="G99" s="7">
        <v>12</v>
      </c>
      <c r="H99" s="9">
        <v>377000</v>
      </c>
      <c r="I99" s="9">
        <f t="shared" si="2"/>
        <v>377000</v>
      </c>
      <c r="J99" s="10">
        <v>45185</v>
      </c>
      <c r="K99" s="8" t="s">
        <v>209</v>
      </c>
      <c r="L99" s="8" t="str">
        <f>VLOOKUP(DataSales[[#This Row],[Khách hàng]],'RFM Table'!$A:$I,9,FALSE)</f>
        <v>Khách hàng Cần chú ý</v>
      </c>
      <c r="M99" s="9">
        <f t="shared" si="3"/>
        <v>111284</v>
      </c>
      <c r="N99" s="11">
        <v>0.29518302387267897</v>
      </c>
      <c r="O99" s="7">
        <v>13</v>
      </c>
      <c r="P99" s="11">
        <v>7.6923076923076927E-2</v>
      </c>
      <c r="Q99" s="37">
        <v>2023</v>
      </c>
      <c r="R99" s="56">
        <f>MONTH(DataSales[[#This Row],[Ngày Xuất]])</f>
        <v>9</v>
      </c>
      <c r="S99" s="56" t="s">
        <v>779</v>
      </c>
    </row>
    <row r="100" spans="1:19" x14ac:dyDescent="0.3">
      <c r="A100" s="34">
        <v>124</v>
      </c>
      <c r="B100" s="3" t="s">
        <v>210</v>
      </c>
      <c r="C100" s="3" t="s">
        <v>211</v>
      </c>
      <c r="D100" s="3" t="s">
        <v>22</v>
      </c>
      <c r="E100" s="4">
        <v>216000</v>
      </c>
      <c r="F100" s="2">
        <v>0</v>
      </c>
      <c r="G100" s="2">
        <v>12</v>
      </c>
      <c r="H100" s="4">
        <v>264000</v>
      </c>
      <c r="I100" s="4">
        <f t="shared" si="2"/>
        <v>264000</v>
      </c>
      <c r="J100" s="5">
        <v>45185</v>
      </c>
      <c r="K100" s="3" t="s">
        <v>209</v>
      </c>
      <c r="L100" s="3" t="str">
        <f>VLOOKUP(DataSales[[#This Row],[Khách hàng]],'RFM Table'!$A:$I,9,FALSE)</f>
        <v>Khách hàng Cần chú ý</v>
      </c>
      <c r="M100" s="4">
        <f t="shared" si="3"/>
        <v>48000</v>
      </c>
      <c r="N100" s="6">
        <v>0.1818181818181818</v>
      </c>
      <c r="O100" s="2">
        <v>12</v>
      </c>
      <c r="P100" s="6">
        <v>0</v>
      </c>
      <c r="Q100" s="36">
        <v>2023</v>
      </c>
      <c r="R100" s="56">
        <f>MONTH(DataSales[[#This Row],[Ngày Xuất]])</f>
        <v>9</v>
      </c>
      <c r="S100" s="56" t="s">
        <v>773</v>
      </c>
    </row>
    <row r="101" spans="1:19" x14ac:dyDescent="0.3">
      <c r="A101" s="35">
        <v>125</v>
      </c>
      <c r="B101" s="8" t="s">
        <v>212</v>
      </c>
      <c r="C101" s="8" t="s">
        <v>213</v>
      </c>
      <c r="D101" s="8" t="s">
        <v>214</v>
      </c>
      <c r="E101" s="9">
        <v>267000</v>
      </c>
      <c r="F101" s="7">
        <v>2</v>
      </c>
      <c r="G101" s="7">
        <v>10</v>
      </c>
      <c r="H101" s="9">
        <v>270000</v>
      </c>
      <c r="I101" s="9">
        <f t="shared" si="2"/>
        <v>270000</v>
      </c>
      <c r="J101" s="10">
        <v>45185</v>
      </c>
      <c r="K101" s="8" t="s">
        <v>215</v>
      </c>
      <c r="L101" s="8" t="str">
        <f>VLOOKUP(DataSales[[#This Row],[Khách hàng]],'RFM Table'!$A:$I,9,FALSE)</f>
        <v>Khách hàng Trung thành</v>
      </c>
      <c r="M101" s="9">
        <f t="shared" si="3"/>
        <v>3000</v>
      </c>
      <c r="N101" s="11">
        <v>1.111111111111111E-2</v>
      </c>
      <c r="O101" s="7">
        <v>12</v>
      </c>
      <c r="P101" s="11">
        <v>0.16666666666666671</v>
      </c>
      <c r="Q101" s="37">
        <v>2023</v>
      </c>
      <c r="R101" s="56">
        <f>MONTH(DataSales[[#This Row],[Ngày Xuất]])</f>
        <v>9</v>
      </c>
      <c r="S101" s="56" t="s">
        <v>779</v>
      </c>
    </row>
    <row r="102" spans="1:19" x14ac:dyDescent="0.3">
      <c r="A102" s="34">
        <v>126</v>
      </c>
      <c r="B102" s="3" t="s">
        <v>16</v>
      </c>
      <c r="C102" s="3" t="s">
        <v>17</v>
      </c>
      <c r="D102" s="3" t="s">
        <v>18</v>
      </c>
      <c r="E102" s="4">
        <v>345600</v>
      </c>
      <c r="F102" s="2">
        <v>5</v>
      </c>
      <c r="G102" s="2">
        <v>48</v>
      </c>
      <c r="H102" s="4">
        <v>521000</v>
      </c>
      <c r="I102" s="4">
        <f t="shared" si="2"/>
        <v>521000</v>
      </c>
      <c r="J102" s="5">
        <v>45185</v>
      </c>
      <c r="K102" s="3" t="s">
        <v>215</v>
      </c>
      <c r="L102" s="3" t="str">
        <f>VLOOKUP(DataSales[[#This Row],[Khách hàng]],'RFM Table'!$A:$I,9,FALSE)</f>
        <v>Khách hàng Trung thành</v>
      </c>
      <c r="M102" s="4">
        <f t="shared" si="3"/>
        <v>175400</v>
      </c>
      <c r="N102" s="6">
        <v>0.3366602687140115</v>
      </c>
      <c r="O102" s="2">
        <v>53</v>
      </c>
      <c r="P102" s="6">
        <v>9.4339622641509441E-2</v>
      </c>
      <c r="Q102" s="36">
        <v>2023</v>
      </c>
      <c r="R102" s="56">
        <f>MONTH(DataSales[[#This Row],[Ngày Xuất]])</f>
        <v>9</v>
      </c>
      <c r="S102" s="56" t="s">
        <v>772</v>
      </c>
    </row>
    <row r="103" spans="1:19" x14ac:dyDescent="0.3">
      <c r="A103" s="35">
        <v>127</v>
      </c>
      <c r="B103" s="8" t="s">
        <v>16</v>
      </c>
      <c r="C103" s="8" t="s">
        <v>17</v>
      </c>
      <c r="D103" s="8" t="s">
        <v>18</v>
      </c>
      <c r="E103" s="9">
        <v>345600</v>
      </c>
      <c r="F103" s="7">
        <v>5</v>
      </c>
      <c r="G103" s="7">
        <v>48</v>
      </c>
      <c r="H103" s="9">
        <v>521000</v>
      </c>
      <c r="I103" s="9">
        <f t="shared" si="2"/>
        <v>521000</v>
      </c>
      <c r="J103" s="10">
        <v>45185</v>
      </c>
      <c r="K103" s="8" t="s">
        <v>216</v>
      </c>
      <c r="L103" s="8" t="str">
        <f>VLOOKUP(DataSales[[#This Row],[Khách hàng]],'RFM Table'!$A:$I,9,FALSE)</f>
        <v>Khách hàng Cần chú ý</v>
      </c>
      <c r="M103" s="9">
        <f t="shared" si="3"/>
        <v>175400</v>
      </c>
      <c r="N103" s="11">
        <v>0.3366602687140115</v>
      </c>
      <c r="O103" s="7">
        <v>53</v>
      </c>
      <c r="P103" s="11">
        <v>9.4339622641509441E-2</v>
      </c>
      <c r="Q103" s="37">
        <v>2023</v>
      </c>
      <c r="R103" s="56">
        <f>MONTH(DataSales[[#This Row],[Ngày Xuất]])</f>
        <v>9</v>
      </c>
      <c r="S103" s="56" t="s">
        <v>772</v>
      </c>
    </row>
    <row r="104" spans="1:19" x14ac:dyDescent="0.3">
      <c r="A104" s="34">
        <v>128</v>
      </c>
      <c r="B104" s="3" t="s">
        <v>156</v>
      </c>
      <c r="C104" s="3" t="s">
        <v>157</v>
      </c>
      <c r="D104" s="3" t="s">
        <v>158</v>
      </c>
      <c r="E104" s="4">
        <v>138000</v>
      </c>
      <c r="F104" s="2">
        <v>0</v>
      </c>
      <c r="G104" s="2">
        <v>6</v>
      </c>
      <c r="H104" s="4">
        <v>162000</v>
      </c>
      <c r="I104" s="4">
        <f t="shared" si="2"/>
        <v>162000</v>
      </c>
      <c r="J104" s="5">
        <v>45185</v>
      </c>
      <c r="K104" s="3" t="s">
        <v>217</v>
      </c>
      <c r="L104" s="3" t="str">
        <f>VLOOKUP(DataSales[[#This Row],[Khách hàng]],'RFM Table'!$A:$I,9,FALSE)</f>
        <v>Khách hàng VIP</v>
      </c>
      <c r="M104" s="4">
        <f t="shared" si="3"/>
        <v>24000</v>
      </c>
      <c r="N104" s="6">
        <v>0.14814814814814811</v>
      </c>
      <c r="O104" s="2">
        <v>6</v>
      </c>
      <c r="P104" s="6">
        <v>0</v>
      </c>
      <c r="Q104" s="36">
        <v>2023</v>
      </c>
      <c r="R104" s="56">
        <f>MONTH(DataSales[[#This Row],[Ngày Xuất]])</f>
        <v>9</v>
      </c>
      <c r="S104" s="56" t="s">
        <v>776</v>
      </c>
    </row>
    <row r="105" spans="1:19" x14ac:dyDescent="0.3">
      <c r="A105" s="35">
        <v>129</v>
      </c>
      <c r="B105" s="8" t="s">
        <v>218</v>
      </c>
      <c r="C105" s="8" t="s">
        <v>219</v>
      </c>
      <c r="D105" s="8" t="s">
        <v>47</v>
      </c>
      <c r="E105" s="9">
        <v>1215000</v>
      </c>
      <c r="F105" s="7">
        <v>0</v>
      </c>
      <c r="G105" s="7">
        <v>6</v>
      </c>
      <c r="H105" s="9">
        <v>1620000</v>
      </c>
      <c r="I105" s="9">
        <f t="shared" si="2"/>
        <v>1620000</v>
      </c>
      <c r="J105" s="10">
        <v>45185</v>
      </c>
      <c r="K105" s="8" t="s">
        <v>217</v>
      </c>
      <c r="L105" s="8" t="str">
        <f>VLOOKUP(DataSales[[#This Row],[Khách hàng]],'RFM Table'!$A:$I,9,FALSE)</f>
        <v>Khách hàng VIP</v>
      </c>
      <c r="M105" s="9">
        <f t="shared" si="3"/>
        <v>405000</v>
      </c>
      <c r="N105" s="11">
        <v>0.25</v>
      </c>
      <c r="O105" s="7">
        <v>6</v>
      </c>
      <c r="P105" s="11">
        <v>0</v>
      </c>
      <c r="Q105" s="37">
        <v>2023</v>
      </c>
      <c r="R105" s="56">
        <f>MONTH(DataSales[[#This Row],[Ngày Xuất]])</f>
        <v>9</v>
      </c>
      <c r="S105" s="56" t="s">
        <v>779</v>
      </c>
    </row>
    <row r="106" spans="1:19" x14ac:dyDescent="0.3">
      <c r="A106" s="34">
        <v>130</v>
      </c>
      <c r="B106" s="3" t="s">
        <v>80</v>
      </c>
      <c r="C106" s="3" t="s">
        <v>81</v>
      </c>
      <c r="D106" s="3" t="s">
        <v>47</v>
      </c>
      <c r="E106" s="4">
        <v>1152000</v>
      </c>
      <c r="F106" s="2">
        <v>0</v>
      </c>
      <c r="G106" s="2">
        <v>6</v>
      </c>
      <c r="H106" s="4">
        <v>1440000</v>
      </c>
      <c r="I106" s="4">
        <f t="shared" si="2"/>
        <v>1440000</v>
      </c>
      <c r="J106" s="5">
        <v>45185</v>
      </c>
      <c r="K106" s="3" t="s">
        <v>217</v>
      </c>
      <c r="L106" s="3" t="str">
        <f>VLOOKUP(DataSales[[#This Row],[Khách hàng]],'RFM Table'!$A:$I,9,FALSE)</f>
        <v>Khách hàng VIP</v>
      </c>
      <c r="M106" s="4">
        <f t="shared" si="3"/>
        <v>288000</v>
      </c>
      <c r="N106" s="6">
        <v>0.2</v>
      </c>
      <c r="O106" s="2">
        <v>6</v>
      </c>
      <c r="P106" s="6">
        <v>0</v>
      </c>
      <c r="Q106" s="36">
        <v>2023</v>
      </c>
      <c r="R106" s="56">
        <f>MONTH(DataSales[[#This Row],[Ngày Xuất]])</f>
        <v>9</v>
      </c>
      <c r="S106" s="56" t="s">
        <v>779</v>
      </c>
    </row>
    <row r="107" spans="1:19" x14ac:dyDescent="0.3">
      <c r="A107" s="35">
        <v>133</v>
      </c>
      <c r="B107" s="8" t="s">
        <v>220</v>
      </c>
      <c r="C107" s="8" t="s">
        <v>221</v>
      </c>
      <c r="D107" s="8" t="s">
        <v>47</v>
      </c>
      <c r="E107" s="9">
        <v>900000</v>
      </c>
      <c r="F107" s="7">
        <v>0</v>
      </c>
      <c r="G107" s="7">
        <v>6</v>
      </c>
      <c r="H107" s="9">
        <v>1308000</v>
      </c>
      <c r="I107" s="9">
        <f t="shared" si="2"/>
        <v>1308000</v>
      </c>
      <c r="J107" s="10">
        <v>45185</v>
      </c>
      <c r="K107" s="8" t="s">
        <v>217</v>
      </c>
      <c r="L107" s="8" t="str">
        <f>VLOOKUP(DataSales[[#This Row],[Khách hàng]],'RFM Table'!$A:$I,9,FALSE)</f>
        <v>Khách hàng VIP</v>
      </c>
      <c r="M107" s="9">
        <f t="shared" si="3"/>
        <v>408000</v>
      </c>
      <c r="N107" s="11">
        <v>0.31192660550458717</v>
      </c>
      <c r="O107" s="7">
        <v>6</v>
      </c>
      <c r="P107" s="11">
        <v>0</v>
      </c>
      <c r="Q107" s="37">
        <v>2023</v>
      </c>
      <c r="R107" s="56">
        <f>MONTH(DataSales[[#This Row],[Ngày Xuất]])</f>
        <v>9</v>
      </c>
      <c r="S107" s="56" t="s">
        <v>779</v>
      </c>
    </row>
    <row r="108" spans="1:19" x14ac:dyDescent="0.3">
      <c r="A108" s="34">
        <v>134</v>
      </c>
      <c r="B108" s="3" t="s">
        <v>121</v>
      </c>
      <c r="C108" s="3" t="s">
        <v>122</v>
      </c>
      <c r="D108" s="3" t="s">
        <v>47</v>
      </c>
      <c r="E108" s="4">
        <v>600000</v>
      </c>
      <c r="F108" s="2">
        <v>0</v>
      </c>
      <c r="G108" s="2">
        <v>6</v>
      </c>
      <c r="H108" s="4">
        <v>1308000</v>
      </c>
      <c r="I108" s="4">
        <f t="shared" si="2"/>
        <v>1308000</v>
      </c>
      <c r="J108" s="5">
        <v>45185</v>
      </c>
      <c r="K108" s="3" t="s">
        <v>217</v>
      </c>
      <c r="L108" s="3" t="str">
        <f>VLOOKUP(DataSales[[#This Row],[Khách hàng]],'RFM Table'!$A:$I,9,FALSE)</f>
        <v>Khách hàng VIP</v>
      </c>
      <c r="M108" s="4">
        <f t="shared" si="3"/>
        <v>708000</v>
      </c>
      <c r="N108" s="6">
        <v>0.54128440366972475</v>
      </c>
      <c r="O108" s="2">
        <v>6</v>
      </c>
      <c r="P108" s="6">
        <v>0</v>
      </c>
      <c r="Q108" s="36">
        <v>2023</v>
      </c>
      <c r="R108" s="56">
        <f>MONTH(DataSales[[#This Row],[Ngày Xuất]])</f>
        <v>9</v>
      </c>
      <c r="S108" s="56" t="s">
        <v>779</v>
      </c>
    </row>
    <row r="109" spans="1:19" x14ac:dyDescent="0.3">
      <c r="A109" s="35">
        <v>136</v>
      </c>
      <c r="B109" s="8" t="s">
        <v>145</v>
      </c>
      <c r="C109" s="8" t="s">
        <v>146</v>
      </c>
      <c r="D109" s="8" t="s">
        <v>18</v>
      </c>
      <c r="E109" s="9">
        <v>1440000</v>
      </c>
      <c r="F109" s="7">
        <v>0</v>
      </c>
      <c r="G109" s="7">
        <v>240</v>
      </c>
      <c r="H109" s="9">
        <v>1920000</v>
      </c>
      <c r="I109" s="9">
        <f t="shared" si="2"/>
        <v>1920000</v>
      </c>
      <c r="J109" s="10">
        <v>45185</v>
      </c>
      <c r="K109" s="8" t="s">
        <v>217</v>
      </c>
      <c r="L109" s="8" t="str">
        <f>VLOOKUP(DataSales[[#This Row],[Khách hàng]],'RFM Table'!$A:$I,9,FALSE)</f>
        <v>Khách hàng VIP</v>
      </c>
      <c r="M109" s="9">
        <f t="shared" si="3"/>
        <v>480000</v>
      </c>
      <c r="N109" s="11">
        <v>0.25</v>
      </c>
      <c r="O109" s="7">
        <v>240</v>
      </c>
      <c r="P109" s="11">
        <v>0</v>
      </c>
      <c r="Q109" s="37">
        <v>2023</v>
      </c>
      <c r="R109" s="56">
        <f>MONTH(DataSales[[#This Row],[Ngày Xuất]])</f>
        <v>9</v>
      </c>
      <c r="S109" s="56" t="s">
        <v>772</v>
      </c>
    </row>
    <row r="110" spans="1:19" x14ac:dyDescent="0.3">
      <c r="A110" s="34">
        <v>137</v>
      </c>
      <c r="B110" s="3" t="s">
        <v>16</v>
      </c>
      <c r="C110" s="3" t="s">
        <v>17</v>
      </c>
      <c r="D110" s="3" t="s">
        <v>18</v>
      </c>
      <c r="E110" s="4">
        <v>345600</v>
      </c>
      <c r="F110" s="2">
        <v>5</v>
      </c>
      <c r="G110" s="2">
        <v>48</v>
      </c>
      <c r="H110" s="4">
        <v>526000</v>
      </c>
      <c r="I110" s="4">
        <f t="shared" si="2"/>
        <v>526000</v>
      </c>
      <c r="J110" s="5">
        <v>45185</v>
      </c>
      <c r="K110" s="3" t="s">
        <v>222</v>
      </c>
      <c r="L110" s="3" t="str">
        <f>VLOOKUP(DataSales[[#This Row],[Khách hàng]],'RFM Table'!$A:$I,9,FALSE)</f>
        <v>Khách hàng Cần chú ý</v>
      </c>
      <c r="M110" s="4">
        <f t="shared" si="3"/>
        <v>180400</v>
      </c>
      <c r="N110" s="6">
        <v>0.34296577946768059</v>
      </c>
      <c r="O110" s="2">
        <v>53</v>
      </c>
      <c r="P110" s="6">
        <v>9.4339622641509441E-2</v>
      </c>
      <c r="Q110" s="36">
        <v>2023</v>
      </c>
      <c r="R110" s="56">
        <f>MONTH(DataSales[[#This Row],[Ngày Xuất]])</f>
        <v>9</v>
      </c>
      <c r="S110" s="56" t="s">
        <v>772</v>
      </c>
    </row>
    <row r="111" spans="1:19" x14ac:dyDescent="0.3">
      <c r="A111" s="35">
        <v>138</v>
      </c>
      <c r="B111" s="8" t="s">
        <v>23</v>
      </c>
      <c r="C111" s="8" t="s">
        <v>24</v>
      </c>
      <c r="D111" s="8" t="s">
        <v>25</v>
      </c>
      <c r="E111" s="9">
        <v>182500</v>
      </c>
      <c r="F111" s="7">
        <v>0</v>
      </c>
      <c r="G111" s="7">
        <v>2</v>
      </c>
      <c r="H111" s="9">
        <v>260000</v>
      </c>
      <c r="I111" s="9">
        <f t="shared" si="2"/>
        <v>260000</v>
      </c>
      <c r="J111" s="10">
        <v>45185</v>
      </c>
      <c r="K111" s="8" t="s">
        <v>222</v>
      </c>
      <c r="L111" s="8" t="str">
        <f>VLOOKUP(DataSales[[#This Row],[Khách hàng]],'RFM Table'!$A:$I,9,FALSE)</f>
        <v>Khách hàng Cần chú ý</v>
      </c>
      <c r="M111" s="9">
        <f t="shared" si="3"/>
        <v>77500</v>
      </c>
      <c r="N111" s="11">
        <v>0.29807692307692307</v>
      </c>
      <c r="O111" s="7">
        <v>2</v>
      </c>
      <c r="P111" s="11">
        <v>0</v>
      </c>
      <c r="Q111" s="37">
        <v>2023</v>
      </c>
      <c r="R111" s="56">
        <f>MONTH(DataSales[[#This Row],[Ngày Xuất]])</f>
        <v>9</v>
      </c>
      <c r="S111" s="56" t="s">
        <v>773</v>
      </c>
    </row>
    <row r="112" spans="1:19" x14ac:dyDescent="0.3">
      <c r="A112" s="34">
        <v>139</v>
      </c>
      <c r="B112" s="3" t="s">
        <v>223</v>
      </c>
      <c r="C112" s="3" t="s">
        <v>224</v>
      </c>
      <c r="D112" s="3" t="s">
        <v>25</v>
      </c>
      <c r="E112" s="4">
        <v>182500</v>
      </c>
      <c r="F112" s="2">
        <v>0</v>
      </c>
      <c r="G112" s="2">
        <v>2</v>
      </c>
      <c r="H112" s="4">
        <v>260000</v>
      </c>
      <c r="I112" s="4">
        <f t="shared" si="2"/>
        <v>260000</v>
      </c>
      <c r="J112" s="5">
        <v>45185</v>
      </c>
      <c r="K112" s="3" t="s">
        <v>222</v>
      </c>
      <c r="L112" s="3" t="str">
        <f>VLOOKUP(DataSales[[#This Row],[Khách hàng]],'RFM Table'!$A:$I,9,FALSE)</f>
        <v>Khách hàng Cần chú ý</v>
      </c>
      <c r="M112" s="4">
        <f t="shared" si="3"/>
        <v>77500</v>
      </c>
      <c r="N112" s="6">
        <v>0.29807692307692307</v>
      </c>
      <c r="O112" s="2">
        <v>2</v>
      </c>
      <c r="P112" s="6">
        <v>0</v>
      </c>
      <c r="Q112" s="36">
        <v>2023</v>
      </c>
      <c r="R112" s="56">
        <f>MONTH(DataSales[[#This Row],[Ngày Xuất]])</f>
        <v>9</v>
      </c>
      <c r="S112" s="56" t="s">
        <v>773</v>
      </c>
    </row>
    <row r="113" spans="1:19" x14ac:dyDescent="0.3">
      <c r="A113" s="35">
        <v>140</v>
      </c>
      <c r="B113" s="8" t="s">
        <v>145</v>
      </c>
      <c r="C113" s="8" t="s">
        <v>146</v>
      </c>
      <c r="D113" s="8" t="s">
        <v>18</v>
      </c>
      <c r="E113" s="9">
        <v>288000</v>
      </c>
      <c r="F113" s="7">
        <v>0</v>
      </c>
      <c r="G113" s="7">
        <v>48</v>
      </c>
      <c r="H113" s="9">
        <v>360000</v>
      </c>
      <c r="I113" s="9">
        <f t="shared" si="2"/>
        <v>360000</v>
      </c>
      <c r="J113" s="10">
        <v>45185</v>
      </c>
      <c r="K113" s="8" t="s">
        <v>225</v>
      </c>
      <c r="L113" s="8" t="str">
        <f>VLOOKUP(DataSales[[#This Row],[Khách hàng]],'RFM Table'!$A:$I,9,FALSE)</f>
        <v>Khách hàng Cần chú ý</v>
      </c>
      <c r="M113" s="9">
        <f t="shared" si="3"/>
        <v>72000</v>
      </c>
      <c r="N113" s="11">
        <v>0.2</v>
      </c>
      <c r="O113" s="7">
        <v>48</v>
      </c>
      <c r="P113" s="11">
        <v>0</v>
      </c>
      <c r="Q113" s="37">
        <v>2023</v>
      </c>
      <c r="R113" s="56">
        <f>MONTH(DataSales[[#This Row],[Ngày Xuất]])</f>
        <v>9</v>
      </c>
      <c r="S113" s="56" t="s">
        <v>772</v>
      </c>
    </row>
    <row r="114" spans="1:19" x14ac:dyDescent="0.3">
      <c r="A114" s="34">
        <v>141</v>
      </c>
      <c r="B114" s="3" t="s">
        <v>226</v>
      </c>
      <c r="C114" s="3" t="s">
        <v>227</v>
      </c>
      <c r="D114" s="3" t="s">
        <v>32</v>
      </c>
      <c r="E114" s="4">
        <v>300000</v>
      </c>
      <c r="F114" s="2">
        <v>1</v>
      </c>
      <c r="G114" s="2">
        <v>12</v>
      </c>
      <c r="H114" s="4">
        <v>409000</v>
      </c>
      <c r="I114" s="4">
        <f t="shared" si="2"/>
        <v>409000</v>
      </c>
      <c r="J114" s="5">
        <v>45185</v>
      </c>
      <c r="K114" s="3" t="s">
        <v>228</v>
      </c>
      <c r="L114" s="3" t="str">
        <f>VLOOKUP(DataSales[[#This Row],[Khách hàng]],'RFM Table'!$A:$I,9,FALSE)</f>
        <v>Khách hàng VIP</v>
      </c>
      <c r="M114" s="4">
        <f t="shared" si="3"/>
        <v>109000</v>
      </c>
      <c r="N114" s="6">
        <v>0.2665036674816626</v>
      </c>
      <c r="O114" s="2">
        <v>13</v>
      </c>
      <c r="P114" s="6">
        <v>7.6923076923076927E-2</v>
      </c>
      <c r="Q114" s="36">
        <v>2023</v>
      </c>
      <c r="R114" s="56">
        <f>MONTH(DataSales[[#This Row],[Ngày Xuất]])</f>
        <v>9</v>
      </c>
      <c r="S114" s="56" t="s">
        <v>779</v>
      </c>
    </row>
    <row r="115" spans="1:19" x14ac:dyDescent="0.3">
      <c r="A115" s="35">
        <v>142</v>
      </c>
      <c r="B115" s="8" t="s">
        <v>229</v>
      </c>
      <c r="C115" s="8" t="s">
        <v>230</v>
      </c>
      <c r="D115" s="8" t="s">
        <v>18</v>
      </c>
      <c r="E115" s="9">
        <v>111000</v>
      </c>
      <c r="F115" s="7">
        <v>0</v>
      </c>
      <c r="G115" s="7">
        <v>6</v>
      </c>
      <c r="H115" s="9">
        <v>162000</v>
      </c>
      <c r="I115" s="9">
        <f t="shared" si="2"/>
        <v>162000</v>
      </c>
      <c r="J115" s="10">
        <v>45185</v>
      </c>
      <c r="K115" s="8" t="s">
        <v>228</v>
      </c>
      <c r="L115" s="8" t="str">
        <f>VLOOKUP(DataSales[[#This Row],[Khách hàng]],'RFM Table'!$A:$I,9,FALSE)</f>
        <v>Khách hàng VIP</v>
      </c>
      <c r="M115" s="9">
        <f t="shared" si="3"/>
        <v>51000</v>
      </c>
      <c r="N115" s="11">
        <v>0.31481481481481483</v>
      </c>
      <c r="O115" s="7">
        <v>6</v>
      </c>
      <c r="P115" s="11">
        <v>0</v>
      </c>
      <c r="Q115" s="37">
        <v>2023</v>
      </c>
      <c r="R115" s="56">
        <f>MONTH(DataSales[[#This Row],[Ngày Xuất]])</f>
        <v>9</v>
      </c>
      <c r="S115" s="56" t="s">
        <v>775</v>
      </c>
    </row>
    <row r="116" spans="1:19" x14ac:dyDescent="0.3">
      <c r="A116" s="34">
        <v>143</v>
      </c>
      <c r="B116" s="3" t="s">
        <v>231</v>
      </c>
      <c r="C116" s="3" t="s">
        <v>232</v>
      </c>
      <c r="D116" s="3" t="s">
        <v>170</v>
      </c>
      <c r="E116" s="4">
        <v>162000</v>
      </c>
      <c r="F116" s="2">
        <v>0</v>
      </c>
      <c r="G116" s="2">
        <v>1</v>
      </c>
      <c r="H116" s="4">
        <v>180000</v>
      </c>
      <c r="I116" s="4">
        <f t="shared" si="2"/>
        <v>180000</v>
      </c>
      <c r="J116" s="5">
        <v>45185</v>
      </c>
      <c r="K116" s="3" t="s">
        <v>228</v>
      </c>
      <c r="L116" s="3" t="str">
        <f>VLOOKUP(DataSales[[#This Row],[Khách hàng]],'RFM Table'!$A:$I,9,FALSE)</f>
        <v>Khách hàng VIP</v>
      </c>
      <c r="M116" s="4">
        <f t="shared" si="3"/>
        <v>18000</v>
      </c>
      <c r="N116" s="6">
        <v>0.1</v>
      </c>
      <c r="O116" s="2">
        <v>1</v>
      </c>
      <c r="P116" s="6">
        <v>0</v>
      </c>
      <c r="Q116" s="36">
        <v>2023</v>
      </c>
      <c r="R116" s="56">
        <f>MONTH(DataSales[[#This Row],[Ngày Xuất]])</f>
        <v>9</v>
      </c>
      <c r="S116" s="56" t="s">
        <v>781</v>
      </c>
    </row>
    <row r="117" spans="1:19" x14ac:dyDescent="0.3">
      <c r="A117" s="35">
        <v>144</v>
      </c>
      <c r="B117" s="8" t="s">
        <v>233</v>
      </c>
      <c r="C117" s="8" t="s">
        <v>234</v>
      </c>
      <c r="D117" s="8" t="s">
        <v>47</v>
      </c>
      <c r="E117" s="9">
        <v>110000</v>
      </c>
      <c r="F117" s="7">
        <v>0</v>
      </c>
      <c r="G117" s="7">
        <v>10</v>
      </c>
      <c r="H117" s="9">
        <v>160000</v>
      </c>
      <c r="I117" s="9">
        <f t="shared" si="2"/>
        <v>160000</v>
      </c>
      <c r="J117" s="10">
        <v>45185</v>
      </c>
      <c r="K117" s="8" t="s">
        <v>228</v>
      </c>
      <c r="L117" s="8" t="str">
        <f>VLOOKUP(DataSales[[#This Row],[Khách hàng]],'RFM Table'!$A:$I,9,FALSE)</f>
        <v>Khách hàng VIP</v>
      </c>
      <c r="M117" s="9">
        <f t="shared" si="3"/>
        <v>50000</v>
      </c>
      <c r="N117" s="11">
        <v>0.3125</v>
      </c>
      <c r="O117" s="7">
        <v>10</v>
      </c>
      <c r="P117" s="11">
        <v>0</v>
      </c>
      <c r="Q117" s="37">
        <v>2023</v>
      </c>
      <c r="R117" s="56">
        <f>MONTH(DataSales[[#This Row],[Ngày Xuất]])</f>
        <v>9</v>
      </c>
      <c r="S117" s="56" t="s">
        <v>773</v>
      </c>
    </row>
    <row r="118" spans="1:19" x14ac:dyDescent="0.3">
      <c r="A118" s="34">
        <v>146</v>
      </c>
      <c r="B118" s="3" t="s">
        <v>62</v>
      </c>
      <c r="C118" s="3" t="s">
        <v>63</v>
      </c>
      <c r="D118" s="3" t="s">
        <v>18</v>
      </c>
      <c r="E118" s="4">
        <v>855000</v>
      </c>
      <c r="F118" s="2">
        <v>0</v>
      </c>
      <c r="G118" s="2">
        <v>90</v>
      </c>
      <c r="H118" s="4">
        <v>1620000</v>
      </c>
      <c r="I118" s="4">
        <f t="shared" si="2"/>
        <v>1620000</v>
      </c>
      <c r="J118" s="5">
        <v>45185</v>
      </c>
      <c r="K118" s="3" t="s">
        <v>61</v>
      </c>
      <c r="L118" s="3" t="str">
        <f>VLOOKUP(DataSales[[#This Row],[Khách hàng]],'RFM Table'!$A:$I,9,FALSE)</f>
        <v>Khách hàng Trung thành</v>
      </c>
      <c r="M118" s="4">
        <f t="shared" si="3"/>
        <v>765000</v>
      </c>
      <c r="N118" s="6">
        <v>0.47222222222222221</v>
      </c>
      <c r="O118" s="2">
        <v>90</v>
      </c>
      <c r="P118" s="6">
        <v>0</v>
      </c>
      <c r="Q118" s="36">
        <v>2023</v>
      </c>
      <c r="R118" s="56">
        <f>MONTH(DataSales[[#This Row],[Ngày Xuất]])</f>
        <v>9</v>
      </c>
      <c r="S118" s="56" t="s">
        <v>775</v>
      </c>
    </row>
    <row r="119" spans="1:19" x14ac:dyDescent="0.3">
      <c r="A119" s="35">
        <v>147</v>
      </c>
      <c r="B119" s="8" t="s">
        <v>145</v>
      </c>
      <c r="C119" s="8" t="s">
        <v>146</v>
      </c>
      <c r="D119" s="8" t="s">
        <v>18</v>
      </c>
      <c r="E119" s="9">
        <v>288000</v>
      </c>
      <c r="F119" s="7">
        <v>0</v>
      </c>
      <c r="G119" s="7">
        <v>48</v>
      </c>
      <c r="H119" s="9">
        <v>408000</v>
      </c>
      <c r="I119" s="9">
        <f t="shared" si="2"/>
        <v>408000</v>
      </c>
      <c r="J119" s="10">
        <v>45185</v>
      </c>
      <c r="K119" s="8" t="s">
        <v>235</v>
      </c>
      <c r="L119" s="8" t="str">
        <f>VLOOKUP(DataSales[[#This Row],[Khách hàng]],'RFM Table'!$A:$I,9,FALSE)</f>
        <v>Khách hàng Trung thành</v>
      </c>
      <c r="M119" s="9">
        <f t="shared" si="3"/>
        <v>120000</v>
      </c>
      <c r="N119" s="11">
        <v>0.29411764705882348</v>
      </c>
      <c r="O119" s="7">
        <v>48</v>
      </c>
      <c r="P119" s="11">
        <v>0</v>
      </c>
      <c r="Q119" s="37">
        <v>2023</v>
      </c>
      <c r="R119" s="56">
        <f>MONTH(DataSales[[#This Row],[Ngày Xuất]])</f>
        <v>9</v>
      </c>
      <c r="S119" s="56" t="s">
        <v>772</v>
      </c>
    </row>
    <row r="120" spans="1:19" x14ac:dyDescent="0.3">
      <c r="A120" s="34">
        <v>148</v>
      </c>
      <c r="B120" s="3" t="s">
        <v>153</v>
      </c>
      <c r="C120" s="3" t="s">
        <v>154</v>
      </c>
      <c r="D120" s="3" t="s">
        <v>155</v>
      </c>
      <c r="E120" s="4">
        <v>820800</v>
      </c>
      <c r="F120" s="2">
        <v>0</v>
      </c>
      <c r="G120" s="2">
        <v>24</v>
      </c>
      <c r="H120" s="4">
        <v>840000</v>
      </c>
      <c r="I120" s="4">
        <f t="shared" si="2"/>
        <v>840000</v>
      </c>
      <c r="J120" s="5">
        <v>45185</v>
      </c>
      <c r="K120" s="3" t="s">
        <v>235</v>
      </c>
      <c r="L120" s="3" t="str">
        <f>VLOOKUP(DataSales[[#This Row],[Khách hàng]],'RFM Table'!$A:$I,9,FALSE)</f>
        <v>Khách hàng Trung thành</v>
      </c>
      <c r="M120" s="4">
        <f t="shared" si="3"/>
        <v>19200</v>
      </c>
      <c r="N120" s="6">
        <v>2.2857142857142861E-2</v>
      </c>
      <c r="O120" s="2">
        <v>24</v>
      </c>
      <c r="P120" s="6">
        <v>0</v>
      </c>
      <c r="Q120" s="36">
        <v>2023</v>
      </c>
      <c r="R120" s="56">
        <f>MONTH(DataSales[[#This Row],[Ngày Xuất]])</f>
        <v>9</v>
      </c>
      <c r="S120" s="56" t="s">
        <v>776</v>
      </c>
    </row>
    <row r="121" spans="1:19" x14ac:dyDescent="0.3">
      <c r="A121" s="35">
        <v>149</v>
      </c>
      <c r="B121" s="8" t="s">
        <v>45</v>
      </c>
      <c r="C121" s="8" t="s">
        <v>46</v>
      </c>
      <c r="D121" s="8" t="s">
        <v>47</v>
      </c>
      <c r="E121" s="9">
        <v>362268</v>
      </c>
      <c r="F121" s="7">
        <v>1</v>
      </c>
      <c r="G121" s="7">
        <v>6</v>
      </c>
      <c r="H121" s="9">
        <v>340000</v>
      </c>
      <c r="I121" s="9">
        <f t="shared" si="2"/>
        <v>340000</v>
      </c>
      <c r="J121" s="10">
        <v>45185</v>
      </c>
      <c r="K121" s="8" t="s">
        <v>236</v>
      </c>
      <c r="L121" s="8" t="str">
        <f>VLOOKUP(DataSales[[#This Row],[Khách hàng]],'RFM Table'!$A:$I,9,FALSE)</f>
        <v>Khách hàng Cần chú ý</v>
      </c>
      <c r="M121" s="9">
        <f t="shared" si="3"/>
        <v>-22268</v>
      </c>
      <c r="N121" s="11">
        <v>-6.5494117647058828E-2</v>
      </c>
      <c r="O121" s="7">
        <v>7</v>
      </c>
      <c r="P121" s="11">
        <v>0.14285714285714279</v>
      </c>
      <c r="Q121" s="37">
        <v>2023</v>
      </c>
      <c r="R121" s="56">
        <f>MONTH(DataSales[[#This Row],[Ngày Xuất]])</f>
        <v>9</v>
      </c>
      <c r="S121" s="56" t="s">
        <v>776</v>
      </c>
    </row>
    <row r="122" spans="1:19" x14ac:dyDescent="0.3">
      <c r="A122" s="34">
        <v>150</v>
      </c>
      <c r="B122" s="3" t="s">
        <v>237</v>
      </c>
      <c r="C122" s="3" t="s">
        <v>238</v>
      </c>
      <c r="D122" s="3" t="s">
        <v>104</v>
      </c>
      <c r="E122" s="4">
        <v>63000</v>
      </c>
      <c r="F122" s="2">
        <v>0</v>
      </c>
      <c r="G122" s="2">
        <v>1</v>
      </c>
      <c r="H122" s="4">
        <v>70000</v>
      </c>
      <c r="I122" s="4">
        <f t="shared" si="2"/>
        <v>70000</v>
      </c>
      <c r="J122" s="5">
        <v>45185</v>
      </c>
      <c r="K122" s="3" t="s">
        <v>239</v>
      </c>
      <c r="L122" s="3" t="str">
        <f>VLOOKUP(DataSales[[#This Row],[Khách hàng]],'RFM Table'!$A:$I,9,FALSE)</f>
        <v>Khách hàng Cần chú ý</v>
      </c>
      <c r="M122" s="4">
        <f t="shared" si="3"/>
        <v>7000</v>
      </c>
      <c r="N122" s="6">
        <v>0.1</v>
      </c>
      <c r="O122" s="2">
        <v>1</v>
      </c>
      <c r="P122" s="6">
        <v>0</v>
      </c>
      <c r="Q122" s="36">
        <v>2023</v>
      </c>
      <c r="R122" s="56">
        <f>MONTH(DataSales[[#This Row],[Ngày Xuất]])</f>
        <v>9</v>
      </c>
      <c r="S122" s="56" t="s">
        <v>780</v>
      </c>
    </row>
    <row r="123" spans="1:19" x14ac:dyDescent="0.3">
      <c r="A123" s="35">
        <v>151</v>
      </c>
      <c r="B123" s="8" t="s">
        <v>148</v>
      </c>
      <c r="C123" s="8" t="s">
        <v>149</v>
      </c>
      <c r="D123" s="8" t="s">
        <v>104</v>
      </c>
      <c r="E123" s="9">
        <v>63000</v>
      </c>
      <c r="F123" s="7">
        <v>0</v>
      </c>
      <c r="G123" s="7">
        <v>1</v>
      </c>
      <c r="H123" s="9">
        <v>70000</v>
      </c>
      <c r="I123" s="9">
        <f t="shared" si="2"/>
        <v>70000</v>
      </c>
      <c r="J123" s="10">
        <v>45185</v>
      </c>
      <c r="K123" s="8" t="s">
        <v>239</v>
      </c>
      <c r="L123" s="8" t="str">
        <f>VLOOKUP(DataSales[[#This Row],[Khách hàng]],'RFM Table'!$A:$I,9,FALSE)</f>
        <v>Khách hàng Cần chú ý</v>
      </c>
      <c r="M123" s="9">
        <f t="shared" si="3"/>
        <v>7000</v>
      </c>
      <c r="N123" s="11">
        <v>0.1</v>
      </c>
      <c r="O123" s="7">
        <v>1</v>
      </c>
      <c r="P123" s="11">
        <v>0</v>
      </c>
      <c r="Q123" s="37">
        <v>2023</v>
      </c>
      <c r="R123" s="56">
        <f>MONTH(DataSales[[#This Row],[Ngày Xuất]])</f>
        <v>9</v>
      </c>
      <c r="S123" s="56" t="s">
        <v>780</v>
      </c>
    </row>
    <row r="124" spans="1:19" x14ac:dyDescent="0.3">
      <c r="A124" s="34">
        <v>152</v>
      </c>
      <c r="B124" s="3" t="s">
        <v>74</v>
      </c>
      <c r="C124" s="3" t="s">
        <v>75</v>
      </c>
      <c r="D124" s="3" t="s">
        <v>72</v>
      </c>
      <c r="E124" s="4">
        <v>165000</v>
      </c>
      <c r="F124" s="2">
        <v>0</v>
      </c>
      <c r="G124" s="2">
        <v>30</v>
      </c>
      <c r="H124" s="4">
        <v>195000</v>
      </c>
      <c r="I124" s="4">
        <f t="shared" si="2"/>
        <v>195000</v>
      </c>
      <c r="J124" s="5">
        <v>45185</v>
      </c>
      <c r="K124" s="3" t="s">
        <v>239</v>
      </c>
      <c r="L124" s="3" t="str">
        <f>VLOOKUP(DataSales[[#This Row],[Khách hàng]],'RFM Table'!$A:$I,9,FALSE)</f>
        <v>Khách hàng Cần chú ý</v>
      </c>
      <c r="M124" s="4">
        <f t="shared" si="3"/>
        <v>30000</v>
      </c>
      <c r="N124" s="6">
        <v>0.15384615384615391</v>
      </c>
      <c r="O124" s="2">
        <v>30</v>
      </c>
      <c r="P124" s="6">
        <v>0</v>
      </c>
      <c r="Q124" s="36">
        <v>2023</v>
      </c>
      <c r="R124" s="56">
        <f>MONTH(DataSales[[#This Row],[Ngày Xuất]])</f>
        <v>9</v>
      </c>
      <c r="S124" s="56" t="s">
        <v>776</v>
      </c>
    </row>
    <row r="125" spans="1:19" x14ac:dyDescent="0.3">
      <c r="A125" s="35">
        <v>153</v>
      </c>
      <c r="B125" s="8" t="s">
        <v>240</v>
      </c>
      <c r="C125" s="8" t="s">
        <v>241</v>
      </c>
      <c r="D125" s="8" t="s">
        <v>47</v>
      </c>
      <c r="E125" s="9">
        <v>900000</v>
      </c>
      <c r="F125" s="7">
        <v>0</v>
      </c>
      <c r="G125" s="7">
        <v>6</v>
      </c>
      <c r="H125" s="9">
        <v>1500000</v>
      </c>
      <c r="I125" s="9">
        <f t="shared" si="2"/>
        <v>1500000</v>
      </c>
      <c r="J125" s="10">
        <v>45185</v>
      </c>
      <c r="K125" s="8" t="s">
        <v>239</v>
      </c>
      <c r="L125" s="8" t="str">
        <f>VLOOKUP(DataSales[[#This Row],[Khách hàng]],'RFM Table'!$A:$I,9,FALSE)</f>
        <v>Khách hàng Cần chú ý</v>
      </c>
      <c r="M125" s="9">
        <f t="shared" si="3"/>
        <v>600000</v>
      </c>
      <c r="N125" s="11">
        <v>0.4</v>
      </c>
      <c r="O125" s="7">
        <v>6</v>
      </c>
      <c r="P125" s="11">
        <v>0</v>
      </c>
      <c r="Q125" s="37">
        <v>2023</v>
      </c>
      <c r="R125" s="56">
        <f>MONTH(DataSales[[#This Row],[Ngày Xuất]])</f>
        <v>9</v>
      </c>
      <c r="S125" s="56" t="s">
        <v>779</v>
      </c>
    </row>
    <row r="126" spans="1:19" x14ac:dyDescent="0.3">
      <c r="A126" s="34">
        <v>156</v>
      </c>
      <c r="B126" s="3" t="s">
        <v>121</v>
      </c>
      <c r="C126" s="3" t="s">
        <v>122</v>
      </c>
      <c r="D126" s="3" t="s">
        <v>47</v>
      </c>
      <c r="E126" s="4">
        <v>600000</v>
      </c>
      <c r="F126" s="2">
        <v>0</v>
      </c>
      <c r="G126" s="2">
        <v>6</v>
      </c>
      <c r="H126" s="4">
        <v>1308000</v>
      </c>
      <c r="I126" s="4">
        <f t="shared" si="2"/>
        <v>1308000</v>
      </c>
      <c r="J126" s="5">
        <v>45185</v>
      </c>
      <c r="K126" s="3" t="s">
        <v>239</v>
      </c>
      <c r="L126" s="3" t="str">
        <f>VLOOKUP(DataSales[[#This Row],[Khách hàng]],'RFM Table'!$A:$I,9,FALSE)</f>
        <v>Khách hàng Cần chú ý</v>
      </c>
      <c r="M126" s="4">
        <f t="shared" si="3"/>
        <v>708000</v>
      </c>
      <c r="N126" s="6">
        <v>0.54128440366972475</v>
      </c>
      <c r="O126" s="2">
        <v>6</v>
      </c>
      <c r="P126" s="6">
        <v>0</v>
      </c>
      <c r="Q126" s="36">
        <v>2023</v>
      </c>
      <c r="R126" s="56">
        <f>MONTH(DataSales[[#This Row],[Ngày Xuất]])</f>
        <v>9</v>
      </c>
      <c r="S126" s="56" t="s">
        <v>779</v>
      </c>
    </row>
    <row r="127" spans="1:19" x14ac:dyDescent="0.3">
      <c r="A127" s="35">
        <v>157</v>
      </c>
      <c r="B127" s="8" t="s">
        <v>242</v>
      </c>
      <c r="C127" s="8" t="s">
        <v>243</v>
      </c>
      <c r="D127" s="8" t="s">
        <v>47</v>
      </c>
      <c r="E127" s="9">
        <v>660000</v>
      </c>
      <c r="F127" s="7">
        <v>0</v>
      </c>
      <c r="G127" s="7">
        <v>6</v>
      </c>
      <c r="H127" s="9">
        <v>1368000</v>
      </c>
      <c r="I127" s="9">
        <f t="shared" si="2"/>
        <v>1368000</v>
      </c>
      <c r="J127" s="10">
        <v>45185</v>
      </c>
      <c r="K127" s="8" t="s">
        <v>239</v>
      </c>
      <c r="L127" s="8" t="str">
        <f>VLOOKUP(DataSales[[#This Row],[Khách hàng]],'RFM Table'!$A:$I,9,FALSE)</f>
        <v>Khách hàng Cần chú ý</v>
      </c>
      <c r="M127" s="9">
        <f t="shared" si="3"/>
        <v>708000</v>
      </c>
      <c r="N127" s="11">
        <v>0.51754385964912286</v>
      </c>
      <c r="O127" s="7">
        <v>6</v>
      </c>
      <c r="P127" s="11">
        <v>0</v>
      </c>
      <c r="Q127" s="37">
        <v>2023</v>
      </c>
      <c r="R127" s="56">
        <f>MONTH(DataSales[[#This Row],[Ngày Xuất]])</f>
        <v>9</v>
      </c>
      <c r="S127" s="56" t="s">
        <v>779</v>
      </c>
    </row>
    <row r="128" spans="1:19" x14ac:dyDescent="0.3">
      <c r="A128" s="34">
        <v>158</v>
      </c>
      <c r="B128" s="3" t="s">
        <v>90</v>
      </c>
      <c r="C128" s="3" t="s">
        <v>91</v>
      </c>
      <c r="D128" s="3" t="s">
        <v>92</v>
      </c>
      <c r="E128" s="4">
        <v>147000</v>
      </c>
      <c r="F128" s="2">
        <v>5</v>
      </c>
      <c r="G128" s="2">
        <v>24</v>
      </c>
      <c r="H128" s="4">
        <v>180000</v>
      </c>
      <c r="I128" s="4">
        <f t="shared" si="2"/>
        <v>180000</v>
      </c>
      <c r="J128" s="5">
        <v>45185</v>
      </c>
      <c r="K128" s="3" t="s">
        <v>239</v>
      </c>
      <c r="L128" s="3" t="str">
        <f>VLOOKUP(DataSales[[#This Row],[Khách hàng]],'RFM Table'!$A:$I,9,FALSE)</f>
        <v>Khách hàng Cần chú ý</v>
      </c>
      <c r="M128" s="4">
        <f t="shared" si="3"/>
        <v>33000</v>
      </c>
      <c r="N128" s="6">
        <v>0.18333333333333329</v>
      </c>
      <c r="O128" s="2">
        <v>29</v>
      </c>
      <c r="P128" s="6">
        <v>0.17241379310344829</v>
      </c>
      <c r="Q128" s="36">
        <v>2023</v>
      </c>
      <c r="R128" s="56">
        <f>MONTH(DataSales[[#This Row],[Ngày Xuất]])</f>
        <v>9</v>
      </c>
      <c r="S128" s="56" t="s">
        <v>777</v>
      </c>
    </row>
    <row r="129" spans="1:19" x14ac:dyDescent="0.3">
      <c r="A129" s="35">
        <v>160</v>
      </c>
      <c r="B129" s="8" t="s">
        <v>210</v>
      </c>
      <c r="C129" s="8" t="s">
        <v>211</v>
      </c>
      <c r="D129" s="8" t="s">
        <v>22</v>
      </c>
      <c r="E129" s="9">
        <v>540000</v>
      </c>
      <c r="F129" s="7">
        <v>0</v>
      </c>
      <c r="G129" s="7">
        <v>30</v>
      </c>
      <c r="H129" s="9">
        <v>630000</v>
      </c>
      <c r="I129" s="9">
        <f t="shared" si="2"/>
        <v>630000</v>
      </c>
      <c r="J129" s="10">
        <v>45185</v>
      </c>
      <c r="K129" s="8" t="s">
        <v>239</v>
      </c>
      <c r="L129" s="8" t="str">
        <f>VLOOKUP(DataSales[[#This Row],[Khách hàng]],'RFM Table'!$A:$I,9,FALSE)</f>
        <v>Khách hàng Cần chú ý</v>
      </c>
      <c r="M129" s="9">
        <f t="shared" si="3"/>
        <v>90000</v>
      </c>
      <c r="N129" s="11">
        <v>0.14285714285714279</v>
      </c>
      <c r="O129" s="7">
        <v>30</v>
      </c>
      <c r="P129" s="11">
        <v>0</v>
      </c>
      <c r="Q129" s="37">
        <v>2023</v>
      </c>
      <c r="R129" s="56">
        <f>MONTH(DataSales[[#This Row],[Ngày Xuất]])</f>
        <v>9</v>
      </c>
      <c r="S129" s="56" t="s">
        <v>773</v>
      </c>
    </row>
    <row r="130" spans="1:19" x14ac:dyDescent="0.3">
      <c r="A130" s="34">
        <v>161</v>
      </c>
      <c r="B130" s="3" t="s">
        <v>153</v>
      </c>
      <c r="C130" s="3" t="s">
        <v>154</v>
      </c>
      <c r="D130" s="3" t="s">
        <v>155</v>
      </c>
      <c r="E130" s="4">
        <v>820800</v>
      </c>
      <c r="F130" s="2">
        <v>0</v>
      </c>
      <c r="G130" s="2">
        <v>24</v>
      </c>
      <c r="H130" s="4">
        <v>816000</v>
      </c>
      <c r="I130" s="4">
        <f t="shared" ref="I130:I193" si="4">H130</f>
        <v>816000</v>
      </c>
      <c r="J130" s="5">
        <v>45185</v>
      </c>
      <c r="K130" s="3" t="s">
        <v>244</v>
      </c>
      <c r="L130" s="3" t="str">
        <f>VLOOKUP(DataSales[[#This Row],[Khách hàng]],'RFM Table'!$A:$I,9,FALSE)</f>
        <v>Khách hàng Cần chú ý</v>
      </c>
      <c r="M130" s="4">
        <f t="shared" ref="M130:M193" si="5">I130-E130</f>
        <v>-4800</v>
      </c>
      <c r="N130" s="6">
        <v>-5.8823529411764714E-3</v>
      </c>
      <c r="O130" s="2">
        <v>24</v>
      </c>
      <c r="P130" s="6">
        <v>0</v>
      </c>
      <c r="Q130" s="36">
        <v>2023</v>
      </c>
      <c r="R130" s="56">
        <f>MONTH(DataSales[[#This Row],[Ngày Xuất]])</f>
        <v>9</v>
      </c>
      <c r="S130" s="56" t="s">
        <v>776</v>
      </c>
    </row>
    <row r="131" spans="1:19" x14ac:dyDescent="0.3">
      <c r="A131" s="35">
        <v>162</v>
      </c>
      <c r="B131" s="8" t="s">
        <v>132</v>
      </c>
      <c r="C131" s="8" t="s">
        <v>133</v>
      </c>
      <c r="D131" s="8" t="s">
        <v>47</v>
      </c>
      <c r="E131" s="9">
        <v>58000</v>
      </c>
      <c r="F131" s="7">
        <v>0</v>
      </c>
      <c r="G131" s="7">
        <v>4</v>
      </c>
      <c r="H131" s="9">
        <v>56000</v>
      </c>
      <c r="I131" s="9">
        <f t="shared" si="4"/>
        <v>56000</v>
      </c>
      <c r="J131" s="10">
        <v>45185</v>
      </c>
      <c r="K131" s="8" t="s">
        <v>245</v>
      </c>
      <c r="L131" s="8" t="str">
        <f>VLOOKUP(DataSales[[#This Row],[Khách hàng]],'RFM Table'!$A:$I,9,FALSE)</f>
        <v>Khách hàng VIP</v>
      </c>
      <c r="M131" s="9">
        <f t="shared" si="5"/>
        <v>-2000</v>
      </c>
      <c r="N131" s="11">
        <v>-3.5714285714285712E-2</v>
      </c>
      <c r="O131" s="7">
        <v>4</v>
      </c>
      <c r="P131" s="11">
        <v>0</v>
      </c>
      <c r="Q131" s="37">
        <v>2023</v>
      </c>
      <c r="R131" s="56">
        <f>MONTH(DataSales[[#This Row],[Ngày Xuất]])</f>
        <v>9</v>
      </c>
      <c r="S131" s="56" t="s">
        <v>776</v>
      </c>
    </row>
    <row r="132" spans="1:19" x14ac:dyDescent="0.3">
      <c r="A132" s="34">
        <v>163</v>
      </c>
      <c r="B132" s="3" t="s">
        <v>135</v>
      </c>
      <c r="C132" s="3" t="s">
        <v>136</v>
      </c>
      <c r="D132" s="3" t="s">
        <v>47</v>
      </c>
      <c r="E132" s="4">
        <v>58000</v>
      </c>
      <c r="F132" s="2">
        <v>0</v>
      </c>
      <c r="G132" s="2">
        <v>4</v>
      </c>
      <c r="H132" s="4">
        <v>56000</v>
      </c>
      <c r="I132" s="4">
        <f t="shared" si="4"/>
        <v>56000</v>
      </c>
      <c r="J132" s="5">
        <v>45185</v>
      </c>
      <c r="K132" s="3" t="s">
        <v>245</v>
      </c>
      <c r="L132" s="3" t="str">
        <f>VLOOKUP(DataSales[[#This Row],[Khách hàng]],'RFM Table'!$A:$I,9,FALSE)</f>
        <v>Khách hàng VIP</v>
      </c>
      <c r="M132" s="4">
        <f t="shared" si="5"/>
        <v>-2000</v>
      </c>
      <c r="N132" s="6">
        <v>-3.5714285714285712E-2</v>
      </c>
      <c r="O132" s="2">
        <v>4</v>
      </c>
      <c r="P132" s="6">
        <v>0</v>
      </c>
      <c r="Q132" s="36">
        <v>2023</v>
      </c>
      <c r="R132" s="56">
        <f>MONTH(DataSales[[#This Row],[Ngày Xuất]])</f>
        <v>9</v>
      </c>
      <c r="S132" s="56" t="s">
        <v>776</v>
      </c>
    </row>
    <row r="133" spans="1:19" x14ac:dyDescent="0.3">
      <c r="A133" s="35">
        <v>164</v>
      </c>
      <c r="B133" s="8" t="s">
        <v>137</v>
      </c>
      <c r="C133" s="8" t="s">
        <v>138</v>
      </c>
      <c r="D133" s="8" t="s">
        <v>47</v>
      </c>
      <c r="E133" s="9">
        <v>58000</v>
      </c>
      <c r="F133" s="7">
        <v>0</v>
      </c>
      <c r="G133" s="7">
        <v>4</v>
      </c>
      <c r="H133" s="9">
        <v>56000</v>
      </c>
      <c r="I133" s="9">
        <f t="shared" si="4"/>
        <v>56000</v>
      </c>
      <c r="J133" s="10">
        <v>45185</v>
      </c>
      <c r="K133" s="8" t="s">
        <v>245</v>
      </c>
      <c r="L133" s="8" t="str">
        <f>VLOOKUP(DataSales[[#This Row],[Khách hàng]],'RFM Table'!$A:$I,9,FALSE)</f>
        <v>Khách hàng VIP</v>
      </c>
      <c r="M133" s="9">
        <f t="shared" si="5"/>
        <v>-2000</v>
      </c>
      <c r="N133" s="11">
        <v>-3.5714285714285712E-2</v>
      </c>
      <c r="O133" s="7">
        <v>4</v>
      </c>
      <c r="P133" s="11">
        <v>0</v>
      </c>
      <c r="Q133" s="37">
        <v>2023</v>
      </c>
      <c r="R133" s="56">
        <f>MONTH(DataSales[[#This Row],[Ngày Xuất]])</f>
        <v>9</v>
      </c>
      <c r="S133" s="56" t="s">
        <v>776</v>
      </c>
    </row>
    <row r="134" spans="1:19" x14ac:dyDescent="0.3">
      <c r="A134" s="34">
        <v>165</v>
      </c>
      <c r="B134" s="3" t="s">
        <v>246</v>
      </c>
      <c r="C134" s="3" t="s">
        <v>247</v>
      </c>
      <c r="D134" s="3" t="s">
        <v>170</v>
      </c>
      <c r="E134" s="4">
        <v>163485</v>
      </c>
      <c r="F134" s="2">
        <v>0</v>
      </c>
      <c r="G134" s="2">
        <v>1</v>
      </c>
      <c r="H134" s="4">
        <v>175000</v>
      </c>
      <c r="I134" s="4">
        <f t="shared" si="4"/>
        <v>175000</v>
      </c>
      <c r="J134" s="5">
        <v>45185</v>
      </c>
      <c r="K134" s="3" t="s">
        <v>245</v>
      </c>
      <c r="L134" s="3" t="str">
        <f>VLOOKUP(DataSales[[#This Row],[Khách hàng]],'RFM Table'!$A:$I,9,FALSE)</f>
        <v>Khách hàng VIP</v>
      </c>
      <c r="M134" s="4">
        <f t="shared" si="5"/>
        <v>11515</v>
      </c>
      <c r="N134" s="6">
        <v>6.5799999999999997E-2</v>
      </c>
      <c r="O134" s="2">
        <v>1</v>
      </c>
      <c r="P134" s="6">
        <v>0</v>
      </c>
      <c r="Q134" s="36">
        <v>2023</v>
      </c>
      <c r="R134" s="56">
        <f>MONTH(DataSales[[#This Row],[Ngày Xuất]])</f>
        <v>9</v>
      </c>
      <c r="S134" s="56" t="s">
        <v>781</v>
      </c>
    </row>
    <row r="135" spans="1:19" x14ac:dyDescent="0.3">
      <c r="A135" s="35">
        <v>166</v>
      </c>
      <c r="B135" s="8" t="s">
        <v>248</v>
      </c>
      <c r="C135" s="8" t="s">
        <v>249</v>
      </c>
      <c r="D135" s="8" t="s">
        <v>250</v>
      </c>
      <c r="E135" s="9">
        <v>504000</v>
      </c>
      <c r="F135" s="7">
        <v>2</v>
      </c>
      <c r="G135" s="7">
        <v>12</v>
      </c>
      <c r="H135" s="9">
        <v>473000</v>
      </c>
      <c r="I135" s="9">
        <f t="shared" si="4"/>
        <v>473000</v>
      </c>
      <c r="J135" s="10">
        <v>45190</v>
      </c>
      <c r="K135" s="8" t="s">
        <v>251</v>
      </c>
      <c r="L135" s="8" t="str">
        <f>VLOOKUP(DataSales[[#This Row],[Khách hàng]],'RFM Table'!$A:$I,9,FALSE)</f>
        <v>Khách hàng VIP</v>
      </c>
      <c r="M135" s="9">
        <f t="shared" si="5"/>
        <v>-31000</v>
      </c>
      <c r="N135" s="11">
        <v>-6.5539112050739964E-2</v>
      </c>
      <c r="O135" s="7">
        <v>14</v>
      </c>
      <c r="P135" s="11">
        <v>0.14285714285714279</v>
      </c>
      <c r="Q135" s="37">
        <v>2023</v>
      </c>
      <c r="R135" s="56">
        <f>MONTH(DataSales[[#This Row],[Ngày Xuất]])</f>
        <v>9</v>
      </c>
      <c r="S135" s="56" t="s">
        <v>779</v>
      </c>
    </row>
    <row r="136" spans="1:19" x14ac:dyDescent="0.3">
      <c r="A136" s="34">
        <v>167</v>
      </c>
      <c r="B136" s="3" t="s">
        <v>252</v>
      </c>
      <c r="C136" s="3" t="s">
        <v>253</v>
      </c>
      <c r="D136" s="3" t="s">
        <v>32</v>
      </c>
      <c r="E136" s="4">
        <v>620016</v>
      </c>
      <c r="F136" s="2">
        <v>4</v>
      </c>
      <c r="G136" s="2">
        <v>24</v>
      </c>
      <c r="H136" s="4">
        <v>762000</v>
      </c>
      <c r="I136" s="4">
        <f t="shared" si="4"/>
        <v>762000</v>
      </c>
      <c r="J136" s="5">
        <v>45192</v>
      </c>
      <c r="K136" s="3" t="s">
        <v>82</v>
      </c>
      <c r="L136" s="3" t="str">
        <f>VLOOKUP(DataSales[[#This Row],[Khách hàng]],'RFM Table'!$A:$I,9,FALSE)</f>
        <v>Khách hàng Trung thành</v>
      </c>
      <c r="M136" s="4">
        <f t="shared" si="5"/>
        <v>141984</v>
      </c>
      <c r="N136" s="6">
        <v>0.18633070866141729</v>
      </c>
      <c r="O136" s="2">
        <v>28</v>
      </c>
      <c r="P136" s="6">
        <v>0.14285714285714279</v>
      </c>
      <c r="Q136" s="36">
        <v>2023</v>
      </c>
      <c r="R136" s="56">
        <f>MONTH(DataSales[[#This Row],[Ngày Xuất]])</f>
        <v>9</v>
      </c>
      <c r="S136" s="56" t="s">
        <v>779</v>
      </c>
    </row>
    <row r="137" spans="1:19" x14ac:dyDescent="0.3">
      <c r="A137" s="35">
        <v>168</v>
      </c>
      <c r="B137" s="8" t="s">
        <v>254</v>
      </c>
      <c r="C137" s="8" t="s">
        <v>255</v>
      </c>
      <c r="D137" s="8" t="s">
        <v>155</v>
      </c>
      <c r="E137" s="9">
        <v>637200</v>
      </c>
      <c r="F137" s="7">
        <v>0</v>
      </c>
      <c r="G137" s="7">
        <v>3</v>
      </c>
      <c r="H137" s="9">
        <v>716400</v>
      </c>
      <c r="I137" s="9">
        <f t="shared" si="4"/>
        <v>716400</v>
      </c>
      <c r="J137" s="10">
        <v>45192</v>
      </c>
      <c r="K137" s="8" t="s">
        <v>82</v>
      </c>
      <c r="L137" s="8" t="str">
        <f>VLOOKUP(DataSales[[#This Row],[Khách hàng]],'RFM Table'!$A:$I,9,FALSE)</f>
        <v>Khách hàng Trung thành</v>
      </c>
      <c r="M137" s="9">
        <f t="shared" si="5"/>
        <v>79200</v>
      </c>
      <c r="N137" s="11">
        <v>0.1105527638190955</v>
      </c>
      <c r="O137" s="7">
        <v>3</v>
      </c>
      <c r="P137" s="11">
        <v>0</v>
      </c>
      <c r="Q137" s="37">
        <v>2023</v>
      </c>
      <c r="R137" s="56">
        <f>MONTH(DataSales[[#This Row],[Ngày Xuất]])</f>
        <v>9</v>
      </c>
      <c r="S137" s="56" t="s">
        <v>782</v>
      </c>
    </row>
    <row r="138" spans="1:19" x14ac:dyDescent="0.3">
      <c r="A138" s="34">
        <v>169</v>
      </c>
      <c r="B138" s="3" t="s">
        <v>256</v>
      </c>
      <c r="C138" s="3" t="s">
        <v>257</v>
      </c>
      <c r="D138" s="3" t="s">
        <v>32</v>
      </c>
      <c r="E138" s="4">
        <v>467508</v>
      </c>
      <c r="F138" s="2">
        <v>1</v>
      </c>
      <c r="G138" s="2">
        <v>12</v>
      </c>
      <c r="H138" s="4">
        <v>444000</v>
      </c>
      <c r="I138" s="4">
        <f t="shared" si="4"/>
        <v>444000</v>
      </c>
      <c r="J138" s="5">
        <v>45192</v>
      </c>
      <c r="K138" s="3" t="s">
        <v>178</v>
      </c>
      <c r="L138" s="3" t="str">
        <f>VLOOKUP(DataSales[[#This Row],[Khách hàng]],'RFM Table'!$A:$I,9,FALSE)</f>
        <v>Khách hàng Trung thành</v>
      </c>
      <c r="M138" s="4">
        <f t="shared" si="5"/>
        <v>-23508</v>
      </c>
      <c r="N138" s="6">
        <v>-5.2945945945945948E-2</v>
      </c>
      <c r="O138" s="2">
        <v>13</v>
      </c>
      <c r="P138" s="6">
        <v>7.6923076923076927E-2</v>
      </c>
      <c r="Q138" s="36">
        <v>2023</v>
      </c>
      <c r="R138" s="56">
        <f>MONTH(DataSales[[#This Row],[Ngày Xuất]])</f>
        <v>9</v>
      </c>
      <c r="S138" s="56" t="s">
        <v>779</v>
      </c>
    </row>
    <row r="139" spans="1:19" x14ac:dyDescent="0.3">
      <c r="A139" s="35">
        <v>170</v>
      </c>
      <c r="B139" s="8" t="s">
        <v>252</v>
      </c>
      <c r="C139" s="8" t="s">
        <v>253</v>
      </c>
      <c r="D139" s="8" t="s">
        <v>32</v>
      </c>
      <c r="E139" s="9">
        <v>620016</v>
      </c>
      <c r="F139" s="7">
        <v>4</v>
      </c>
      <c r="G139" s="7">
        <v>24</v>
      </c>
      <c r="H139" s="9">
        <v>762000</v>
      </c>
      <c r="I139" s="9">
        <f t="shared" si="4"/>
        <v>762000</v>
      </c>
      <c r="J139" s="10">
        <v>45192</v>
      </c>
      <c r="K139" s="8" t="s">
        <v>88</v>
      </c>
      <c r="L139" s="8" t="str">
        <f>VLOOKUP(DataSales[[#This Row],[Khách hàng]],'RFM Table'!$A:$I,9,FALSE)</f>
        <v>Khách hàng Trung thành</v>
      </c>
      <c r="M139" s="9">
        <f t="shared" si="5"/>
        <v>141984</v>
      </c>
      <c r="N139" s="11">
        <v>0.18633070866141729</v>
      </c>
      <c r="O139" s="7">
        <v>28</v>
      </c>
      <c r="P139" s="11">
        <v>0.14285714285714279</v>
      </c>
      <c r="Q139" s="37">
        <v>2023</v>
      </c>
      <c r="R139" s="56">
        <f>MONTH(DataSales[[#This Row],[Ngày Xuất]])</f>
        <v>9</v>
      </c>
      <c r="S139" s="56" t="s">
        <v>779</v>
      </c>
    </row>
    <row r="140" spans="1:19" x14ac:dyDescent="0.3">
      <c r="A140" s="34">
        <v>171</v>
      </c>
      <c r="B140" s="3" t="s">
        <v>45</v>
      </c>
      <c r="C140" s="3" t="s">
        <v>46</v>
      </c>
      <c r="D140" s="3" t="s">
        <v>47</v>
      </c>
      <c r="E140" s="4">
        <v>301890</v>
      </c>
      <c r="F140" s="2">
        <v>0</v>
      </c>
      <c r="G140" s="2">
        <v>5</v>
      </c>
      <c r="H140" s="4">
        <v>260000</v>
      </c>
      <c r="I140" s="4">
        <f t="shared" si="4"/>
        <v>260000</v>
      </c>
      <c r="J140" s="5">
        <v>45192</v>
      </c>
      <c r="K140" s="3" t="s">
        <v>258</v>
      </c>
      <c r="L140" s="3" t="str">
        <f>VLOOKUP(DataSales[[#This Row],[Khách hàng]],'RFM Table'!$A:$I,9,FALSE)</f>
        <v>Khách hàng Cần chú ý</v>
      </c>
      <c r="M140" s="4">
        <f t="shared" si="5"/>
        <v>-41890</v>
      </c>
      <c r="N140" s="6">
        <v>-0.1611153846153846</v>
      </c>
      <c r="O140" s="2">
        <v>5</v>
      </c>
      <c r="P140" s="6">
        <v>0</v>
      </c>
      <c r="Q140" s="36">
        <v>2023</v>
      </c>
      <c r="R140" s="56">
        <f>MONTH(DataSales[[#This Row],[Ngày Xuất]])</f>
        <v>9</v>
      </c>
      <c r="S140" s="56" t="s">
        <v>776</v>
      </c>
    </row>
    <row r="141" spans="1:19" x14ac:dyDescent="0.3">
      <c r="A141" s="35">
        <v>172</v>
      </c>
      <c r="B141" s="8" t="s">
        <v>49</v>
      </c>
      <c r="C141" s="8" t="s">
        <v>50</v>
      </c>
      <c r="D141" s="8" t="s">
        <v>32</v>
      </c>
      <c r="E141" s="9">
        <v>98280</v>
      </c>
      <c r="F141" s="7">
        <v>0</v>
      </c>
      <c r="G141" s="7">
        <v>10</v>
      </c>
      <c r="H141" s="9">
        <v>115000</v>
      </c>
      <c r="I141" s="9">
        <f t="shared" si="4"/>
        <v>115000</v>
      </c>
      <c r="J141" s="10">
        <v>45192</v>
      </c>
      <c r="K141" s="8" t="s">
        <v>259</v>
      </c>
      <c r="L141" s="8" t="str">
        <f>VLOOKUP(DataSales[[#This Row],[Khách hàng]],'RFM Table'!$A:$I,9,FALSE)</f>
        <v>Khách hàng Trung thành</v>
      </c>
      <c r="M141" s="9">
        <f t="shared" si="5"/>
        <v>16720</v>
      </c>
      <c r="N141" s="11">
        <v>0.1453913043478261</v>
      </c>
      <c r="O141" s="7">
        <v>10</v>
      </c>
      <c r="P141" s="11">
        <v>0</v>
      </c>
      <c r="Q141" s="37">
        <v>2023</v>
      </c>
      <c r="R141" s="56">
        <f>MONTH(DataSales[[#This Row],[Ngày Xuất]])</f>
        <v>9</v>
      </c>
      <c r="S141" s="56" t="s">
        <v>772</v>
      </c>
    </row>
    <row r="142" spans="1:19" x14ac:dyDescent="0.3">
      <c r="A142" s="34">
        <v>173</v>
      </c>
      <c r="B142" s="3" t="s">
        <v>16</v>
      </c>
      <c r="C142" s="3" t="s">
        <v>17</v>
      </c>
      <c r="D142" s="3" t="s">
        <v>18</v>
      </c>
      <c r="E142" s="4">
        <v>1728000</v>
      </c>
      <c r="F142" s="2">
        <v>0</v>
      </c>
      <c r="G142" s="2">
        <v>240</v>
      </c>
      <c r="H142" s="4">
        <v>2880000</v>
      </c>
      <c r="I142" s="4">
        <f t="shared" si="4"/>
        <v>2880000</v>
      </c>
      <c r="J142" s="5">
        <v>45192</v>
      </c>
      <c r="K142" s="3" t="s">
        <v>259</v>
      </c>
      <c r="L142" s="3" t="str">
        <f>VLOOKUP(DataSales[[#This Row],[Khách hàng]],'RFM Table'!$A:$I,9,FALSE)</f>
        <v>Khách hàng Trung thành</v>
      </c>
      <c r="M142" s="4">
        <f t="shared" si="5"/>
        <v>1152000</v>
      </c>
      <c r="N142" s="6">
        <v>0.4</v>
      </c>
      <c r="O142" s="2">
        <v>240</v>
      </c>
      <c r="P142" s="6">
        <v>0</v>
      </c>
      <c r="Q142" s="36">
        <v>2023</v>
      </c>
      <c r="R142" s="56">
        <f>MONTH(DataSales[[#This Row],[Ngày Xuất]])</f>
        <v>9</v>
      </c>
      <c r="S142" s="56" t="s">
        <v>772</v>
      </c>
    </row>
    <row r="143" spans="1:19" x14ac:dyDescent="0.3">
      <c r="A143" s="35">
        <v>174</v>
      </c>
      <c r="B143" s="8" t="s">
        <v>195</v>
      </c>
      <c r="C143" s="8" t="s">
        <v>196</v>
      </c>
      <c r="D143" s="8" t="s">
        <v>92</v>
      </c>
      <c r="E143" s="9">
        <v>378000</v>
      </c>
      <c r="F143" s="7">
        <v>12</v>
      </c>
      <c r="G143" s="7">
        <v>72</v>
      </c>
      <c r="H143" s="9">
        <v>432000</v>
      </c>
      <c r="I143" s="9">
        <f t="shared" si="4"/>
        <v>432000</v>
      </c>
      <c r="J143" s="10">
        <v>45192</v>
      </c>
      <c r="K143" s="8" t="s">
        <v>93</v>
      </c>
      <c r="L143" s="8" t="str">
        <f>VLOOKUP(DataSales[[#This Row],[Khách hàng]],'RFM Table'!$A:$I,9,FALSE)</f>
        <v>Khách hàng Trung thành</v>
      </c>
      <c r="M143" s="9">
        <f t="shared" si="5"/>
        <v>54000</v>
      </c>
      <c r="N143" s="11">
        <v>0.125</v>
      </c>
      <c r="O143" s="7">
        <v>84</v>
      </c>
      <c r="P143" s="11">
        <v>0.14285714285714279</v>
      </c>
      <c r="Q143" s="37">
        <v>2023</v>
      </c>
      <c r="R143" s="56">
        <f>MONTH(DataSales[[#This Row],[Ngày Xuất]])</f>
        <v>9</v>
      </c>
      <c r="S143" s="56" t="s">
        <v>777</v>
      </c>
    </row>
    <row r="144" spans="1:19" x14ac:dyDescent="0.3">
      <c r="A144" s="34">
        <v>175</v>
      </c>
      <c r="B144" s="3" t="s">
        <v>260</v>
      </c>
      <c r="C144" s="3" t="s">
        <v>261</v>
      </c>
      <c r="D144" s="3" t="s">
        <v>47</v>
      </c>
      <c r="E144" s="4">
        <v>3000000</v>
      </c>
      <c r="F144" s="2">
        <v>6</v>
      </c>
      <c r="G144" s="2">
        <v>12</v>
      </c>
      <c r="H144" s="4">
        <v>3360000</v>
      </c>
      <c r="I144" s="4">
        <f t="shared" si="4"/>
        <v>3360000</v>
      </c>
      <c r="J144" s="5">
        <v>45192</v>
      </c>
      <c r="K144" s="3" t="s">
        <v>262</v>
      </c>
      <c r="L144" s="3" t="str">
        <f>VLOOKUP(DataSales[[#This Row],[Khách hàng]],'RFM Table'!$A:$I,9,FALSE)</f>
        <v>Khách hàng Mới</v>
      </c>
      <c r="M144" s="4">
        <f t="shared" si="5"/>
        <v>360000</v>
      </c>
      <c r="N144" s="6">
        <v>0.1071428571428571</v>
      </c>
      <c r="O144" s="2">
        <v>18</v>
      </c>
      <c r="P144" s="6">
        <v>0.33333333333333331</v>
      </c>
      <c r="Q144" s="36">
        <v>2023</v>
      </c>
      <c r="R144" s="56">
        <f>MONTH(DataSales[[#This Row],[Ngày Xuất]])</f>
        <v>9</v>
      </c>
      <c r="S144" s="56" t="s">
        <v>776</v>
      </c>
    </row>
    <row r="145" spans="1:19" x14ac:dyDescent="0.3">
      <c r="A145" s="35">
        <v>177</v>
      </c>
      <c r="B145" s="8" t="s">
        <v>40</v>
      </c>
      <c r="C145" s="8" t="s">
        <v>41</v>
      </c>
      <c r="D145" s="8" t="s">
        <v>18</v>
      </c>
      <c r="E145" s="9">
        <v>1056000</v>
      </c>
      <c r="F145" s="7">
        <v>0</v>
      </c>
      <c r="G145" s="7">
        <v>96</v>
      </c>
      <c r="H145" s="9">
        <v>912000</v>
      </c>
      <c r="I145" s="9">
        <f t="shared" si="4"/>
        <v>912000</v>
      </c>
      <c r="J145" s="10">
        <v>45192</v>
      </c>
      <c r="K145" s="8" t="s">
        <v>43</v>
      </c>
      <c r="L145" s="8" t="str">
        <f>VLOOKUP(DataSales[[#This Row],[Khách hàng]],'RFM Table'!$A:$I,9,FALSE)</f>
        <v>Khách hàng Trung thành</v>
      </c>
      <c r="M145" s="9">
        <f t="shared" si="5"/>
        <v>-144000</v>
      </c>
      <c r="N145" s="11">
        <v>-0.15789473684210531</v>
      </c>
      <c r="O145" s="7">
        <v>96</v>
      </c>
      <c r="P145" s="11">
        <v>0</v>
      </c>
      <c r="Q145" s="37">
        <v>2023</v>
      </c>
      <c r="R145" s="56">
        <f>MONTH(DataSales[[#This Row],[Ngày Xuất]])</f>
        <v>9</v>
      </c>
      <c r="S145" s="56" t="s">
        <v>772</v>
      </c>
    </row>
    <row r="146" spans="1:19" x14ac:dyDescent="0.3">
      <c r="A146" s="34">
        <v>178</v>
      </c>
      <c r="B146" s="3" t="s">
        <v>252</v>
      </c>
      <c r="C146" s="3" t="s">
        <v>253</v>
      </c>
      <c r="D146" s="3" t="s">
        <v>32</v>
      </c>
      <c r="E146" s="4">
        <v>310008</v>
      </c>
      <c r="F146" s="2">
        <v>1</v>
      </c>
      <c r="G146" s="2">
        <v>12</v>
      </c>
      <c r="H146" s="4">
        <v>410000</v>
      </c>
      <c r="I146" s="4">
        <f t="shared" si="4"/>
        <v>410000</v>
      </c>
      <c r="J146" s="5">
        <v>45192</v>
      </c>
      <c r="K146" s="3" t="s">
        <v>204</v>
      </c>
      <c r="L146" s="3" t="str">
        <f>VLOOKUP(DataSales[[#This Row],[Khách hàng]],'RFM Table'!$A:$I,9,FALSE)</f>
        <v>Khách hàng VIP</v>
      </c>
      <c r="M146" s="4">
        <f t="shared" si="5"/>
        <v>99992</v>
      </c>
      <c r="N146" s="6">
        <v>0.24388292682926829</v>
      </c>
      <c r="O146" s="2">
        <v>13</v>
      </c>
      <c r="P146" s="6">
        <v>7.6923076923076927E-2</v>
      </c>
      <c r="Q146" s="36">
        <v>2023</v>
      </c>
      <c r="R146" s="56">
        <f>MONTH(DataSales[[#This Row],[Ngày Xuất]])</f>
        <v>9</v>
      </c>
      <c r="S146" s="56" t="s">
        <v>779</v>
      </c>
    </row>
    <row r="147" spans="1:19" x14ac:dyDescent="0.3">
      <c r="A147" s="35">
        <v>179</v>
      </c>
      <c r="B147" s="8" t="s">
        <v>263</v>
      </c>
      <c r="C147" s="8" t="s">
        <v>264</v>
      </c>
      <c r="D147" s="8" t="s">
        <v>32</v>
      </c>
      <c r="E147" s="9">
        <v>144000</v>
      </c>
      <c r="F147" s="7">
        <v>0</v>
      </c>
      <c r="G147" s="7">
        <v>30</v>
      </c>
      <c r="H147" s="9">
        <v>210000</v>
      </c>
      <c r="I147" s="9">
        <f t="shared" si="4"/>
        <v>210000</v>
      </c>
      <c r="J147" s="10">
        <v>45192</v>
      </c>
      <c r="K147" s="8" t="s">
        <v>265</v>
      </c>
      <c r="L147" s="8" t="str">
        <f>VLOOKUP(DataSales[[#This Row],[Khách hàng]],'RFM Table'!$A:$I,9,FALSE)</f>
        <v>Khách hàng VIP</v>
      </c>
      <c r="M147" s="9">
        <f t="shared" si="5"/>
        <v>66000</v>
      </c>
      <c r="N147" s="11">
        <v>0.31428571428571428</v>
      </c>
      <c r="O147" s="7">
        <v>30</v>
      </c>
      <c r="P147" s="11">
        <v>0</v>
      </c>
      <c r="Q147" s="37">
        <v>2023</v>
      </c>
      <c r="R147" s="56">
        <f>MONTH(DataSales[[#This Row],[Ngày Xuất]])</f>
        <v>9</v>
      </c>
      <c r="S147" s="56" t="s">
        <v>774</v>
      </c>
    </row>
    <row r="148" spans="1:19" x14ac:dyDescent="0.3">
      <c r="A148" s="34">
        <v>180</v>
      </c>
      <c r="B148" s="3" t="s">
        <v>266</v>
      </c>
      <c r="C148" s="3" t="s">
        <v>267</v>
      </c>
      <c r="D148" s="3" t="s">
        <v>32</v>
      </c>
      <c r="E148" s="4">
        <v>40000</v>
      </c>
      <c r="F148" s="2">
        <v>0</v>
      </c>
      <c r="G148" s="2">
        <v>20</v>
      </c>
      <c r="H148" s="4">
        <v>140000</v>
      </c>
      <c r="I148" s="4">
        <f t="shared" si="4"/>
        <v>140000</v>
      </c>
      <c r="J148" s="5">
        <v>45192</v>
      </c>
      <c r="K148" s="3" t="s">
        <v>265</v>
      </c>
      <c r="L148" s="3" t="str">
        <f>VLOOKUP(DataSales[[#This Row],[Khách hàng]],'RFM Table'!$A:$I,9,FALSE)</f>
        <v>Khách hàng VIP</v>
      </c>
      <c r="M148" s="4">
        <f t="shared" si="5"/>
        <v>100000</v>
      </c>
      <c r="N148" s="6">
        <v>0.7142857142857143</v>
      </c>
      <c r="O148" s="2">
        <v>20</v>
      </c>
      <c r="P148" s="6">
        <v>0</v>
      </c>
      <c r="Q148" s="36">
        <v>2023</v>
      </c>
      <c r="R148" s="56">
        <f>MONTH(DataSales[[#This Row],[Ngày Xuất]])</f>
        <v>9</v>
      </c>
      <c r="S148" s="56" t="s">
        <v>774</v>
      </c>
    </row>
    <row r="149" spans="1:19" x14ac:dyDescent="0.3">
      <c r="A149" s="35">
        <v>181</v>
      </c>
      <c r="B149" s="8" t="s">
        <v>197</v>
      </c>
      <c r="C149" s="8" t="s">
        <v>198</v>
      </c>
      <c r="D149" s="8" t="s">
        <v>32</v>
      </c>
      <c r="E149" s="9">
        <v>180000</v>
      </c>
      <c r="F149" s="7">
        <v>0</v>
      </c>
      <c r="G149" s="7">
        <v>10</v>
      </c>
      <c r="H149" s="9">
        <v>220000</v>
      </c>
      <c r="I149" s="9">
        <f t="shared" si="4"/>
        <v>220000</v>
      </c>
      <c r="J149" s="10">
        <v>45192</v>
      </c>
      <c r="K149" s="8" t="s">
        <v>268</v>
      </c>
      <c r="L149" s="8" t="str">
        <f>VLOOKUP(DataSales[[#This Row],[Khách hàng]],'RFM Table'!$A:$I,9,FALSE)</f>
        <v>Khách hàng VIP</v>
      </c>
      <c r="M149" s="9">
        <f t="shared" si="5"/>
        <v>40000</v>
      </c>
      <c r="N149" s="11">
        <v>0.1818181818181818</v>
      </c>
      <c r="O149" s="7">
        <v>10</v>
      </c>
      <c r="P149" s="11">
        <v>0</v>
      </c>
      <c r="Q149" s="37">
        <v>2023</v>
      </c>
      <c r="R149" s="56">
        <f>MONTH(DataSales[[#This Row],[Ngày Xuất]])</f>
        <v>9</v>
      </c>
      <c r="S149" s="56" t="s">
        <v>779</v>
      </c>
    </row>
    <row r="150" spans="1:19" x14ac:dyDescent="0.3">
      <c r="A150" s="34">
        <v>182</v>
      </c>
      <c r="B150" s="3" t="s">
        <v>269</v>
      </c>
      <c r="C150" s="3" t="s">
        <v>270</v>
      </c>
      <c r="D150" s="3" t="s">
        <v>32</v>
      </c>
      <c r="E150" s="4">
        <v>265008</v>
      </c>
      <c r="F150" s="2">
        <v>0</v>
      </c>
      <c r="G150" s="2">
        <v>12</v>
      </c>
      <c r="H150" s="4">
        <v>360000</v>
      </c>
      <c r="I150" s="4">
        <f t="shared" si="4"/>
        <v>360000</v>
      </c>
      <c r="J150" s="5">
        <v>45192</v>
      </c>
      <c r="K150" s="3" t="s">
        <v>268</v>
      </c>
      <c r="L150" s="3" t="str">
        <f>VLOOKUP(DataSales[[#This Row],[Khách hàng]],'RFM Table'!$A:$I,9,FALSE)</f>
        <v>Khách hàng VIP</v>
      </c>
      <c r="M150" s="4">
        <f t="shared" si="5"/>
        <v>94992</v>
      </c>
      <c r="N150" s="6">
        <v>0.26386666666666669</v>
      </c>
      <c r="O150" s="2">
        <v>12</v>
      </c>
      <c r="P150" s="6">
        <v>0</v>
      </c>
      <c r="Q150" s="36">
        <v>2023</v>
      </c>
      <c r="R150" s="56">
        <f>MONTH(DataSales[[#This Row],[Ngày Xuất]])</f>
        <v>9</v>
      </c>
      <c r="S150" s="56" t="s">
        <v>779</v>
      </c>
    </row>
    <row r="151" spans="1:19" x14ac:dyDescent="0.3">
      <c r="A151" s="35">
        <v>183</v>
      </c>
      <c r="B151" s="8" t="s">
        <v>65</v>
      </c>
      <c r="C151" s="8" t="s">
        <v>66</v>
      </c>
      <c r="D151" s="8" t="s">
        <v>18</v>
      </c>
      <c r="E151" s="9">
        <v>200010</v>
      </c>
      <c r="F151" s="7">
        <v>0</v>
      </c>
      <c r="G151" s="7">
        <v>30</v>
      </c>
      <c r="H151" s="9">
        <v>210000</v>
      </c>
      <c r="I151" s="9">
        <f t="shared" si="4"/>
        <v>210000</v>
      </c>
      <c r="J151" s="10">
        <v>45192</v>
      </c>
      <c r="K151" s="8" t="s">
        <v>268</v>
      </c>
      <c r="L151" s="8" t="str">
        <f>VLOOKUP(DataSales[[#This Row],[Khách hàng]],'RFM Table'!$A:$I,9,FALSE)</f>
        <v>Khách hàng VIP</v>
      </c>
      <c r="M151" s="9">
        <f t="shared" si="5"/>
        <v>9990</v>
      </c>
      <c r="N151" s="11">
        <v>4.757142857142857E-2</v>
      </c>
      <c r="O151" s="7">
        <v>30</v>
      </c>
      <c r="P151" s="11">
        <v>0</v>
      </c>
      <c r="Q151" s="37">
        <v>2023</v>
      </c>
      <c r="R151" s="56">
        <f>MONTH(DataSales[[#This Row],[Ngày Xuất]])</f>
        <v>9</v>
      </c>
      <c r="S151" s="56" t="s">
        <v>772</v>
      </c>
    </row>
    <row r="152" spans="1:19" x14ac:dyDescent="0.3">
      <c r="A152" s="34">
        <v>184</v>
      </c>
      <c r="B152" s="3" t="s">
        <v>16</v>
      </c>
      <c r="C152" s="3" t="s">
        <v>17</v>
      </c>
      <c r="D152" s="3" t="s">
        <v>18</v>
      </c>
      <c r="E152" s="4">
        <v>345600</v>
      </c>
      <c r="F152" s="2">
        <v>4</v>
      </c>
      <c r="G152" s="2">
        <v>48</v>
      </c>
      <c r="H152" s="4">
        <v>532000</v>
      </c>
      <c r="I152" s="4">
        <f t="shared" si="4"/>
        <v>532000</v>
      </c>
      <c r="J152" s="5">
        <v>45192</v>
      </c>
      <c r="K152" s="3" t="s">
        <v>96</v>
      </c>
      <c r="L152" s="3" t="str">
        <f>VLOOKUP(DataSales[[#This Row],[Khách hàng]],'RFM Table'!$A:$I,9,FALSE)</f>
        <v>Khách hàng VIP</v>
      </c>
      <c r="M152" s="4">
        <f t="shared" si="5"/>
        <v>186400</v>
      </c>
      <c r="N152" s="6">
        <v>0.35037593984962412</v>
      </c>
      <c r="O152" s="2">
        <v>52</v>
      </c>
      <c r="P152" s="6">
        <v>7.6923076923076927E-2</v>
      </c>
      <c r="Q152" s="36">
        <v>2023</v>
      </c>
      <c r="R152" s="56">
        <f>MONTH(DataSales[[#This Row],[Ngày Xuất]])</f>
        <v>9</v>
      </c>
      <c r="S152" s="56" t="s">
        <v>772</v>
      </c>
    </row>
    <row r="153" spans="1:19" x14ac:dyDescent="0.3">
      <c r="A153" s="35">
        <v>185</v>
      </c>
      <c r="B153" s="8" t="s">
        <v>271</v>
      </c>
      <c r="C153" s="8" t="s">
        <v>272</v>
      </c>
      <c r="D153" s="8" t="s">
        <v>22</v>
      </c>
      <c r="E153" s="9">
        <v>131112</v>
      </c>
      <c r="F153" s="7">
        <v>1</v>
      </c>
      <c r="G153" s="7">
        <v>8</v>
      </c>
      <c r="H153" s="9">
        <v>178000</v>
      </c>
      <c r="I153" s="9">
        <f t="shared" si="4"/>
        <v>178000</v>
      </c>
      <c r="J153" s="10">
        <v>45192</v>
      </c>
      <c r="K153" s="8" t="s">
        <v>225</v>
      </c>
      <c r="L153" s="8" t="str">
        <f>VLOOKUP(DataSales[[#This Row],[Khách hàng]],'RFM Table'!$A:$I,9,FALSE)</f>
        <v>Khách hàng Cần chú ý</v>
      </c>
      <c r="M153" s="9">
        <f t="shared" si="5"/>
        <v>46888</v>
      </c>
      <c r="N153" s="11">
        <v>0.26341573033707871</v>
      </c>
      <c r="O153" s="7">
        <v>9</v>
      </c>
      <c r="P153" s="11">
        <v>0.1111111111111111</v>
      </c>
      <c r="Q153" s="37">
        <v>2023</v>
      </c>
      <c r="R153" s="56">
        <f>MONTH(DataSales[[#This Row],[Ngày Xuất]])</f>
        <v>9</v>
      </c>
      <c r="S153" s="56" t="s">
        <v>773</v>
      </c>
    </row>
    <row r="154" spans="1:19" x14ac:dyDescent="0.3">
      <c r="A154" s="34">
        <v>187</v>
      </c>
      <c r="B154" s="3" t="s">
        <v>121</v>
      </c>
      <c r="C154" s="3" t="s">
        <v>122</v>
      </c>
      <c r="D154" s="3" t="s">
        <v>47</v>
      </c>
      <c r="E154" s="4">
        <v>600000</v>
      </c>
      <c r="F154" s="2">
        <v>0</v>
      </c>
      <c r="G154" s="2">
        <v>6</v>
      </c>
      <c r="H154" s="4">
        <v>1308000</v>
      </c>
      <c r="I154" s="4">
        <f t="shared" si="4"/>
        <v>1308000</v>
      </c>
      <c r="J154" s="5">
        <v>45192</v>
      </c>
      <c r="K154" s="3" t="s">
        <v>273</v>
      </c>
      <c r="L154" s="3" t="str">
        <f>VLOOKUP(DataSales[[#This Row],[Khách hàng]],'RFM Table'!$A:$I,9,FALSE)</f>
        <v>Khách hàng Trung thành</v>
      </c>
      <c r="M154" s="4">
        <f t="shared" si="5"/>
        <v>708000</v>
      </c>
      <c r="N154" s="6">
        <v>0.54128440366972475</v>
      </c>
      <c r="O154" s="2">
        <v>6</v>
      </c>
      <c r="P154" s="6">
        <v>0</v>
      </c>
      <c r="Q154" s="36">
        <v>2023</v>
      </c>
      <c r="R154" s="56">
        <f>MONTH(DataSales[[#This Row],[Ngày Xuất]])</f>
        <v>9</v>
      </c>
      <c r="S154" s="56" t="s">
        <v>779</v>
      </c>
    </row>
    <row r="155" spans="1:19" x14ac:dyDescent="0.3">
      <c r="A155" s="35">
        <v>188</v>
      </c>
      <c r="B155" s="8" t="s">
        <v>86</v>
      </c>
      <c r="C155" s="8" t="s">
        <v>87</v>
      </c>
      <c r="D155" s="8" t="s">
        <v>22</v>
      </c>
      <c r="E155" s="9">
        <v>190008</v>
      </c>
      <c r="F155" s="7">
        <v>0</v>
      </c>
      <c r="G155" s="7">
        <v>12</v>
      </c>
      <c r="H155" s="9">
        <v>312000</v>
      </c>
      <c r="I155" s="9">
        <f t="shared" si="4"/>
        <v>312000</v>
      </c>
      <c r="J155" s="10">
        <v>45192</v>
      </c>
      <c r="K155" s="8" t="s">
        <v>274</v>
      </c>
      <c r="L155" s="8" t="str">
        <f>VLOOKUP(DataSales[[#This Row],[Khách hàng]],'RFM Table'!$A:$I,9,FALSE)</f>
        <v>Khách hàng Cần chú ý</v>
      </c>
      <c r="M155" s="9">
        <f t="shared" si="5"/>
        <v>121992</v>
      </c>
      <c r="N155" s="11">
        <v>0.39100000000000001</v>
      </c>
      <c r="O155" s="7">
        <v>12</v>
      </c>
      <c r="P155" s="11">
        <v>0</v>
      </c>
      <c r="Q155" s="37">
        <v>2023</v>
      </c>
      <c r="R155" s="56">
        <f>MONTH(DataSales[[#This Row],[Ngày Xuất]])</f>
        <v>9</v>
      </c>
      <c r="S155" s="56" t="s">
        <v>773</v>
      </c>
    </row>
    <row r="156" spans="1:19" x14ac:dyDescent="0.3">
      <c r="A156" s="34">
        <v>189</v>
      </c>
      <c r="B156" s="3" t="s">
        <v>187</v>
      </c>
      <c r="C156" s="3" t="s">
        <v>188</v>
      </c>
      <c r="D156" s="3" t="s">
        <v>18</v>
      </c>
      <c r="E156" s="4">
        <v>225000</v>
      </c>
      <c r="F156" s="2">
        <v>0</v>
      </c>
      <c r="G156" s="2">
        <v>30</v>
      </c>
      <c r="H156" s="4">
        <v>330000</v>
      </c>
      <c r="I156" s="4">
        <f t="shared" si="4"/>
        <v>330000</v>
      </c>
      <c r="J156" s="5">
        <v>45192</v>
      </c>
      <c r="K156" s="3" t="s">
        <v>61</v>
      </c>
      <c r="L156" s="3" t="str">
        <f>VLOOKUP(DataSales[[#This Row],[Khách hàng]],'RFM Table'!$A:$I,9,FALSE)</f>
        <v>Khách hàng Trung thành</v>
      </c>
      <c r="M156" s="4">
        <f t="shared" si="5"/>
        <v>105000</v>
      </c>
      <c r="N156" s="6">
        <v>0.31818181818181818</v>
      </c>
      <c r="O156" s="2">
        <v>30</v>
      </c>
      <c r="P156" s="6">
        <v>0</v>
      </c>
      <c r="Q156" s="36">
        <v>2023</v>
      </c>
      <c r="R156" s="56">
        <f>MONTH(DataSales[[#This Row],[Ngày Xuất]])</f>
        <v>9</v>
      </c>
      <c r="S156" s="56" t="s">
        <v>772</v>
      </c>
    </row>
    <row r="157" spans="1:19" x14ac:dyDescent="0.3">
      <c r="A157" s="35">
        <v>191</v>
      </c>
      <c r="B157" s="8" t="s">
        <v>275</v>
      </c>
      <c r="C157" s="8" t="s">
        <v>276</v>
      </c>
      <c r="D157" s="8" t="s">
        <v>92</v>
      </c>
      <c r="E157" s="9">
        <v>232810</v>
      </c>
      <c r="F157" s="7">
        <v>0</v>
      </c>
      <c r="G157" s="7">
        <v>10</v>
      </c>
      <c r="H157" s="9">
        <v>325000</v>
      </c>
      <c r="I157" s="9">
        <f t="shared" si="4"/>
        <v>325000</v>
      </c>
      <c r="J157" s="10">
        <v>45192</v>
      </c>
      <c r="K157" s="8" t="s">
        <v>61</v>
      </c>
      <c r="L157" s="8" t="str">
        <f>VLOOKUP(DataSales[[#This Row],[Khách hàng]],'RFM Table'!$A:$I,9,FALSE)</f>
        <v>Khách hàng Trung thành</v>
      </c>
      <c r="M157" s="9">
        <f t="shared" si="5"/>
        <v>92190</v>
      </c>
      <c r="N157" s="11">
        <v>0.28366153846153852</v>
      </c>
      <c r="O157" s="7">
        <v>10</v>
      </c>
      <c r="P157" s="11">
        <v>0</v>
      </c>
      <c r="Q157" s="37">
        <v>2023</v>
      </c>
      <c r="R157" s="56">
        <f>MONTH(DataSales[[#This Row],[Ngày Xuất]])</f>
        <v>9</v>
      </c>
      <c r="S157" s="56" t="s">
        <v>776</v>
      </c>
    </row>
    <row r="158" spans="1:19" x14ac:dyDescent="0.3">
      <c r="A158" s="34">
        <v>192</v>
      </c>
      <c r="B158" s="3" t="s">
        <v>271</v>
      </c>
      <c r="C158" s="3" t="s">
        <v>272</v>
      </c>
      <c r="D158" s="3" t="s">
        <v>22</v>
      </c>
      <c r="E158" s="4">
        <v>131112</v>
      </c>
      <c r="F158" s="2">
        <v>1</v>
      </c>
      <c r="G158" s="2">
        <v>8</v>
      </c>
      <c r="H158" s="4">
        <v>178000</v>
      </c>
      <c r="I158" s="4">
        <f t="shared" si="4"/>
        <v>178000</v>
      </c>
      <c r="J158" s="5">
        <v>45192</v>
      </c>
      <c r="K158" s="3" t="s">
        <v>277</v>
      </c>
      <c r="L158" s="3" t="str">
        <f>VLOOKUP(DataSales[[#This Row],[Khách hàng]],'RFM Table'!$A:$I,9,FALSE)</f>
        <v>Khách hàng Cần chú ý</v>
      </c>
      <c r="M158" s="4">
        <f t="shared" si="5"/>
        <v>46888</v>
      </c>
      <c r="N158" s="6">
        <v>0.26341573033707871</v>
      </c>
      <c r="O158" s="2">
        <v>9</v>
      </c>
      <c r="P158" s="6">
        <v>0.1111111111111111</v>
      </c>
      <c r="Q158" s="36">
        <v>2023</v>
      </c>
      <c r="R158" s="56">
        <f>MONTH(DataSales[[#This Row],[Ngày Xuất]])</f>
        <v>9</v>
      </c>
      <c r="S158" s="56" t="s">
        <v>773</v>
      </c>
    </row>
    <row r="159" spans="1:19" x14ac:dyDescent="0.3">
      <c r="A159" s="35">
        <v>193</v>
      </c>
      <c r="B159" s="8" t="s">
        <v>65</v>
      </c>
      <c r="C159" s="8" t="s">
        <v>66</v>
      </c>
      <c r="D159" s="8" t="s">
        <v>18</v>
      </c>
      <c r="E159" s="9">
        <v>200010</v>
      </c>
      <c r="F159" s="7">
        <v>0</v>
      </c>
      <c r="G159" s="7">
        <v>30</v>
      </c>
      <c r="H159" s="9">
        <v>240000</v>
      </c>
      <c r="I159" s="9">
        <f t="shared" si="4"/>
        <v>240000</v>
      </c>
      <c r="J159" s="10">
        <v>45192</v>
      </c>
      <c r="K159" s="8" t="s">
        <v>64</v>
      </c>
      <c r="L159" s="8" t="str">
        <f>VLOOKUP(DataSales[[#This Row],[Khách hàng]],'RFM Table'!$A:$I,9,FALSE)</f>
        <v>Khách hàng Trung thành</v>
      </c>
      <c r="M159" s="9">
        <f t="shared" si="5"/>
        <v>39990</v>
      </c>
      <c r="N159" s="11">
        <v>0.166625</v>
      </c>
      <c r="O159" s="7">
        <v>30</v>
      </c>
      <c r="P159" s="11">
        <v>0</v>
      </c>
      <c r="Q159" s="37">
        <v>2023</v>
      </c>
      <c r="R159" s="56">
        <f>MONTH(DataSales[[#This Row],[Ngày Xuất]])</f>
        <v>9</v>
      </c>
      <c r="S159" s="56" t="s">
        <v>772</v>
      </c>
    </row>
    <row r="160" spans="1:19" x14ac:dyDescent="0.3">
      <c r="A160" s="34">
        <v>197</v>
      </c>
      <c r="B160" s="3" t="s">
        <v>278</v>
      </c>
      <c r="C160" s="3" t="s">
        <v>279</v>
      </c>
      <c r="D160" s="3" t="s">
        <v>22</v>
      </c>
      <c r="E160" s="4">
        <v>950880</v>
      </c>
      <c r="F160" s="2">
        <v>0</v>
      </c>
      <c r="G160" s="2">
        <v>120</v>
      </c>
      <c r="H160" s="4">
        <v>1380000</v>
      </c>
      <c r="I160" s="4">
        <f t="shared" si="4"/>
        <v>1380000</v>
      </c>
      <c r="J160" s="5">
        <v>45196</v>
      </c>
      <c r="K160" s="3" t="s">
        <v>280</v>
      </c>
      <c r="L160" s="3" t="str">
        <f>VLOOKUP(DataSales[[#This Row],[Khách hàng]],'RFM Table'!$A:$I,9,FALSE)</f>
        <v>Khách hàng Cần chú ý</v>
      </c>
      <c r="M160" s="4">
        <f t="shared" si="5"/>
        <v>429120</v>
      </c>
      <c r="N160" s="6">
        <v>0.31095652173913041</v>
      </c>
      <c r="O160" s="2">
        <v>120</v>
      </c>
      <c r="P160" s="6">
        <v>0</v>
      </c>
      <c r="Q160" s="36">
        <v>2023</v>
      </c>
      <c r="R160" s="56">
        <f>MONTH(DataSales[[#This Row],[Ngày Xuất]])</f>
        <v>9</v>
      </c>
      <c r="S160" s="56" t="s">
        <v>773</v>
      </c>
    </row>
    <row r="161" spans="1:19" x14ac:dyDescent="0.3">
      <c r="A161" s="35">
        <v>198</v>
      </c>
      <c r="B161" s="8" t="s">
        <v>281</v>
      </c>
      <c r="C161" s="8" t="s">
        <v>282</v>
      </c>
      <c r="D161" s="8" t="s">
        <v>47</v>
      </c>
      <c r="E161" s="9">
        <v>42084</v>
      </c>
      <c r="F161" s="7">
        <v>0</v>
      </c>
      <c r="G161" s="7">
        <v>1</v>
      </c>
      <c r="H161" s="9">
        <v>48000</v>
      </c>
      <c r="I161" s="9">
        <f t="shared" si="4"/>
        <v>48000</v>
      </c>
      <c r="J161" s="10">
        <v>45197</v>
      </c>
      <c r="K161" s="8" t="s">
        <v>150</v>
      </c>
      <c r="L161" s="8" t="str">
        <f>VLOOKUP(DataSales[[#This Row],[Khách hàng]],'RFM Table'!$A:$I,9,FALSE)</f>
        <v>Khách hàng Trung thành</v>
      </c>
      <c r="M161" s="9">
        <f t="shared" si="5"/>
        <v>5916</v>
      </c>
      <c r="N161" s="11">
        <v>0.12325</v>
      </c>
      <c r="O161" s="7">
        <v>1</v>
      </c>
      <c r="P161" s="11">
        <v>0</v>
      </c>
      <c r="Q161" s="37">
        <v>2023</v>
      </c>
      <c r="R161" s="56">
        <f>MONTH(DataSales[[#This Row],[Ngày Xuất]])</f>
        <v>9</v>
      </c>
      <c r="S161" s="56" t="s">
        <v>780</v>
      </c>
    </row>
    <row r="162" spans="1:19" x14ac:dyDescent="0.3">
      <c r="A162" s="34">
        <v>199</v>
      </c>
      <c r="B162" s="3" t="s">
        <v>283</v>
      </c>
      <c r="C162" s="3" t="s">
        <v>284</v>
      </c>
      <c r="D162" s="3" t="s">
        <v>47</v>
      </c>
      <c r="E162" s="4">
        <v>42084</v>
      </c>
      <c r="F162" s="2">
        <v>0</v>
      </c>
      <c r="G162" s="2">
        <v>1</v>
      </c>
      <c r="H162" s="4">
        <v>48000</v>
      </c>
      <c r="I162" s="4">
        <f t="shared" si="4"/>
        <v>48000</v>
      </c>
      <c r="J162" s="5">
        <v>45197</v>
      </c>
      <c r="K162" s="3" t="s">
        <v>150</v>
      </c>
      <c r="L162" s="3" t="str">
        <f>VLOOKUP(DataSales[[#This Row],[Khách hàng]],'RFM Table'!$A:$I,9,FALSE)</f>
        <v>Khách hàng Trung thành</v>
      </c>
      <c r="M162" s="4">
        <f t="shared" si="5"/>
        <v>5916</v>
      </c>
      <c r="N162" s="6">
        <v>0.12325</v>
      </c>
      <c r="O162" s="2">
        <v>1</v>
      </c>
      <c r="P162" s="6">
        <v>0</v>
      </c>
      <c r="Q162" s="36">
        <v>2023</v>
      </c>
      <c r="R162" s="56">
        <f>MONTH(DataSales[[#This Row],[Ngày Xuất]])</f>
        <v>9</v>
      </c>
      <c r="S162" s="56" t="s">
        <v>780</v>
      </c>
    </row>
    <row r="163" spans="1:19" x14ac:dyDescent="0.3">
      <c r="A163" s="35">
        <v>201</v>
      </c>
      <c r="B163" s="8" t="s">
        <v>285</v>
      </c>
      <c r="C163" s="8" t="s">
        <v>286</v>
      </c>
      <c r="D163" s="8" t="s">
        <v>18</v>
      </c>
      <c r="E163" s="9">
        <v>90000</v>
      </c>
      <c r="F163" s="7">
        <v>0</v>
      </c>
      <c r="G163" s="7">
        <v>25</v>
      </c>
      <c r="H163" s="9">
        <v>100000</v>
      </c>
      <c r="I163" s="9">
        <f t="shared" si="4"/>
        <v>100000</v>
      </c>
      <c r="J163" s="10">
        <v>45197</v>
      </c>
      <c r="K163" s="8" t="s">
        <v>287</v>
      </c>
      <c r="L163" s="8" t="str">
        <f>VLOOKUP(DataSales[[#This Row],[Khách hàng]],'RFM Table'!$A:$I,9,FALSE)</f>
        <v>Khách hàng Trung thành</v>
      </c>
      <c r="M163" s="9">
        <f t="shared" si="5"/>
        <v>10000</v>
      </c>
      <c r="N163" s="11">
        <v>0.1</v>
      </c>
      <c r="O163" s="7">
        <v>25</v>
      </c>
      <c r="P163" s="11">
        <v>0</v>
      </c>
      <c r="Q163" s="37">
        <v>2023</v>
      </c>
      <c r="R163" s="56">
        <f>MONTH(DataSales[[#This Row],[Ngày Xuất]])</f>
        <v>9</v>
      </c>
      <c r="S163" s="56" t="s">
        <v>776</v>
      </c>
    </row>
    <row r="164" spans="1:19" x14ac:dyDescent="0.3">
      <c r="A164" s="34">
        <v>202</v>
      </c>
      <c r="B164" s="3" t="s">
        <v>288</v>
      </c>
      <c r="C164" s="3" t="s">
        <v>289</v>
      </c>
      <c r="D164" s="3" t="s">
        <v>18</v>
      </c>
      <c r="E164" s="4">
        <v>90000</v>
      </c>
      <c r="F164" s="2">
        <v>0</v>
      </c>
      <c r="G164" s="2">
        <v>25</v>
      </c>
      <c r="H164" s="4">
        <v>100000</v>
      </c>
      <c r="I164" s="4">
        <f t="shared" si="4"/>
        <v>100000</v>
      </c>
      <c r="J164" s="5">
        <v>45197</v>
      </c>
      <c r="K164" s="3" t="s">
        <v>287</v>
      </c>
      <c r="L164" s="3" t="str">
        <f>VLOOKUP(DataSales[[#This Row],[Khách hàng]],'RFM Table'!$A:$I,9,FALSE)</f>
        <v>Khách hàng Trung thành</v>
      </c>
      <c r="M164" s="4">
        <f t="shared" si="5"/>
        <v>10000</v>
      </c>
      <c r="N164" s="6">
        <v>0.1</v>
      </c>
      <c r="O164" s="2">
        <v>25</v>
      </c>
      <c r="P164" s="6">
        <v>0</v>
      </c>
      <c r="Q164" s="36">
        <v>2023</v>
      </c>
      <c r="R164" s="56">
        <f>MONTH(DataSales[[#This Row],[Ngày Xuất]])</f>
        <v>9</v>
      </c>
      <c r="S164" s="56" t="s">
        <v>776</v>
      </c>
    </row>
    <row r="165" spans="1:19" x14ac:dyDescent="0.3">
      <c r="A165" s="35">
        <v>203</v>
      </c>
      <c r="B165" s="8" t="s">
        <v>290</v>
      </c>
      <c r="C165" s="8" t="s">
        <v>291</v>
      </c>
      <c r="D165" s="8" t="s">
        <v>92</v>
      </c>
      <c r="E165" s="9">
        <v>22000</v>
      </c>
      <c r="F165" s="7">
        <v>0</v>
      </c>
      <c r="G165" s="7">
        <v>5</v>
      </c>
      <c r="H165" s="9">
        <v>30000</v>
      </c>
      <c r="I165" s="9">
        <f t="shared" si="4"/>
        <v>30000</v>
      </c>
      <c r="J165" s="10">
        <v>45197</v>
      </c>
      <c r="K165" s="8" t="s">
        <v>287</v>
      </c>
      <c r="L165" s="8" t="str">
        <f>VLOOKUP(DataSales[[#This Row],[Khách hàng]],'RFM Table'!$A:$I,9,FALSE)</f>
        <v>Khách hàng Trung thành</v>
      </c>
      <c r="M165" s="9">
        <f t="shared" si="5"/>
        <v>8000</v>
      </c>
      <c r="N165" s="11">
        <v>0.26666666666666672</v>
      </c>
      <c r="O165" s="7">
        <v>5</v>
      </c>
      <c r="P165" s="11">
        <v>0</v>
      </c>
      <c r="Q165" s="37">
        <v>2023</v>
      </c>
      <c r="R165" s="56">
        <f>MONTH(DataSales[[#This Row],[Ngày Xuất]])</f>
        <v>9</v>
      </c>
      <c r="S165" s="56" t="s">
        <v>772</v>
      </c>
    </row>
    <row r="166" spans="1:19" x14ac:dyDescent="0.3">
      <c r="A166" s="34">
        <v>204</v>
      </c>
      <c r="B166" s="3" t="s">
        <v>292</v>
      </c>
      <c r="C166" s="3" t="s">
        <v>293</v>
      </c>
      <c r="D166" s="3" t="s">
        <v>18</v>
      </c>
      <c r="E166" s="4">
        <v>105000</v>
      </c>
      <c r="F166" s="2">
        <v>0</v>
      </c>
      <c r="G166" s="2">
        <v>20</v>
      </c>
      <c r="H166" s="4">
        <v>140000</v>
      </c>
      <c r="I166" s="4">
        <f t="shared" si="4"/>
        <v>140000</v>
      </c>
      <c r="J166" s="5">
        <v>45197</v>
      </c>
      <c r="K166" s="3" t="s">
        <v>287</v>
      </c>
      <c r="L166" s="3" t="str">
        <f>VLOOKUP(DataSales[[#This Row],[Khách hàng]],'RFM Table'!$A:$I,9,FALSE)</f>
        <v>Khách hàng Trung thành</v>
      </c>
      <c r="M166" s="4">
        <f t="shared" si="5"/>
        <v>35000</v>
      </c>
      <c r="N166" s="6">
        <v>0.25</v>
      </c>
      <c r="O166" s="2">
        <v>20</v>
      </c>
      <c r="P166" s="6">
        <v>0</v>
      </c>
      <c r="Q166" s="36">
        <v>2023</v>
      </c>
      <c r="R166" s="56">
        <f>MONTH(DataSales[[#This Row],[Ngày Xuất]])</f>
        <v>9</v>
      </c>
      <c r="S166" s="56" t="s">
        <v>776</v>
      </c>
    </row>
    <row r="167" spans="1:19" x14ac:dyDescent="0.3">
      <c r="A167" s="35">
        <v>205</v>
      </c>
      <c r="B167" s="8" t="s">
        <v>124</v>
      </c>
      <c r="C167" s="8" t="s">
        <v>125</v>
      </c>
      <c r="D167" s="8" t="s">
        <v>18</v>
      </c>
      <c r="E167" s="9">
        <v>40000</v>
      </c>
      <c r="F167" s="7">
        <v>0</v>
      </c>
      <c r="G167" s="7">
        <v>10</v>
      </c>
      <c r="H167" s="9">
        <v>65000</v>
      </c>
      <c r="I167" s="9">
        <f t="shared" si="4"/>
        <v>65000</v>
      </c>
      <c r="J167" s="10">
        <v>45197</v>
      </c>
      <c r="K167" s="8" t="s">
        <v>287</v>
      </c>
      <c r="L167" s="8" t="str">
        <f>VLOOKUP(DataSales[[#This Row],[Khách hàng]],'RFM Table'!$A:$I,9,FALSE)</f>
        <v>Khách hàng Trung thành</v>
      </c>
      <c r="M167" s="9">
        <f t="shared" si="5"/>
        <v>25000</v>
      </c>
      <c r="N167" s="11">
        <v>0.38461538461538458</v>
      </c>
      <c r="O167" s="7">
        <v>10</v>
      </c>
      <c r="P167" s="11">
        <v>0</v>
      </c>
      <c r="Q167" s="37">
        <v>2023</v>
      </c>
      <c r="R167" s="56">
        <f>MONTH(DataSales[[#This Row],[Ngày Xuất]])</f>
        <v>9</v>
      </c>
      <c r="S167" s="56" t="s">
        <v>775</v>
      </c>
    </row>
    <row r="168" spans="1:19" x14ac:dyDescent="0.3">
      <c r="A168" s="34">
        <v>206</v>
      </c>
      <c r="B168" s="3" t="s">
        <v>294</v>
      </c>
      <c r="C168" s="3" t="s">
        <v>295</v>
      </c>
      <c r="D168" s="3" t="s">
        <v>18</v>
      </c>
      <c r="E168" s="4">
        <v>55000</v>
      </c>
      <c r="F168" s="2">
        <v>0</v>
      </c>
      <c r="G168" s="2">
        <v>10</v>
      </c>
      <c r="H168" s="4">
        <v>65000</v>
      </c>
      <c r="I168" s="4">
        <f t="shared" si="4"/>
        <v>65000</v>
      </c>
      <c r="J168" s="5">
        <v>45197</v>
      </c>
      <c r="K168" s="3" t="s">
        <v>287</v>
      </c>
      <c r="L168" s="3" t="str">
        <f>VLOOKUP(DataSales[[#This Row],[Khách hàng]],'RFM Table'!$A:$I,9,FALSE)</f>
        <v>Khách hàng Trung thành</v>
      </c>
      <c r="M168" s="4">
        <f t="shared" si="5"/>
        <v>10000</v>
      </c>
      <c r="N168" s="6">
        <v>0.15384615384615391</v>
      </c>
      <c r="O168" s="2">
        <v>10</v>
      </c>
      <c r="P168" s="6">
        <v>0</v>
      </c>
      <c r="Q168" s="36">
        <v>2023</v>
      </c>
      <c r="R168" s="56">
        <f>MONTH(DataSales[[#This Row],[Ngày Xuất]])</f>
        <v>9</v>
      </c>
      <c r="S168" s="56" t="s">
        <v>775</v>
      </c>
    </row>
    <row r="169" spans="1:19" x14ac:dyDescent="0.3">
      <c r="A169" s="35">
        <v>207</v>
      </c>
      <c r="B169" s="8" t="s">
        <v>296</v>
      </c>
      <c r="C169" s="8" t="s">
        <v>297</v>
      </c>
      <c r="D169" s="8" t="s">
        <v>25</v>
      </c>
      <c r="E169" s="9">
        <v>115000</v>
      </c>
      <c r="F169" s="7">
        <v>0</v>
      </c>
      <c r="G169" s="7">
        <v>1</v>
      </c>
      <c r="H169" s="9">
        <v>168000</v>
      </c>
      <c r="I169" s="9">
        <f t="shared" si="4"/>
        <v>168000</v>
      </c>
      <c r="J169" s="10">
        <v>45197</v>
      </c>
      <c r="K169" s="8" t="s">
        <v>287</v>
      </c>
      <c r="L169" s="8" t="str">
        <f>VLOOKUP(DataSales[[#This Row],[Khách hàng]],'RFM Table'!$A:$I,9,FALSE)</f>
        <v>Khách hàng Trung thành</v>
      </c>
      <c r="M169" s="9">
        <f t="shared" si="5"/>
        <v>53000</v>
      </c>
      <c r="N169" s="11">
        <v>0.31547619047619052</v>
      </c>
      <c r="O169" s="7">
        <v>1</v>
      </c>
      <c r="P169" s="11">
        <v>0</v>
      </c>
      <c r="Q169" s="37">
        <v>2023</v>
      </c>
      <c r="R169" s="56">
        <f>MONTH(DataSales[[#This Row],[Ngày Xuất]])</f>
        <v>9</v>
      </c>
      <c r="S169" s="56" t="s">
        <v>773</v>
      </c>
    </row>
    <row r="170" spans="1:19" x14ac:dyDescent="0.3">
      <c r="A170" s="34">
        <v>208</v>
      </c>
      <c r="B170" s="3" t="s">
        <v>83</v>
      </c>
      <c r="C170" s="3" t="s">
        <v>84</v>
      </c>
      <c r="D170" s="3" t="s">
        <v>25</v>
      </c>
      <c r="E170" s="4">
        <v>115000</v>
      </c>
      <c r="F170" s="2">
        <v>0</v>
      </c>
      <c r="G170" s="2">
        <v>1</v>
      </c>
      <c r="H170" s="4">
        <v>168000</v>
      </c>
      <c r="I170" s="4">
        <f t="shared" si="4"/>
        <v>168000</v>
      </c>
      <c r="J170" s="5">
        <v>45197</v>
      </c>
      <c r="K170" s="3" t="s">
        <v>287</v>
      </c>
      <c r="L170" s="3" t="str">
        <f>VLOOKUP(DataSales[[#This Row],[Khách hàng]],'RFM Table'!$A:$I,9,FALSE)</f>
        <v>Khách hàng Trung thành</v>
      </c>
      <c r="M170" s="4">
        <f t="shared" si="5"/>
        <v>53000</v>
      </c>
      <c r="N170" s="6">
        <v>0.31547619047619052</v>
      </c>
      <c r="O170" s="2">
        <v>1</v>
      </c>
      <c r="P170" s="6">
        <v>0</v>
      </c>
      <c r="Q170" s="36">
        <v>2023</v>
      </c>
      <c r="R170" s="56">
        <f>MONTH(DataSales[[#This Row],[Ngày Xuất]])</f>
        <v>9</v>
      </c>
      <c r="S170" s="56" t="s">
        <v>773</v>
      </c>
    </row>
    <row r="171" spans="1:19" x14ac:dyDescent="0.3">
      <c r="A171" s="35">
        <v>209</v>
      </c>
      <c r="B171" s="8" t="s">
        <v>298</v>
      </c>
      <c r="C171" s="8" t="s">
        <v>299</v>
      </c>
      <c r="D171" s="8" t="s">
        <v>92</v>
      </c>
      <c r="E171" s="9">
        <v>74000</v>
      </c>
      <c r="F171" s="7">
        <v>0</v>
      </c>
      <c r="G171" s="7">
        <v>1</v>
      </c>
      <c r="H171" s="9">
        <v>108000</v>
      </c>
      <c r="I171" s="9">
        <f t="shared" si="4"/>
        <v>108000</v>
      </c>
      <c r="J171" s="10">
        <v>45197</v>
      </c>
      <c r="K171" s="8" t="s">
        <v>287</v>
      </c>
      <c r="L171" s="8" t="str">
        <f>VLOOKUP(DataSales[[#This Row],[Khách hàng]],'RFM Table'!$A:$I,9,FALSE)</f>
        <v>Khách hàng Trung thành</v>
      </c>
      <c r="M171" s="9">
        <f t="shared" si="5"/>
        <v>34000</v>
      </c>
      <c r="N171" s="11">
        <v>0.31481481481481483</v>
      </c>
      <c r="O171" s="7">
        <v>1</v>
      </c>
      <c r="P171" s="11">
        <v>0</v>
      </c>
      <c r="Q171" s="37">
        <v>2023</v>
      </c>
      <c r="R171" s="56">
        <f>MONTH(DataSales[[#This Row],[Ngày Xuất]])</f>
        <v>9</v>
      </c>
      <c r="S171" s="56" t="s">
        <v>773</v>
      </c>
    </row>
    <row r="172" spans="1:19" x14ac:dyDescent="0.3">
      <c r="A172" s="34">
        <v>210</v>
      </c>
      <c r="B172" s="3" t="s">
        <v>300</v>
      </c>
      <c r="C172" s="3" t="s">
        <v>301</v>
      </c>
      <c r="D172" s="3" t="s">
        <v>92</v>
      </c>
      <c r="E172" s="4">
        <v>74000</v>
      </c>
      <c r="F172" s="2">
        <v>0</v>
      </c>
      <c r="G172" s="2">
        <v>1</v>
      </c>
      <c r="H172" s="4">
        <v>108000</v>
      </c>
      <c r="I172" s="4">
        <f t="shared" si="4"/>
        <v>108000</v>
      </c>
      <c r="J172" s="5">
        <v>45197</v>
      </c>
      <c r="K172" s="3" t="s">
        <v>287</v>
      </c>
      <c r="L172" s="3" t="str">
        <f>VLOOKUP(DataSales[[#This Row],[Khách hàng]],'RFM Table'!$A:$I,9,FALSE)</f>
        <v>Khách hàng Trung thành</v>
      </c>
      <c r="M172" s="4">
        <f t="shared" si="5"/>
        <v>34000</v>
      </c>
      <c r="N172" s="6">
        <v>0.31481481481481483</v>
      </c>
      <c r="O172" s="2">
        <v>1</v>
      </c>
      <c r="P172" s="6">
        <v>0</v>
      </c>
      <c r="Q172" s="36">
        <v>2023</v>
      </c>
      <c r="R172" s="56">
        <f>MONTH(DataSales[[#This Row],[Ngày Xuất]])</f>
        <v>9</v>
      </c>
      <c r="S172" s="56" t="s">
        <v>773</v>
      </c>
    </row>
    <row r="173" spans="1:19" x14ac:dyDescent="0.3">
      <c r="A173" s="35">
        <v>211</v>
      </c>
      <c r="B173" s="8" t="s">
        <v>294</v>
      </c>
      <c r="C173" s="8" t="s">
        <v>295</v>
      </c>
      <c r="D173" s="8" t="s">
        <v>18</v>
      </c>
      <c r="E173" s="9">
        <v>55000</v>
      </c>
      <c r="F173" s="7">
        <v>0</v>
      </c>
      <c r="G173" s="7">
        <v>10</v>
      </c>
      <c r="H173" s="9">
        <v>60000</v>
      </c>
      <c r="I173" s="9">
        <f t="shared" si="4"/>
        <v>60000</v>
      </c>
      <c r="J173" s="10">
        <v>45197</v>
      </c>
      <c r="K173" s="8" t="s">
        <v>302</v>
      </c>
      <c r="L173" s="8" t="str">
        <f>VLOOKUP(DataSales[[#This Row],[Khách hàng]],'RFM Table'!$A:$I,9,FALSE)</f>
        <v>Khách hàng Cần chú ý</v>
      </c>
      <c r="M173" s="9">
        <f t="shared" si="5"/>
        <v>5000</v>
      </c>
      <c r="N173" s="11">
        <v>8.3333333333333329E-2</v>
      </c>
      <c r="O173" s="7">
        <v>10</v>
      </c>
      <c r="P173" s="11">
        <v>0</v>
      </c>
      <c r="Q173" s="37">
        <v>2023</v>
      </c>
      <c r="R173" s="56">
        <f>MONTH(DataSales[[#This Row],[Ngày Xuất]])</f>
        <v>9</v>
      </c>
      <c r="S173" s="56" t="s">
        <v>775</v>
      </c>
    </row>
    <row r="174" spans="1:19" x14ac:dyDescent="0.3">
      <c r="A174" s="34">
        <v>212</v>
      </c>
      <c r="B174" s="3" t="s">
        <v>126</v>
      </c>
      <c r="C174" s="3" t="s">
        <v>127</v>
      </c>
      <c r="D174" s="3" t="s">
        <v>18</v>
      </c>
      <c r="E174" s="4">
        <v>67500</v>
      </c>
      <c r="F174" s="2">
        <v>0</v>
      </c>
      <c r="G174" s="2">
        <v>10</v>
      </c>
      <c r="H174" s="4">
        <v>75000</v>
      </c>
      <c r="I174" s="4">
        <f t="shared" si="4"/>
        <v>75000</v>
      </c>
      <c r="J174" s="5">
        <v>45197</v>
      </c>
      <c r="K174" s="3" t="s">
        <v>302</v>
      </c>
      <c r="L174" s="3" t="str">
        <f>VLOOKUP(DataSales[[#This Row],[Khách hàng]],'RFM Table'!$A:$I,9,FALSE)</f>
        <v>Khách hàng Cần chú ý</v>
      </c>
      <c r="M174" s="4">
        <f t="shared" si="5"/>
        <v>7500</v>
      </c>
      <c r="N174" s="6">
        <v>0.1</v>
      </c>
      <c r="O174" s="2">
        <v>10</v>
      </c>
      <c r="P174" s="6">
        <v>0</v>
      </c>
      <c r="Q174" s="36">
        <v>2023</v>
      </c>
      <c r="R174" s="56">
        <f>MONTH(DataSales[[#This Row],[Ngày Xuất]])</f>
        <v>9</v>
      </c>
      <c r="S174" s="56" t="s">
        <v>772</v>
      </c>
    </row>
    <row r="175" spans="1:19" x14ac:dyDescent="0.3">
      <c r="A175" s="35">
        <v>213</v>
      </c>
      <c r="B175" s="8" t="s">
        <v>65</v>
      </c>
      <c r="C175" s="8" t="s">
        <v>66</v>
      </c>
      <c r="D175" s="8" t="s">
        <v>18</v>
      </c>
      <c r="E175" s="9">
        <v>66670</v>
      </c>
      <c r="F175" s="7">
        <v>0</v>
      </c>
      <c r="G175" s="7">
        <v>10</v>
      </c>
      <c r="H175" s="9">
        <v>75000</v>
      </c>
      <c r="I175" s="9">
        <f t="shared" si="4"/>
        <v>75000</v>
      </c>
      <c r="J175" s="10">
        <v>45197</v>
      </c>
      <c r="K175" s="8" t="s">
        <v>302</v>
      </c>
      <c r="L175" s="8" t="str">
        <f>VLOOKUP(DataSales[[#This Row],[Khách hàng]],'RFM Table'!$A:$I,9,FALSE)</f>
        <v>Khách hàng Cần chú ý</v>
      </c>
      <c r="M175" s="9">
        <f t="shared" si="5"/>
        <v>8330</v>
      </c>
      <c r="N175" s="11">
        <v>0.1110666666666667</v>
      </c>
      <c r="O175" s="7">
        <v>10</v>
      </c>
      <c r="P175" s="11">
        <v>0</v>
      </c>
      <c r="Q175" s="37">
        <v>2023</v>
      </c>
      <c r="R175" s="56">
        <f>MONTH(DataSales[[#This Row],[Ngày Xuất]])</f>
        <v>9</v>
      </c>
      <c r="S175" s="56" t="s">
        <v>772</v>
      </c>
    </row>
    <row r="176" spans="1:19" x14ac:dyDescent="0.3">
      <c r="A176" s="34">
        <v>214</v>
      </c>
      <c r="B176" s="3" t="s">
        <v>70</v>
      </c>
      <c r="C176" s="3" t="s">
        <v>71</v>
      </c>
      <c r="D176" s="3" t="s">
        <v>72</v>
      </c>
      <c r="E176" s="4">
        <v>82500</v>
      </c>
      <c r="F176" s="2">
        <v>0</v>
      </c>
      <c r="G176" s="2">
        <v>15</v>
      </c>
      <c r="H176" s="4">
        <v>97500</v>
      </c>
      <c r="I176" s="4">
        <f t="shared" si="4"/>
        <v>97500</v>
      </c>
      <c r="J176" s="5">
        <v>45197</v>
      </c>
      <c r="K176" s="3" t="s">
        <v>303</v>
      </c>
      <c r="L176" s="3" t="str">
        <f>VLOOKUP(DataSales[[#This Row],[Khách hàng]],'RFM Table'!$A:$I,9,FALSE)</f>
        <v>Khách hàng Trung thành</v>
      </c>
      <c r="M176" s="4">
        <f t="shared" si="5"/>
        <v>15000</v>
      </c>
      <c r="N176" s="6">
        <v>0.15384615384615391</v>
      </c>
      <c r="O176" s="2">
        <v>15</v>
      </c>
      <c r="P176" s="6">
        <v>0</v>
      </c>
      <c r="Q176" s="36">
        <v>2023</v>
      </c>
      <c r="R176" s="56">
        <f>MONTH(DataSales[[#This Row],[Ngày Xuất]])</f>
        <v>9</v>
      </c>
      <c r="S176" s="56" t="s">
        <v>776</v>
      </c>
    </row>
    <row r="177" spans="1:19" x14ac:dyDescent="0.3">
      <c r="A177" s="35">
        <v>215</v>
      </c>
      <c r="B177" s="8" t="s">
        <v>74</v>
      </c>
      <c r="C177" s="8" t="s">
        <v>75</v>
      </c>
      <c r="D177" s="8" t="s">
        <v>72</v>
      </c>
      <c r="E177" s="9">
        <v>82500</v>
      </c>
      <c r="F177" s="7">
        <v>0</v>
      </c>
      <c r="G177" s="7">
        <v>15</v>
      </c>
      <c r="H177" s="9">
        <v>97500</v>
      </c>
      <c r="I177" s="9">
        <f t="shared" si="4"/>
        <v>97500</v>
      </c>
      <c r="J177" s="10">
        <v>45197</v>
      </c>
      <c r="K177" s="8" t="s">
        <v>303</v>
      </c>
      <c r="L177" s="8" t="str">
        <f>VLOOKUP(DataSales[[#This Row],[Khách hàng]],'RFM Table'!$A:$I,9,FALSE)</f>
        <v>Khách hàng Trung thành</v>
      </c>
      <c r="M177" s="9">
        <f t="shared" si="5"/>
        <v>15000</v>
      </c>
      <c r="N177" s="11">
        <v>0.15384615384615391</v>
      </c>
      <c r="O177" s="7">
        <v>15</v>
      </c>
      <c r="P177" s="11">
        <v>0</v>
      </c>
      <c r="Q177" s="37">
        <v>2023</v>
      </c>
      <c r="R177" s="56">
        <f>MONTH(DataSales[[#This Row],[Ngày Xuất]])</f>
        <v>9</v>
      </c>
      <c r="S177" s="56" t="s">
        <v>776</v>
      </c>
    </row>
    <row r="178" spans="1:19" x14ac:dyDescent="0.3">
      <c r="A178" s="34">
        <v>216</v>
      </c>
      <c r="B178" s="3" t="s">
        <v>304</v>
      </c>
      <c r="C178" s="3" t="s">
        <v>305</v>
      </c>
      <c r="D178" s="3" t="s">
        <v>55</v>
      </c>
      <c r="E178" s="4">
        <v>24000</v>
      </c>
      <c r="F178" s="2">
        <v>0</v>
      </c>
      <c r="G178" s="2">
        <v>1</v>
      </c>
      <c r="H178" s="4">
        <v>30000</v>
      </c>
      <c r="I178" s="4">
        <f t="shared" si="4"/>
        <v>30000</v>
      </c>
      <c r="J178" s="5">
        <v>45197</v>
      </c>
      <c r="K178" s="3" t="s">
        <v>303</v>
      </c>
      <c r="L178" s="3" t="str">
        <f>VLOOKUP(DataSales[[#This Row],[Khách hàng]],'RFM Table'!$A:$I,9,FALSE)</f>
        <v>Khách hàng Trung thành</v>
      </c>
      <c r="M178" s="4">
        <f t="shared" si="5"/>
        <v>6000</v>
      </c>
      <c r="N178" s="6">
        <v>0.2</v>
      </c>
      <c r="O178" s="2">
        <v>1</v>
      </c>
      <c r="P178" s="6">
        <v>0</v>
      </c>
      <c r="Q178" s="36">
        <v>2023</v>
      </c>
      <c r="R178" s="56">
        <f>MONTH(DataSales[[#This Row],[Ngày Xuất]])</f>
        <v>9</v>
      </c>
      <c r="S178" s="56" t="s">
        <v>774</v>
      </c>
    </row>
    <row r="179" spans="1:19" x14ac:dyDescent="0.3">
      <c r="A179" s="35">
        <v>217</v>
      </c>
      <c r="B179" s="8" t="s">
        <v>126</v>
      </c>
      <c r="C179" s="8" t="s">
        <v>127</v>
      </c>
      <c r="D179" s="8" t="s">
        <v>18</v>
      </c>
      <c r="E179" s="9">
        <v>270000</v>
      </c>
      <c r="F179" s="7">
        <v>0</v>
      </c>
      <c r="G179" s="7">
        <v>40</v>
      </c>
      <c r="H179" s="9">
        <v>280000</v>
      </c>
      <c r="I179" s="9">
        <f t="shared" si="4"/>
        <v>280000</v>
      </c>
      <c r="J179" s="10">
        <v>45197</v>
      </c>
      <c r="K179" s="8" t="s">
        <v>306</v>
      </c>
      <c r="L179" s="8" t="str">
        <f>VLOOKUP(DataSales[[#This Row],[Khách hàng]],'RFM Table'!$A:$I,9,FALSE)</f>
        <v>Khách hàng Cần chú ý</v>
      </c>
      <c r="M179" s="9">
        <f t="shared" si="5"/>
        <v>10000</v>
      </c>
      <c r="N179" s="11">
        <v>3.5714285714285712E-2</v>
      </c>
      <c r="O179" s="7">
        <v>40</v>
      </c>
      <c r="P179" s="11">
        <v>0</v>
      </c>
      <c r="Q179" s="37">
        <v>2023</v>
      </c>
      <c r="R179" s="56">
        <f>MONTH(DataSales[[#This Row],[Ngày Xuất]])</f>
        <v>9</v>
      </c>
      <c r="S179" s="56" t="s">
        <v>772</v>
      </c>
    </row>
    <row r="180" spans="1:19" x14ac:dyDescent="0.3">
      <c r="A180" s="34">
        <v>218</v>
      </c>
      <c r="B180" s="3" t="s">
        <v>210</v>
      </c>
      <c r="C180" s="3" t="s">
        <v>211</v>
      </c>
      <c r="D180" s="3" t="s">
        <v>22</v>
      </c>
      <c r="E180" s="4">
        <v>90000</v>
      </c>
      <c r="F180" s="2">
        <v>0</v>
      </c>
      <c r="G180" s="2">
        <v>5</v>
      </c>
      <c r="H180" s="4">
        <v>95000</v>
      </c>
      <c r="I180" s="4">
        <f t="shared" si="4"/>
        <v>95000</v>
      </c>
      <c r="J180" s="5">
        <v>45197</v>
      </c>
      <c r="K180" s="3" t="s">
        <v>306</v>
      </c>
      <c r="L180" s="3" t="str">
        <f>VLOOKUP(DataSales[[#This Row],[Khách hàng]],'RFM Table'!$A:$I,9,FALSE)</f>
        <v>Khách hàng Cần chú ý</v>
      </c>
      <c r="M180" s="4">
        <f t="shared" si="5"/>
        <v>5000</v>
      </c>
      <c r="N180" s="6">
        <v>5.2631578947368418E-2</v>
      </c>
      <c r="O180" s="2">
        <v>5</v>
      </c>
      <c r="P180" s="6">
        <v>0</v>
      </c>
      <c r="Q180" s="36">
        <v>2023</v>
      </c>
      <c r="R180" s="56">
        <f>MONTH(DataSales[[#This Row],[Ngày Xuất]])</f>
        <v>9</v>
      </c>
      <c r="S180" s="56" t="s">
        <v>773</v>
      </c>
    </row>
    <row r="181" spans="1:19" x14ac:dyDescent="0.3">
      <c r="A181" s="35">
        <v>219</v>
      </c>
      <c r="B181" s="8" t="s">
        <v>304</v>
      </c>
      <c r="C181" s="8" t="s">
        <v>305</v>
      </c>
      <c r="D181" s="8" t="s">
        <v>55</v>
      </c>
      <c r="E181" s="9">
        <v>24000</v>
      </c>
      <c r="F181" s="7">
        <v>0</v>
      </c>
      <c r="G181" s="7">
        <v>1</v>
      </c>
      <c r="H181" s="9">
        <v>30000</v>
      </c>
      <c r="I181" s="9">
        <f t="shared" si="4"/>
        <v>30000</v>
      </c>
      <c r="J181" s="10">
        <v>45197</v>
      </c>
      <c r="K181" s="8" t="s">
        <v>307</v>
      </c>
      <c r="L181" s="8" t="str">
        <f>VLOOKUP(DataSales[[#This Row],[Khách hàng]],'RFM Table'!$A:$I,9,FALSE)</f>
        <v>Khách hàng Cần chú ý</v>
      </c>
      <c r="M181" s="9">
        <f t="shared" si="5"/>
        <v>6000</v>
      </c>
      <c r="N181" s="11">
        <v>0.2</v>
      </c>
      <c r="O181" s="7">
        <v>1</v>
      </c>
      <c r="P181" s="11">
        <v>0</v>
      </c>
      <c r="Q181" s="37">
        <v>2023</v>
      </c>
      <c r="R181" s="56">
        <f>MONTH(DataSales[[#This Row],[Ngày Xuất]])</f>
        <v>9</v>
      </c>
      <c r="S181" s="56" t="s">
        <v>774</v>
      </c>
    </row>
    <row r="182" spans="1:19" x14ac:dyDescent="0.3">
      <c r="A182" s="34">
        <v>220</v>
      </c>
      <c r="B182" s="3" t="s">
        <v>53</v>
      </c>
      <c r="C182" s="3" t="s">
        <v>54</v>
      </c>
      <c r="D182" s="3" t="s">
        <v>55</v>
      </c>
      <c r="E182" s="4">
        <v>26400</v>
      </c>
      <c r="F182" s="2">
        <v>0</v>
      </c>
      <c r="G182" s="2">
        <v>1</v>
      </c>
      <c r="H182" s="4">
        <v>36000</v>
      </c>
      <c r="I182" s="4">
        <f t="shared" si="4"/>
        <v>36000</v>
      </c>
      <c r="J182" s="5">
        <v>45197</v>
      </c>
      <c r="K182" s="3" t="s">
        <v>307</v>
      </c>
      <c r="L182" s="3" t="str">
        <f>VLOOKUP(DataSales[[#This Row],[Khách hàng]],'RFM Table'!$A:$I,9,FALSE)</f>
        <v>Khách hàng Cần chú ý</v>
      </c>
      <c r="M182" s="4">
        <f t="shared" si="5"/>
        <v>9600</v>
      </c>
      <c r="N182" s="6">
        <v>0.26666666666666672</v>
      </c>
      <c r="O182" s="2">
        <v>1</v>
      </c>
      <c r="P182" s="6">
        <v>0</v>
      </c>
      <c r="Q182" s="36">
        <v>2023</v>
      </c>
      <c r="R182" s="56">
        <f>MONTH(DataSales[[#This Row],[Ngày Xuất]])</f>
        <v>9</v>
      </c>
      <c r="S182" s="56" t="s">
        <v>774</v>
      </c>
    </row>
    <row r="183" spans="1:19" x14ac:dyDescent="0.3">
      <c r="A183" s="35">
        <v>221</v>
      </c>
      <c r="B183" s="8" t="s">
        <v>205</v>
      </c>
      <c r="C183" s="8" t="s">
        <v>206</v>
      </c>
      <c r="D183" s="8" t="s">
        <v>47</v>
      </c>
      <c r="E183" s="9">
        <v>100000</v>
      </c>
      <c r="F183" s="7">
        <v>1</v>
      </c>
      <c r="G183" s="7">
        <v>1</v>
      </c>
      <c r="H183" s="9">
        <v>108000</v>
      </c>
      <c r="I183" s="9">
        <f t="shared" si="4"/>
        <v>108000</v>
      </c>
      <c r="J183" s="10">
        <v>45198</v>
      </c>
      <c r="K183" s="8" t="s">
        <v>308</v>
      </c>
      <c r="L183" s="8" t="str">
        <f>VLOOKUP(DataSales[[#This Row],[Khách hàng]],'RFM Table'!$A:$I,9,FALSE)</f>
        <v>Khách hàng VIP</v>
      </c>
      <c r="M183" s="9">
        <f t="shared" si="5"/>
        <v>8000</v>
      </c>
      <c r="N183" s="11">
        <v>7.407407407407407E-2</v>
      </c>
      <c r="O183" s="7">
        <v>2</v>
      </c>
      <c r="P183" s="11">
        <v>0.5</v>
      </c>
      <c r="Q183" s="37">
        <v>2023</v>
      </c>
      <c r="R183" s="56">
        <f>MONTH(DataSales[[#This Row],[Ngày Xuất]])</f>
        <v>9</v>
      </c>
      <c r="S183" s="56" t="s">
        <v>779</v>
      </c>
    </row>
    <row r="184" spans="1:19" x14ac:dyDescent="0.3">
      <c r="A184" s="34">
        <v>222</v>
      </c>
      <c r="B184" s="3" t="s">
        <v>119</v>
      </c>
      <c r="C184" s="3" t="s">
        <v>120</v>
      </c>
      <c r="D184" s="3" t="s">
        <v>47</v>
      </c>
      <c r="E184" s="4">
        <v>100000</v>
      </c>
      <c r="F184" s="2">
        <v>1</v>
      </c>
      <c r="G184" s="2">
        <v>1</v>
      </c>
      <c r="H184" s="4">
        <v>108000</v>
      </c>
      <c r="I184" s="4">
        <f t="shared" si="4"/>
        <v>108000</v>
      </c>
      <c r="J184" s="5">
        <v>45198</v>
      </c>
      <c r="K184" s="3" t="s">
        <v>308</v>
      </c>
      <c r="L184" s="3" t="str">
        <f>VLOOKUP(DataSales[[#This Row],[Khách hàng]],'RFM Table'!$A:$I,9,FALSE)</f>
        <v>Khách hàng VIP</v>
      </c>
      <c r="M184" s="4">
        <f t="shared" si="5"/>
        <v>8000</v>
      </c>
      <c r="N184" s="6">
        <v>7.407407407407407E-2</v>
      </c>
      <c r="O184" s="2">
        <v>2</v>
      </c>
      <c r="P184" s="6">
        <v>0.5</v>
      </c>
      <c r="Q184" s="36">
        <v>2023</v>
      </c>
      <c r="R184" s="56">
        <f>MONTH(DataSales[[#This Row],[Ngày Xuất]])</f>
        <v>9</v>
      </c>
      <c r="S184" s="56" t="s">
        <v>779</v>
      </c>
    </row>
    <row r="185" spans="1:19" x14ac:dyDescent="0.3">
      <c r="A185" s="35">
        <v>223</v>
      </c>
      <c r="B185" s="8" t="s">
        <v>121</v>
      </c>
      <c r="C185" s="8" t="s">
        <v>122</v>
      </c>
      <c r="D185" s="8" t="s">
        <v>47</v>
      </c>
      <c r="E185" s="9">
        <v>100000</v>
      </c>
      <c r="F185" s="7">
        <v>1</v>
      </c>
      <c r="G185" s="7">
        <v>1</v>
      </c>
      <c r="H185" s="9">
        <v>108000</v>
      </c>
      <c r="I185" s="9">
        <f t="shared" si="4"/>
        <v>108000</v>
      </c>
      <c r="J185" s="10">
        <v>45198</v>
      </c>
      <c r="K185" s="8" t="s">
        <v>308</v>
      </c>
      <c r="L185" s="8" t="str">
        <f>VLOOKUP(DataSales[[#This Row],[Khách hàng]],'RFM Table'!$A:$I,9,FALSE)</f>
        <v>Khách hàng VIP</v>
      </c>
      <c r="M185" s="9">
        <f t="shared" si="5"/>
        <v>8000</v>
      </c>
      <c r="N185" s="11">
        <v>7.407407407407407E-2</v>
      </c>
      <c r="O185" s="7">
        <v>2</v>
      </c>
      <c r="P185" s="11">
        <v>0.5</v>
      </c>
      <c r="Q185" s="37">
        <v>2023</v>
      </c>
      <c r="R185" s="56">
        <f>MONTH(DataSales[[#This Row],[Ngày Xuất]])</f>
        <v>9</v>
      </c>
      <c r="S185" s="56" t="s">
        <v>779</v>
      </c>
    </row>
    <row r="186" spans="1:19" x14ac:dyDescent="0.3">
      <c r="A186" s="34">
        <v>224</v>
      </c>
      <c r="B186" s="3" t="s">
        <v>226</v>
      </c>
      <c r="C186" s="3" t="s">
        <v>227</v>
      </c>
      <c r="D186" s="3" t="s">
        <v>32</v>
      </c>
      <c r="E186" s="4">
        <v>300000</v>
      </c>
      <c r="F186" s="2">
        <v>1</v>
      </c>
      <c r="G186" s="2">
        <v>12</v>
      </c>
      <c r="H186" s="4">
        <v>410000</v>
      </c>
      <c r="I186" s="4">
        <f t="shared" si="4"/>
        <v>410000</v>
      </c>
      <c r="J186" s="5">
        <v>45198</v>
      </c>
      <c r="K186" s="3" t="s">
        <v>309</v>
      </c>
      <c r="L186" s="3" t="str">
        <f>VLOOKUP(DataSales[[#This Row],[Khách hàng]],'RFM Table'!$A:$I,9,FALSE)</f>
        <v>Khách hàng Cần chú ý</v>
      </c>
      <c r="M186" s="4">
        <f t="shared" si="5"/>
        <v>110000</v>
      </c>
      <c r="N186" s="6">
        <v>0.26829268292682928</v>
      </c>
      <c r="O186" s="2">
        <v>13</v>
      </c>
      <c r="P186" s="6">
        <v>7.6923076923076927E-2</v>
      </c>
      <c r="Q186" s="36">
        <v>2023</v>
      </c>
      <c r="R186" s="56">
        <f>MONTH(DataSales[[#This Row],[Ngày Xuất]])</f>
        <v>9</v>
      </c>
      <c r="S186" s="56" t="s">
        <v>779</v>
      </c>
    </row>
    <row r="187" spans="1:19" x14ac:dyDescent="0.3">
      <c r="A187" s="35">
        <v>225</v>
      </c>
      <c r="B187" s="8" t="s">
        <v>269</v>
      </c>
      <c r="C187" s="8" t="s">
        <v>270</v>
      </c>
      <c r="D187" s="8" t="s">
        <v>32</v>
      </c>
      <c r="E187" s="9">
        <v>265008</v>
      </c>
      <c r="F187" s="7">
        <v>0</v>
      </c>
      <c r="G187" s="7">
        <v>12</v>
      </c>
      <c r="H187" s="9">
        <v>360000</v>
      </c>
      <c r="I187" s="9">
        <f t="shared" si="4"/>
        <v>360000</v>
      </c>
      <c r="J187" s="10">
        <v>45198</v>
      </c>
      <c r="K187" s="8" t="s">
        <v>29</v>
      </c>
      <c r="L187" s="8" t="str">
        <f>VLOOKUP(DataSales[[#This Row],[Khách hàng]],'RFM Table'!$A:$I,9,FALSE)</f>
        <v>Khách hàng VIP</v>
      </c>
      <c r="M187" s="9">
        <f t="shared" si="5"/>
        <v>94992</v>
      </c>
      <c r="N187" s="11">
        <v>0.26386666666666669</v>
      </c>
      <c r="O187" s="7">
        <v>12</v>
      </c>
      <c r="P187" s="11">
        <v>0</v>
      </c>
      <c r="Q187" s="37">
        <v>2023</v>
      </c>
      <c r="R187" s="56">
        <f>MONTH(DataSales[[#This Row],[Ngày Xuất]])</f>
        <v>9</v>
      </c>
      <c r="S187" s="56" t="s">
        <v>779</v>
      </c>
    </row>
    <row r="188" spans="1:19" x14ac:dyDescent="0.3">
      <c r="A188" s="34">
        <v>226</v>
      </c>
      <c r="B188" s="3" t="s">
        <v>27</v>
      </c>
      <c r="C188" s="3" t="s">
        <v>28</v>
      </c>
      <c r="D188" s="3" t="s">
        <v>18</v>
      </c>
      <c r="E188" s="4">
        <v>1296000</v>
      </c>
      <c r="F188" s="2">
        <v>0</v>
      </c>
      <c r="G188" s="2">
        <v>180</v>
      </c>
      <c r="H188" s="4">
        <v>1692000</v>
      </c>
      <c r="I188" s="4">
        <f t="shared" si="4"/>
        <v>1692000</v>
      </c>
      <c r="J188" s="5">
        <v>45198</v>
      </c>
      <c r="K188" s="3" t="s">
        <v>29</v>
      </c>
      <c r="L188" s="3" t="str">
        <f>VLOOKUP(DataSales[[#This Row],[Khách hàng]],'RFM Table'!$A:$I,9,FALSE)</f>
        <v>Khách hàng VIP</v>
      </c>
      <c r="M188" s="4">
        <f t="shared" si="5"/>
        <v>396000</v>
      </c>
      <c r="N188" s="6">
        <v>0.23404255319148939</v>
      </c>
      <c r="O188" s="2">
        <v>180</v>
      </c>
      <c r="P188" s="6">
        <v>0</v>
      </c>
      <c r="Q188" s="36">
        <v>2023</v>
      </c>
      <c r="R188" s="56">
        <f>MONTH(DataSales[[#This Row],[Ngày Xuất]])</f>
        <v>9</v>
      </c>
      <c r="S188" s="56" t="s">
        <v>772</v>
      </c>
    </row>
    <row r="189" spans="1:19" x14ac:dyDescent="0.3">
      <c r="A189" s="35">
        <v>227</v>
      </c>
      <c r="B189" s="8" t="s">
        <v>205</v>
      </c>
      <c r="C189" s="8" t="s">
        <v>206</v>
      </c>
      <c r="D189" s="8" t="s">
        <v>47</v>
      </c>
      <c r="E189" s="9">
        <v>600000</v>
      </c>
      <c r="F189" s="7">
        <v>6</v>
      </c>
      <c r="G189" s="7">
        <v>6</v>
      </c>
      <c r="H189" s="9">
        <v>648000</v>
      </c>
      <c r="I189" s="9">
        <f t="shared" si="4"/>
        <v>648000</v>
      </c>
      <c r="J189" s="10">
        <v>45198</v>
      </c>
      <c r="K189" s="8" t="s">
        <v>310</v>
      </c>
      <c r="L189" s="8" t="str">
        <f>VLOOKUP(DataSales[[#This Row],[Khách hàng]],'RFM Table'!$A:$I,9,FALSE)</f>
        <v>Khách hàng Trung thành</v>
      </c>
      <c r="M189" s="9">
        <f t="shared" si="5"/>
        <v>48000</v>
      </c>
      <c r="N189" s="11">
        <v>7.407407407407407E-2</v>
      </c>
      <c r="O189" s="7">
        <v>12</v>
      </c>
      <c r="P189" s="11">
        <v>0.5</v>
      </c>
      <c r="Q189" s="37">
        <v>2023</v>
      </c>
      <c r="R189" s="56">
        <f>MONTH(DataSales[[#This Row],[Ngày Xuất]])</f>
        <v>9</v>
      </c>
      <c r="S189" s="56" t="s">
        <v>779</v>
      </c>
    </row>
    <row r="190" spans="1:19" x14ac:dyDescent="0.3">
      <c r="A190" s="34">
        <v>228</v>
      </c>
      <c r="B190" s="3" t="s">
        <v>119</v>
      </c>
      <c r="C190" s="3" t="s">
        <v>120</v>
      </c>
      <c r="D190" s="3" t="s">
        <v>47</v>
      </c>
      <c r="E190" s="4">
        <v>600000</v>
      </c>
      <c r="F190" s="2">
        <v>6</v>
      </c>
      <c r="G190" s="2">
        <v>6</v>
      </c>
      <c r="H190" s="4">
        <v>648000</v>
      </c>
      <c r="I190" s="4">
        <f t="shared" si="4"/>
        <v>648000</v>
      </c>
      <c r="J190" s="5">
        <v>45198</v>
      </c>
      <c r="K190" s="3" t="s">
        <v>310</v>
      </c>
      <c r="L190" s="3" t="str">
        <f>VLOOKUP(DataSales[[#This Row],[Khách hàng]],'RFM Table'!$A:$I,9,FALSE)</f>
        <v>Khách hàng Trung thành</v>
      </c>
      <c r="M190" s="4">
        <f t="shared" si="5"/>
        <v>48000</v>
      </c>
      <c r="N190" s="6">
        <v>7.407407407407407E-2</v>
      </c>
      <c r="O190" s="2">
        <v>12</v>
      </c>
      <c r="P190" s="6">
        <v>0.5</v>
      </c>
      <c r="Q190" s="36">
        <v>2023</v>
      </c>
      <c r="R190" s="56">
        <f>MONTH(DataSales[[#This Row],[Ngày Xuất]])</f>
        <v>9</v>
      </c>
      <c r="S190" s="56" t="s">
        <v>779</v>
      </c>
    </row>
    <row r="191" spans="1:19" x14ac:dyDescent="0.3">
      <c r="A191" s="35">
        <v>229</v>
      </c>
      <c r="B191" s="8" t="s">
        <v>121</v>
      </c>
      <c r="C191" s="8" t="s">
        <v>122</v>
      </c>
      <c r="D191" s="8" t="s">
        <v>47</v>
      </c>
      <c r="E191" s="9">
        <v>600000</v>
      </c>
      <c r="F191" s="7">
        <v>6</v>
      </c>
      <c r="G191" s="7">
        <v>6</v>
      </c>
      <c r="H191" s="9">
        <v>648000</v>
      </c>
      <c r="I191" s="9">
        <f t="shared" si="4"/>
        <v>648000</v>
      </c>
      <c r="J191" s="10">
        <v>45198</v>
      </c>
      <c r="K191" s="8" t="s">
        <v>310</v>
      </c>
      <c r="L191" s="8" t="str">
        <f>VLOOKUP(DataSales[[#This Row],[Khách hàng]],'RFM Table'!$A:$I,9,FALSE)</f>
        <v>Khách hàng Trung thành</v>
      </c>
      <c r="M191" s="9">
        <f t="shared" si="5"/>
        <v>48000</v>
      </c>
      <c r="N191" s="11">
        <v>7.407407407407407E-2</v>
      </c>
      <c r="O191" s="7">
        <v>12</v>
      </c>
      <c r="P191" s="11">
        <v>0.5</v>
      </c>
      <c r="Q191" s="37">
        <v>2023</v>
      </c>
      <c r="R191" s="56">
        <f>MONTH(DataSales[[#This Row],[Ngày Xuất]])</f>
        <v>9</v>
      </c>
      <c r="S191" s="56" t="s">
        <v>779</v>
      </c>
    </row>
    <row r="192" spans="1:19" x14ac:dyDescent="0.3">
      <c r="A192" s="34">
        <v>230</v>
      </c>
      <c r="B192" s="3" t="s">
        <v>119</v>
      </c>
      <c r="C192" s="3" t="s">
        <v>120</v>
      </c>
      <c r="D192" s="3" t="s">
        <v>47</v>
      </c>
      <c r="E192" s="4">
        <v>600000</v>
      </c>
      <c r="F192" s="2">
        <v>6</v>
      </c>
      <c r="G192" s="2">
        <v>6</v>
      </c>
      <c r="H192" s="4">
        <v>648000</v>
      </c>
      <c r="I192" s="4">
        <f t="shared" si="4"/>
        <v>648000</v>
      </c>
      <c r="J192" s="5">
        <v>45198</v>
      </c>
      <c r="K192" s="3" t="s">
        <v>173</v>
      </c>
      <c r="L192" s="3" t="str">
        <f>VLOOKUP(DataSales[[#This Row],[Khách hàng]],'RFM Table'!$A:$I,9,FALSE)</f>
        <v>Khách hàng Cần chú ý</v>
      </c>
      <c r="M192" s="4">
        <f t="shared" si="5"/>
        <v>48000</v>
      </c>
      <c r="N192" s="6">
        <v>7.407407407407407E-2</v>
      </c>
      <c r="O192" s="2">
        <v>12</v>
      </c>
      <c r="P192" s="6">
        <v>0.5</v>
      </c>
      <c r="Q192" s="36">
        <v>2023</v>
      </c>
      <c r="R192" s="56">
        <f>MONTH(DataSales[[#This Row],[Ngày Xuất]])</f>
        <v>9</v>
      </c>
      <c r="S192" s="56" t="s">
        <v>779</v>
      </c>
    </row>
    <row r="193" spans="1:19" x14ac:dyDescent="0.3">
      <c r="A193" s="35">
        <v>232</v>
      </c>
      <c r="B193" s="8" t="s">
        <v>119</v>
      </c>
      <c r="C193" s="8" t="s">
        <v>120</v>
      </c>
      <c r="D193" s="8" t="s">
        <v>47</v>
      </c>
      <c r="E193" s="9">
        <v>600000</v>
      </c>
      <c r="F193" s="7">
        <v>0</v>
      </c>
      <c r="G193" s="7">
        <v>6</v>
      </c>
      <c r="H193" s="9">
        <v>1308000</v>
      </c>
      <c r="I193" s="9">
        <f t="shared" si="4"/>
        <v>1308000</v>
      </c>
      <c r="J193" s="10">
        <v>45198</v>
      </c>
      <c r="K193" s="8" t="s">
        <v>311</v>
      </c>
      <c r="L193" s="8" t="str">
        <f>VLOOKUP(DataSales[[#This Row],[Khách hàng]],'RFM Table'!$A:$I,9,FALSE)</f>
        <v>Khách hàng Cần chú ý</v>
      </c>
      <c r="M193" s="9">
        <f t="shared" si="5"/>
        <v>708000</v>
      </c>
      <c r="N193" s="11">
        <v>0.54128440366972475</v>
      </c>
      <c r="O193" s="7">
        <v>6</v>
      </c>
      <c r="P193" s="11">
        <v>0</v>
      </c>
      <c r="Q193" s="37">
        <v>2023</v>
      </c>
      <c r="R193" s="56">
        <f>MONTH(DataSales[[#This Row],[Ngày Xuất]])</f>
        <v>9</v>
      </c>
      <c r="S193" s="56" t="s">
        <v>779</v>
      </c>
    </row>
    <row r="194" spans="1:19" x14ac:dyDescent="0.3">
      <c r="A194" s="34">
        <v>234</v>
      </c>
      <c r="B194" s="3" t="s">
        <v>312</v>
      </c>
      <c r="C194" s="3" t="s">
        <v>313</v>
      </c>
      <c r="D194" s="3" t="s">
        <v>47</v>
      </c>
      <c r="E194" s="4">
        <v>260000</v>
      </c>
      <c r="F194" s="2">
        <v>0</v>
      </c>
      <c r="G194" s="2">
        <v>2</v>
      </c>
      <c r="H194" s="4">
        <v>560000</v>
      </c>
      <c r="I194" s="4">
        <f t="shared" ref="I194:I257" si="6">H194</f>
        <v>560000</v>
      </c>
      <c r="J194" s="5">
        <v>45199</v>
      </c>
      <c r="K194" s="3" t="s">
        <v>85</v>
      </c>
      <c r="L194" s="3" t="str">
        <f>VLOOKUP(DataSales[[#This Row],[Khách hàng]],'RFM Table'!$A:$I,9,FALSE)</f>
        <v>Khách hàng VIP</v>
      </c>
      <c r="M194" s="4">
        <f t="shared" ref="M194:M257" si="7">I194-E194</f>
        <v>300000</v>
      </c>
      <c r="N194" s="6">
        <v>0.5357142857142857</v>
      </c>
      <c r="O194" s="2">
        <v>2</v>
      </c>
      <c r="P194" s="6">
        <v>0</v>
      </c>
      <c r="Q194" s="36">
        <v>2023</v>
      </c>
      <c r="R194" s="56">
        <f>MONTH(DataSales[[#This Row],[Ngày Xuất]])</f>
        <v>9</v>
      </c>
      <c r="S194" s="56" t="s">
        <v>779</v>
      </c>
    </row>
    <row r="195" spans="1:19" x14ac:dyDescent="0.3">
      <c r="A195" s="35">
        <v>235</v>
      </c>
      <c r="B195" s="8" t="s">
        <v>314</v>
      </c>
      <c r="C195" s="8" t="s">
        <v>315</v>
      </c>
      <c r="D195" s="8" t="s">
        <v>47</v>
      </c>
      <c r="E195" s="9">
        <v>399000</v>
      </c>
      <c r="F195" s="7">
        <v>6</v>
      </c>
      <c r="G195" s="7">
        <v>24</v>
      </c>
      <c r="H195" s="9">
        <v>461000</v>
      </c>
      <c r="I195" s="9">
        <f t="shared" si="6"/>
        <v>461000</v>
      </c>
      <c r="J195" s="10">
        <v>45199</v>
      </c>
      <c r="K195" s="8" t="s">
        <v>42</v>
      </c>
      <c r="L195" s="8" t="str">
        <f>VLOOKUP(DataSales[[#This Row],[Khách hàng]],'RFM Table'!$A:$I,9,FALSE)</f>
        <v>Khách hàng Trung thành</v>
      </c>
      <c r="M195" s="9">
        <f t="shared" si="7"/>
        <v>62000</v>
      </c>
      <c r="N195" s="11">
        <v>0.13449023861171369</v>
      </c>
      <c r="O195" s="7">
        <v>30</v>
      </c>
      <c r="P195" s="11">
        <v>0.2</v>
      </c>
      <c r="Q195" s="37">
        <v>2023</v>
      </c>
      <c r="R195" s="56">
        <f>MONTH(DataSales[[#This Row],[Ngày Xuất]])</f>
        <v>9</v>
      </c>
      <c r="S195" s="56" t="s">
        <v>777</v>
      </c>
    </row>
    <row r="196" spans="1:19" x14ac:dyDescent="0.3">
      <c r="A196" s="34">
        <v>236</v>
      </c>
      <c r="B196" s="3" t="s">
        <v>112</v>
      </c>
      <c r="C196" s="3" t="s">
        <v>113</v>
      </c>
      <c r="D196" s="3" t="s">
        <v>47</v>
      </c>
      <c r="E196" s="4">
        <v>178500</v>
      </c>
      <c r="F196" s="2">
        <v>0</v>
      </c>
      <c r="G196" s="2">
        <v>12</v>
      </c>
      <c r="H196" s="4">
        <v>216000</v>
      </c>
      <c r="I196" s="4">
        <f t="shared" si="6"/>
        <v>216000</v>
      </c>
      <c r="J196" s="5">
        <v>45199</v>
      </c>
      <c r="K196" s="3" t="s">
        <v>42</v>
      </c>
      <c r="L196" s="3" t="str">
        <f>VLOOKUP(DataSales[[#This Row],[Khách hàng]],'RFM Table'!$A:$I,9,FALSE)</f>
        <v>Khách hàng Trung thành</v>
      </c>
      <c r="M196" s="4">
        <f t="shared" si="7"/>
        <v>37500</v>
      </c>
      <c r="N196" s="6">
        <v>0.1736111111111111</v>
      </c>
      <c r="O196" s="2">
        <v>12</v>
      </c>
      <c r="P196" s="6">
        <v>0</v>
      </c>
      <c r="Q196" s="36">
        <v>2023</v>
      </c>
      <c r="R196" s="56">
        <f>MONTH(DataSales[[#This Row],[Ngày Xuất]])</f>
        <v>9</v>
      </c>
      <c r="S196" s="56" t="s">
        <v>777</v>
      </c>
    </row>
    <row r="197" spans="1:19" x14ac:dyDescent="0.3">
      <c r="A197" s="35">
        <v>237</v>
      </c>
      <c r="B197" s="8" t="s">
        <v>316</v>
      </c>
      <c r="C197" s="8" t="s">
        <v>317</v>
      </c>
      <c r="D197" s="8" t="s">
        <v>25</v>
      </c>
      <c r="E197" s="9">
        <v>90000</v>
      </c>
      <c r="F197" s="7">
        <v>1</v>
      </c>
      <c r="G197" s="7">
        <v>3</v>
      </c>
      <c r="H197" s="9">
        <v>180000</v>
      </c>
      <c r="I197" s="9">
        <f t="shared" si="6"/>
        <v>180000</v>
      </c>
      <c r="J197" s="10">
        <v>45199</v>
      </c>
      <c r="K197" s="8" t="s">
        <v>318</v>
      </c>
      <c r="L197" s="8" t="str">
        <f>VLOOKUP(DataSales[[#This Row],[Khách hàng]],'RFM Table'!$A:$I,9,FALSE)</f>
        <v>Khách hàng Cần chú ý</v>
      </c>
      <c r="M197" s="9">
        <f t="shared" si="7"/>
        <v>90000</v>
      </c>
      <c r="N197" s="11">
        <v>0.5</v>
      </c>
      <c r="O197" s="7">
        <v>4</v>
      </c>
      <c r="P197" s="11">
        <v>0.25</v>
      </c>
      <c r="Q197" s="37">
        <v>2023</v>
      </c>
      <c r="R197" s="56">
        <f>MONTH(DataSales[[#This Row],[Ngày Xuất]])</f>
        <v>9</v>
      </c>
      <c r="S197" s="56" t="s">
        <v>773</v>
      </c>
    </row>
    <row r="198" spans="1:19" x14ac:dyDescent="0.3">
      <c r="A198" s="34">
        <v>238</v>
      </c>
      <c r="B198" s="3" t="s">
        <v>319</v>
      </c>
      <c r="C198" s="3" t="s">
        <v>320</v>
      </c>
      <c r="D198" s="3" t="s">
        <v>32</v>
      </c>
      <c r="E198" s="4">
        <v>186500</v>
      </c>
      <c r="F198" s="2">
        <v>1</v>
      </c>
      <c r="G198" s="2">
        <v>5</v>
      </c>
      <c r="H198" s="4">
        <v>195000</v>
      </c>
      <c r="I198" s="4">
        <f t="shared" si="6"/>
        <v>195000</v>
      </c>
      <c r="J198" s="5">
        <v>45199</v>
      </c>
      <c r="K198" s="3" t="s">
        <v>321</v>
      </c>
      <c r="L198" s="3" t="str">
        <f>VLOOKUP(DataSales[[#This Row],[Khách hàng]],'RFM Table'!$A:$I,9,FALSE)</f>
        <v>Khách hàng Trung thành</v>
      </c>
      <c r="M198" s="4">
        <f t="shared" si="7"/>
        <v>8500</v>
      </c>
      <c r="N198" s="6">
        <v>4.3589743589743588E-2</v>
      </c>
      <c r="O198" s="2">
        <v>6</v>
      </c>
      <c r="P198" s="6">
        <v>0.16666666666666671</v>
      </c>
      <c r="Q198" s="36">
        <v>2023</v>
      </c>
      <c r="R198" s="56">
        <f>MONTH(DataSales[[#This Row],[Ngày Xuất]])</f>
        <v>9</v>
      </c>
      <c r="S198" s="56" t="s">
        <v>779</v>
      </c>
    </row>
    <row r="199" spans="1:19" x14ac:dyDescent="0.3">
      <c r="A199" s="35">
        <v>239</v>
      </c>
      <c r="B199" s="8" t="s">
        <v>322</v>
      </c>
      <c r="C199" s="8" t="s">
        <v>323</v>
      </c>
      <c r="D199" s="8" t="s">
        <v>32</v>
      </c>
      <c r="E199" s="9">
        <v>110004</v>
      </c>
      <c r="F199" s="7">
        <v>0</v>
      </c>
      <c r="G199" s="7">
        <v>6</v>
      </c>
      <c r="H199" s="9">
        <v>144000</v>
      </c>
      <c r="I199" s="9">
        <f t="shared" si="6"/>
        <v>144000</v>
      </c>
      <c r="J199" s="10">
        <v>45199</v>
      </c>
      <c r="K199" s="8" t="s">
        <v>321</v>
      </c>
      <c r="L199" s="8" t="str">
        <f>VLOOKUP(DataSales[[#This Row],[Khách hàng]],'RFM Table'!$A:$I,9,FALSE)</f>
        <v>Khách hàng Trung thành</v>
      </c>
      <c r="M199" s="9">
        <f t="shared" si="7"/>
        <v>33996</v>
      </c>
      <c r="N199" s="11">
        <v>0.23608333333333331</v>
      </c>
      <c r="O199" s="7">
        <v>6</v>
      </c>
      <c r="P199" s="11">
        <v>0</v>
      </c>
      <c r="Q199" s="37">
        <v>2023</v>
      </c>
      <c r="R199" s="56">
        <f>MONTH(DataSales[[#This Row],[Ngày Xuất]])</f>
        <v>9</v>
      </c>
      <c r="S199" s="56" t="s">
        <v>774</v>
      </c>
    </row>
    <row r="200" spans="1:19" x14ac:dyDescent="0.3">
      <c r="A200" s="34">
        <v>240</v>
      </c>
      <c r="B200" s="3" t="s">
        <v>49</v>
      </c>
      <c r="C200" s="3" t="s">
        <v>50</v>
      </c>
      <c r="D200" s="3" t="s">
        <v>32</v>
      </c>
      <c r="E200" s="4">
        <v>9828</v>
      </c>
      <c r="F200" s="2">
        <v>0</v>
      </c>
      <c r="G200" s="2">
        <v>1</v>
      </c>
      <c r="H200" s="4">
        <v>11500</v>
      </c>
      <c r="I200" s="4">
        <f t="shared" si="6"/>
        <v>11500</v>
      </c>
      <c r="J200" s="5">
        <v>45199</v>
      </c>
      <c r="K200" s="3" t="s">
        <v>321</v>
      </c>
      <c r="L200" s="3" t="str">
        <f>VLOOKUP(DataSales[[#This Row],[Khách hàng]],'RFM Table'!$A:$I,9,FALSE)</f>
        <v>Khách hàng Trung thành</v>
      </c>
      <c r="M200" s="4">
        <f t="shared" si="7"/>
        <v>1672</v>
      </c>
      <c r="N200" s="6">
        <v>0.1453913043478261</v>
      </c>
      <c r="O200" s="2">
        <v>1</v>
      </c>
      <c r="P200" s="6">
        <v>0</v>
      </c>
      <c r="Q200" s="36">
        <v>2023</v>
      </c>
      <c r="R200" s="56">
        <f>MONTH(DataSales[[#This Row],[Ngày Xuất]])</f>
        <v>9</v>
      </c>
      <c r="S200" s="56" t="s">
        <v>772</v>
      </c>
    </row>
    <row r="201" spans="1:19" x14ac:dyDescent="0.3">
      <c r="A201" s="35">
        <v>241</v>
      </c>
      <c r="B201" s="8" t="s">
        <v>233</v>
      </c>
      <c r="C201" s="8" t="s">
        <v>234</v>
      </c>
      <c r="D201" s="8" t="s">
        <v>47</v>
      </c>
      <c r="E201" s="9">
        <v>220000</v>
      </c>
      <c r="F201" s="7">
        <v>0</v>
      </c>
      <c r="G201" s="7">
        <v>20</v>
      </c>
      <c r="H201" s="9">
        <v>280000</v>
      </c>
      <c r="I201" s="9">
        <f t="shared" si="6"/>
        <v>280000</v>
      </c>
      <c r="J201" s="10">
        <v>45199</v>
      </c>
      <c r="K201" s="8" t="s">
        <v>265</v>
      </c>
      <c r="L201" s="8" t="str">
        <f>VLOOKUP(DataSales[[#This Row],[Khách hàng]],'RFM Table'!$A:$I,9,FALSE)</f>
        <v>Khách hàng VIP</v>
      </c>
      <c r="M201" s="9">
        <f t="shared" si="7"/>
        <v>60000</v>
      </c>
      <c r="N201" s="11">
        <v>0.2142857142857143</v>
      </c>
      <c r="O201" s="7">
        <v>20</v>
      </c>
      <c r="P201" s="11">
        <v>0</v>
      </c>
      <c r="Q201" s="37">
        <v>2023</v>
      </c>
      <c r="R201" s="56">
        <f>MONTH(DataSales[[#This Row],[Ngày Xuất]])</f>
        <v>9</v>
      </c>
      <c r="S201" s="56" t="s">
        <v>773</v>
      </c>
    </row>
    <row r="202" spans="1:19" x14ac:dyDescent="0.3">
      <c r="A202" s="34">
        <v>242</v>
      </c>
      <c r="B202" s="3" t="s">
        <v>324</v>
      </c>
      <c r="C202" s="3" t="s">
        <v>325</v>
      </c>
      <c r="D202" s="3" t="s">
        <v>326</v>
      </c>
      <c r="E202" s="4">
        <v>171000</v>
      </c>
      <c r="F202" s="2">
        <v>0</v>
      </c>
      <c r="G202" s="2">
        <v>3</v>
      </c>
      <c r="H202" s="4">
        <v>210000</v>
      </c>
      <c r="I202" s="4">
        <f t="shared" si="6"/>
        <v>210000</v>
      </c>
      <c r="J202" s="5">
        <v>45199</v>
      </c>
      <c r="K202" s="3" t="s">
        <v>268</v>
      </c>
      <c r="L202" s="3" t="str">
        <f>VLOOKUP(DataSales[[#This Row],[Khách hàng]],'RFM Table'!$A:$I,9,FALSE)</f>
        <v>Khách hàng VIP</v>
      </c>
      <c r="M202" s="4">
        <f t="shared" si="7"/>
        <v>39000</v>
      </c>
      <c r="N202" s="6">
        <v>0.18571428571428569</v>
      </c>
      <c r="O202" s="2">
        <v>3</v>
      </c>
      <c r="P202" s="6">
        <v>0</v>
      </c>
      <c r="Q202" s="36">
        <v>2023</v>
      </c>
      <c r="R202" s="56">
        <f>MONTH(DataSales[[#This Row],[Ngày Xuất]])</f>
        <v>9</v>
      </c>
      <c r="S202" s="56" t="s">
        <v>779</v>
      </c>
    </row>
    <row r="203" spans="1:19" x14ac:dyDescent="0.3">
      <c r="A203" s="35">
        <v>243</v>
      </c>
      <c r="B203" s="8" t="s">
        <v>128</v>
      </c>
      <c r="C203" s="8" t="s">
        <v>129</v>
      </c>
      <c r="D203" s="8" t="s">
        <v>22</v>
      </c>
      <c r="E203" s="9">
        <v>90000</v>
      </c>
      <c r="F203" s="7">
        <v>0</v>
      </c>
      <c r="G203" s="7">
        <v>6</v>
      </c>
      <c r="H203" s="9">
        <v>138000</v>
      </c>
      <c r="I203" s="9">
        <f t="shared" si="6"/>
        <v>138000</v>
      </c>
      <c r="J203" s="10">
        <v>45199</v>
      </c>
      <c r="K203" s="8" t="s">
        <v>268</v>
      </c>
      <c r="L203" s="8" t="str">
        <f>VLOOKUP(DataSales[[#This Row],[Khách hàng]],'RFM Table'!$A:$I,9,FALSE)</f>
        <v>Khách hàng VIP</v>
      </c>
      <c r="M203" s="9">
        <f t="shared" si="7"/>
        <v>48000</v>
      </c>
      <c r="N203" s="11">
        <v>0.34782608695652167</v>
      </c>
      <c r="O203" s="7">
        <v>6</v>
      </c>
      <c r="P203" s="11">
        <v>0</v>
      </c>
      <c r="Q203" s="37">
        <v>2023</v>
      </c>
      <c r="R203" s="56">
        <f>MONTH(DataSales[[#This Row],[Ngày Xuất]])</f>
        <v>9</v>
      </c>
      <c r="S203" s="56" t="s">
        <v>773</v>
      </c>
    </row>
    <row r="204" spans="1:19" x14ac:dyDescent="0.3">
      <c r="A204" s="34">
        <v>244</v>
      </c>
      <c r="B204" s="3" t="s">
        <v>229</v>
      </c>
      <c r="C204" s="3" t="s">
        <v>230</v>
      </c>
      <c r="D204" s="3" t="s">
        <v>18</v>
      </c>
      <c r="E204" s="4">
        <v>185000</v>
      </c>
      <c r="F204" s="2">
        <v>0</v>
      </c>
      <c r="G204" s="2">
        <v>10</v>
      </c>
      <c r="H204" s="4">
        <v>260000</v>
      </c>
      <c r="I204" s="4">
        <f t="shared" si="6"/>
        <v>260000</v>
      </c>
      <c r="J204" s="5">
        <v>45199</v>
      </c>
      <c r="K204" s="3" t="s">
        <v>268</v>
      </c>
      <c r="L204" s="3" t="str">
        <f>VLOOKUP(DataSales[[#This Row],[Khách hàng]],'RFM Table'!$A:$I,9,FALSE)</f>
        <v>Khách hàng VIP</v>
      </c>
      <c r="M204" s="4">
        <f t="shared" si="7"/>
        <v>75000</v>
      </c>
      <c r="N204" s="6">
        <v>0.28846153846153838</v>
      </c>
      <c r="O204" s="2">
        <v>10</v>
      </c>
      <c r="P204" s="6">
        <v>0</v>
      </c>
      <c r="Q204" s="36">
        <v>2023</v>
      </c>
      <c r="R204" s="56">
        <f>MONTH(DataSales[[#This Row],[Ngày Xuất]])</f>
        <v>9</v>
      </c>
      <c r="S204" s="56" t="s">
        <v>775</v>
      </c>
    </row>
    <row r="205" spans="1:19" x14ac:dyDescent="0.3">
      <c r="A205" s="35">
        <v>245</v>
      </c>
      <c r="B205" s="8" t="s">
        <v>327</v>
      </c>
      <c r="C205" s="8" t="s">
        <v>328</v>
      </c>
      <c r="D205" s="8" t="s">
        <v>32</v>
      </c>
      <c r="E205" s="9">
        <v>2304000</v>
      </c>
      <c r="F205" s="7">
        <v>0</v>
      </c>
      <c r="G205" s="7">
        <v>48</v>
      </c>
      <c r="H205" s="9">
        <v>1920000</v>
      </c>
      <c r="I205" s="9">
        <f t="shared" si="6"/>
        <v>1920000</v>
      </c>
      <c r="J205" s="10">
        <v>45199</v>
      </c>
      <c r="K205" s="8" t="s">
        <v>33</v>
      </c>
      <c r="L205" s="8" t="str">
        <f>VLOOKUP(DataSales[[#This Row],[Khách hàng]],'RFM Table'!$A:$I,9,FALSE)</f>
        <v>Khách hàng VIP</v>
      </c>
      <c r="M205" s="9">
        <f t="shared" si="7"/>
        <v>-384000</v>
      </c>
      <c r="N205" s="11">
        <v>-0.2</v>
      </c>
      <c r="O205" s="7">
        <v>48</v>
      </c>
      <c r="P205" s="11">
        <v>0</v>
      </c>
      <c r="Q205" s="37">
        <v>2023</v>
      </c>
      <c r="R205" s="56">
        <f>MONTH(DataSales[[#This Row],[Ngày Xuất]])</f>
        <v>9</v>
      </c>
      <c r="S205" s="56" t="s">
        <v>774</v>
      </c>
    </row>
    <row r="206" spans="1:19" x14ac:dyDescent="0.3">
      <c r="A206" s="34">
        <v>247</v>
      </c>
      <c r="B206" s="3" t="s">
        <v>187</v>
      </c>
      <c r="C206" s="3" t="s">
        <v>188</v>
      </c>
      <c r="D206" s="3" t="s">
        <v>18</v>
      </c>
      <c r="E206" s="4">
        <v>225000</v>
      </c>
      <c r="F206" s="2">
        <v>0</v>
      </c>
      <c r="G206" s="2">
        <v>30</v>
      </c>
      <c r="H206" s="4">
        <v>330000</v>
      </c>
      <c r="I206" s="4">
        <f t="shared" si="6"/>
        <v>330000</v>
      </c>
      <c r="J206" s="5">
        <v>45199</v>
      </c>
      <c r="K206" s="3" t="s">
        <v>274</v>
      </c>
      <c r="L206" s="3" t="str">
        <f>VLOOKUP(DataSales[[#This Row],[Khách hàng]],'RFM Table'!$A:$I,9,FALSE)</f>
        <v>Khách hàng Cần chú ý</v>
      </c>
      <c r="M206" s="4">
        <f t="shared" si="7"/>
        <v>105000</v>
      </c>
      <c r="N206" s="6">
        <v>0.31818181818181818</v>
      </c>
      <c r="O206" s="2">
        <v>30</v>
      </c>
      <c r="P206" s="6">
        <v>0</v>
      </c>
      <c r="Q206" s="36">
        <v>2023</v>
      </c>
      <c r="R206" s="56">
        <f>MONTH(DataSales[[#This Row],[Ngày Xuất]])</f>
        <v>9</v>
      </c>
      <c r="S206" s="56" t="s">
        <v>772</v>
      </c>
    </row>
    <row r="207" spans="1:19" x14ac:dyDescent="0.3">
      <c r="A207" s="35">
        <v>249</v>
      </c>
      <c r="B207" s="8" t="s">
        <v>329</v>
      </c>
      <c r="C207" s="8" t="s">
        <v>330</v>
      </c>
      <c r="D207" s="8" t="s">
        <v>32</v>
      </c>
      <c r="E207" s="9">
        <v>540000</v>
      </c>
      <c r="F207" s="7">
        <v>4</v>
      </c>
      <c r="G207" s="7">
        <v>12</v>
      </c>
      <c r="H207" s="9">
        <v>540000</v>
      </c>
      <c r="I207" s="9">
        <f t="shared" si="6"/>
        <v>540000</v>
      </c>
      <c r="J207" s="10">
        <v>45199</v>
      </c>
      <c r="K207" s="8" t="s">
        <v>61</v>
      </c>
      <c r="L207" s="8" t="str">
        <f>VLOOKUP(DataSales[[#This Row],[Khách hàng]],'RFM Table'!$A:$I,9,FALSE)</f>
        <v>Khách hàng Trung thành</v>
      </c>
      <c r="M207" s="9">
        <f t="shared" si="7"/>
        <v>0</v>
      </c>
      <c r="N207" s="11">
        <v>0</v>
      </c>
      <c r="O207" s="7">
        <v>16</v>
      </c>
      <c r="P207" s="11">
        <v>0.25</v>
      </c>
      <c r="Q207" s="37">
        <v>2023</v>
      </c>
      <c r="R207" s="56">
        <f>MONTH(DataSales[[#This Row],[Ngày Xuất]])</f>
        <v>9</v>
      </c>
      <c r="S207" s="56" t="s">
        <v>774</v>
      </c>
    </row>
    <row r="208" spans="1:19" x14ac:dyDescent="0.3">
      <c r="A208" s="34">
        <v>250</v>
      </c>
      <c r="B208" s="3" t="s">
        <v>331</v>
      </c>
      <c r="C208" s="3" t="s">
        <v>332</v>
      </c>
      <c r="D208" s="3" t="s">
        <v>32</v>
      </c>
      <c r="E208" s="4">
        <v>1152000</v>
      </c>
      <c r="F208" s="2">
        <v>3</v>
      </c>
      <c r="G208" s="2">
        <v>36</v>
      </c>
      <c r="H208" s="4">
        <v>1070000</v>
      </c>
      <c r="I208" s="4">
        <f t="shared" si="6"/>
        <v>1070000</v>
      </c>
      <c r="J208" s="5">
        <v>45199</v>
      </c>
      <c r="K208" s="3" t="s">
        <v>61</v>
      </c>
      <c r="L208" s="3" t="str">
        <f>VLOOKUP(DataSales[[#This Row],[Khách hàng]],'RFM Table'!$A:$I,9,FALSE)</f>
        <v>Khách hàng Trung thành</v>
      </c>
      <c r="M208" s="4">
        <f t="shared" si="7"/>
        <v>-82000</v>
      </c>
      <c r="N208" s="6">
        <v>-7.6635514018691592E-2</v>
      </c>
      <c r="O208" s="2">
        <v>39</v>
      </c>
      <c r="P208" s="6">
        <v>7.6923076923076927E-2</v>
      </c>
      <c r="Q208" s="36">
        <v>2023</v>
      </c>
      <c r="R208" s="56">
        <f>MONTH(DataSales[[#This Row],[Ngày Xuất]])</f>
        <v>9</v>
      </c>
      <c r="S208" s="56" t="s">
        <v>774</v>
      </c>
    </row>
    <row r="209" spans="1:19" x14ac:dyDescent="0.3">
      <c r="A209" s="35">
        <v>252</v>
      </c>
      <c r="B209" s="8" t="s">
        <v>51</v>
      </c>
      <c r="C209" s="8" t="s">
        <v>52</v>
      </c>
      <c r="D209" s="8" t="s">
        <v>47</v>
      </c>
      <c r="E209" s="9">
        <v>231000</v>
      </c>
      <c r="F209" s="7">
        <v>2</v>
      </c>
      <c r="G209" s="7">
        <v>12</v>
      </c>
      <c r="H209" s="9">
        <v>288000</v>
      </c>
      <c r="I209" s="9">
        <f t="shared" si="6"/>
        <v>288000</v>
      </c>
      <c r="J209" s="10">
        <v>45199</v>
      </c>
      <c r="K209" s="8" t="s">
        <v>61</v>
      </c>
      <c r="L209" s="8" t="str">
        <f>VLOOKUP(DataSales[[#This Row],[Khách hàng]],'RFM Table'!$A:$I,9,FALSE)</f>
        <v>Khách hàng Trung thành</v>
      </c>
      <c r="M209" s="9">
        <f t="shared" si="7"/>
        <v>57000</v>
      </c>
      <c r="N209" s="11">
        <v>0.19791666666666671</v>
      </c>
      <c r="O209" s="7">
        <v>14</v>
      </c>
      <c r="P209" s="11">
        <v>0.14285714285714279</v>
      </c>
      <c r="Q209" s="37">
        <v>2023</v>
      </c>
      <c r="R209" s="56">
        <f>MONTH(DataSales[[#This Row],[Ngày Xuất]])</f>
        <v>9</v>
      </c>
      <c r="S209" s="56" t="s">
        <v>777</v>
      </c>
    </row>
    <row r="210" spans="1:19" x14ac:dyDescent="0.3">
      <c r="A210" s="34">
        <v>253</v>
      </c>
      <c r="B210" s="3" t="s">
        <v>333</v>
      </c>
      <c r="C210" s="3" t="s">
        <v>334</v>
      </c>
      <c r="D210" s="3" t="s">
        <v>335</v>
      </c>
      <c r="E210" s="4">
        <v>242000</v>
      </c>
      <c r="F210" s="2">
        <v>0</v>
      </c>
      <c r="G210" s="2">
        <v>1</v>
      </c>
      <c r="H210" s="4">
        <v>247000</v>
      </c>
      <c r="I210" s="4">
        <f t="shared" si="6"/>
        <v>247000</v>
      </c>
      <c r="J210" s="5">
        <v>45199</v>
      </c>
      <c r="K210" s="3" t="s">
        <v>245</v>
      </c>
      <c r="L210" s="3" t="str">
        <f>VLOOKUP(DataSales[[#This Row],[Khách hàng]],'RFM Table'!$A:$I,9,FALSE)</f>
        <v>Khách hàng VIP</v>
      </c>
      <c r="M210" s="4">
        <f t="shared" si="7"/>
        <v>5000</v>
      </c>
      <c r="N210" s="6">
        <v>2.0242914979757089E-2</v>
      </c>
      <c r="O210" s="2">
        <v>1</v>
      </c>
      <c r="P210" s="6">
        <v>0</v>
      </c>
      <c r="Q210" s="36">
        <v>2023</v>
      </c>
      <c r="R210" s="56">
        <f>MONTH(DataSales[[#This Row],[Ngày Xuất]])</f>
        <v>9</v>
      </c>
      <c r="S210" s="56" t="s">
        <v>781</v>
      </c>
    </row>
    <row r="211" spans="1:19" x14ac:dyDescent="0.3">
      <c r="A211" s="35">
        <v>255</v>
      </c>
      <c r="B211" s="8" t="s">
        <v>336</v>
      </c>
      <c r="C211" s="8" t="s">
        <v>337</v>
      </c>
      <c r="D211" s="8" t="s">
        <v>47</v>
      </c>
      <c r="E211" s="9">
        <v>271800</v>
      </c>
      <c r="F211" s="7">
        <v>0</v>
      </c>
      <c r="G211" s="7">
        <v>6</v>
      </c>
      <c r="H211" s="9">
        <v>276000</v>
      </c>
      <c r="I211" s="9">
        <f t="shared" si="6"/>
        <v>276000</v>
      </c>
      <c r="J211" s="10">
        <v>45201</v>
      </c>
      <c r="K211" s="8" t="s">
        <v>265</v>
      </c>
      <c r="L211" s="8" t="str">
        <f>VLOOKUP(DataSales[[#This Row],[Khách hàng]],'RFM Table'!$A:$I,9,FALSE)</f>
        <v>Khách hàng VIP</v>
      </c>
      <c r="M211" s="9">
        <f t="shared" si="7"/>
        <v>4200</v>
      </c>
      <c r="N211" s="11">
        <v>1.521739130434783E-2</v>
      </c>
      <c r="O211" s="7">
        <v>6</v>
      </c>
      <c r="P211" s="11">
        <v>0</v>
      </c>
      <c r="Q211" s="37">
        <v>2023</v>
      </c>
      <c r="R211" s="56">
        <f>MONTH(DataSales[[#This Row],[Ngày Xuất]])</f>
        <v>10</v>
      </c>
      <c r="S211" s="56" t="s">
        <v>780</v>
      </c>
    </row>
    <row r="212" spans="1:19" x14ac:dyDescent="0.3">
      <c r="A212" s="34">
        <v>256</v>
      </c>
      <c r="B212" s="3" t="s">
        <v>336</v>
      </c>
      <c r="C212" s="3" t="s">
        <v>337</v>
      </c>
      <c r="D212" s="3" t="s">
        <v>47</v>
      </c>
      <c r="E212" s="4">
        <v>453000</v>
      </c>
      <c r="F212" s="2">
        <v>0</v>
      </c>
      <c r="G212" s="2">
        <v>10</v>
      </c>
      <c r="H212" s="4">
        <v>460000</v>
      </c>
      <c r="I212" s="4">
        <f t="shared" si="6"/>
        <v>460000</v>
      </c>
      <c r="J212" s="5">
        <v>45201</v>
      </c>
      <c r="K212" s="3" t="s">
        <v>338</v>
      </c>
      <c r="L212" s="3" t="str">
        <f>VLOOKUP(DataSales[[#This Row],[Khách hàng]],'RFM Table'!$A:$I,9,FALSE)</f>
        <v>Khách hàng Trung thành</v>
      </c>
      <c r="M212" s="4">
        <f t="shared" si="7"/>
        <v>7000</v>
      </c>
      <c r="N212" s="6">
        <v>1.521739130434783E-2</v>
      </c>
      <c r="O212" s="2">
        <v>10</v>
      </c>
      <c r="P212" s="6">
        <v>0</v>
      </c>
      <c r="Q212" s="36">
        <v>2023</v>
      </c>
      <c r="R212" s="56">
        <f>MONTH(DataSales[[#This Row],[Ngày Xuất]])</f>
        <v>10</v>
      </c>
      <c r="S212" s="56" t="s">
        <v>780</v>
      </c>
    </row>
    <row r="213" spans="1:19" x14ac:dyDescent="0.3">
      <c r="A213" s="35">
        <v>257</v>
      </c>
      <c r="B213" s="8" t="s">
        <v>336</v>
      </c>
      <c r="C213" s="8" t="s">
        <v>337</v>
      </c>
      <c r="D213" s="8" t="s">
        <v>47</v>
      </c>
      <c r="E213" s="9">
        <v>1087200</v>
      </c>
      <c r="F213" s="7">
        <v>4</v>
      </c>
      <c r="G213" s="7">
        <v>24</v>
      </c>
      <c r="H213" s="9">
        <v>1004000</v>
      </c>
      <c r="I213" s="9">
        <f t="shared" si="6"/>
        <v>1004000</v>
      </c>
      <c r="J213" s="10">
        <v>45201</v>
      </c>
      <c r="K213" s="8" t="s">
        <v>339</v>
      </c>
      <c r="L213" s="8" t="str">
        <f>VLOOKUP(DataSales[[#This Row],[Khách hàng]],'RFM Table'!$A:$I,9,FALSE)</f>
        <v>Khách hàng Cần chú ý</v>
      </c>
      <c r="M213" s="9">
        <f t="shared" si="7"/>
        <v>-83200</v>
      </c>
      <c r="N213" s="11">
        <v>-8.2868525896414344E-2</v>
      </c>
      <c r="O213" s="7">
        <v>28</v>
      </c>
      <c r="P213" s="11">
        <v>0.14285714285714279</v>
      </c>
      <c r="Q213" s="37">
        <v>2023</v>
      </c>
      <c r="R213" s="56">
        <f>MONTH(DataSales[[#This Row],[Ngày Xuất]])</f>
        <v>10</v>
      </c>
      <c r="S213" s="56" t="s">
        <v>780</v>
      </c>
    </row>
    <row r="214" spans="1:19" x14ac:dyDescent="0.3">
      <c r="A214" s="34">
        <v>258</v>
      </c>
      <c r="B214" s="3" t="s">
        <v>57</v>
      </c>
      <c r="C214" s="3" t="s">
        <v>58</v>
      </c>
      <c r="D214" s="3" t="s">
        <v>18</v>
      </c>
      <c r="E214" s="4">
        <v>77000</v>
      </c>
      <c r="F214" s="2">
        <v>0</v>
      </c>
      <c r="G214" s="2">
        <v>10</v>
      </c>
      <c r="H214" s="4">
        <v>100000</v>
      </c>
      <c r="I214" s="4">
        <f t="shared" si="6"/>
        <v>100000</v>
      </c>
      <c r="J214" s="5">
        <v>45202</v>
      </c>
      <c r="K214" s="3" t="s">
        <v>225</v>
      </c>
      <c r="L214" s="3" t="str">
        <f>VLOOKUP(DataSales[[#This Row],[Khách hàng]],'RFM Table'!$A:$I,9,FALSE)</f>
        <v>Khách hàng Cần chú ý</v>
      </c>
      <c r="M214" s="4">
        <f t="shared" si="7"/>
        <v>23000</v>
      </c>
      <c r="N214" s="6">
        <v>0.23</v>
      </c>
      <c r="O214" s="2">
        <v>10</v>
      </c>
      <c r="P214" s="6">
        <v>0</v>
      </c>
      <c r="Q214" s="36">
        <v>2023</v>
      </c>
      <c r="R214" s="56">
        <f>MONTH(DataSales[[#This Row],[Ngày Xuất]])</f>
        <v>10</v>
      </c>
      <c r="S214" s="56" t="s">
        <v>775</v>
      </c>
    </row>
    <row r="215" spans="1:19" x14ac:dyDescent="0.3">
      <c r="A215" s="35">
        <v>259</v>
      </c>
      <c r="B215" s="8" t="s">
        <v>119</v>
      </c>
      <c r="C215" s="8" t="s">
        <v>120</v>
      </c>
      <c r="D215" s="8" t="s">
        <v>47</v>
      </c>
      <c r="E215" s="9">
        <v>1200000</v>
      </c>
      <c r="F215" s="7">
        <v>12</v>
      </c>
      <c r="G215" s="7">
        <v>12</v>
      </c>
      <c r="H215" s="9">
        <v>1308000</v>
      </c>
      <c r="I215" s="9">
        <f t="shared" si="6"/>
        <v>1308000</v>
      </c>
      <c r="J215" s="10">
        <v>45202</v>
      </c>
      <c r="K215" s="8" t="s">
        <v>340</v>
      </c>
      <c r="L215" s="8" t="str">
        <f>VLOOKUP(DataSales[[#This Row],[Khách hàng]],'RFM Table'!$A:$I,9,FALSE)</f>
        <v>Khách hàng Cần chú ý</v>
      </c>
      <c r="M215" s="9">
        <f t="shared" si="7"/>
        <v>108000</v>
      </c>
      <c r="N215" s="11">
        <v>8.2568807339449546E-2</v>
      </c>
      <c r="O215" s="7">
        <v>24</v>
      </c>
      <c r="P215" s="11">
        <v>0.5</v>
      </c>
      <c r="Q215" s="37">
        <v>2023</v>
      </c>
      <c r="R215" s="56">
        <f>MONTH(DataSales[[#This Row],[Ngày Xuất]])</f>
        <v>10</v>
      </c>
      <c r="S215" s="56" t="s">
        <v>779</v>
      </c>
    </row>
    <row r="216" spans="1:19" x14ac:dyDescent="0.3">
      <c r="A216" s="34">
        <v>260</v>
      </c>
      <c r="B216" s="3" t="s">
        <v>248</v>
      </c>
      <c r="C216" s="3" t="s">
        <v>249</v>
      </c>
      <c r="D216" s="3" t="s">
        <v>250</v>
      </c>
      <c r="E216" s="4">
        <v>420000</v>
      </c>
      <c r="F216" s="2">
        <v>2</v>
      </c>
      <c r="G216" s="2">
        <v>10</v>
      </c>
      <c r="H216" s="4">
        <v>384000</v>
      </c>
      <c r="I216" s="4">
        <f t="shared" si="6"/>
        <v>384000</v>
      </c>
      <c r="J216" s="5">
        <v>45204</v>
      </c>
      <c r="K216" s="3" t="s">
        <v>341</v>
      </c>
      <c r="L216" s="3" t="str">
        <f>VLOOKUP(DataSales[[#This Row],[Khách hàng]],'RFM Table'!$A:$I,9,FALSE)</f>
        <v>Khách hàng VIP</v>
      </c>
      <c r="M216" s="4">
        <f t="shared" si="7"/>
        <v>-36000</v>
      </c>
      <c r="N216" s="6">
        <v>-9.375E-2</v>
      </c>
      <c r="O216" s="2">
        <v>12</v>
      </c>
      <c r="P216" s="6">
        <v>0.16666666666666671</v>
      </c>
      <c r="Q216" s="36">
        <v>2023</v>
      </c>
      <c r="R216" s="56">
        <f>MONTH(DataSales[[#This Row],[Ngày Xuất]])</f>
        <v>10</v>
      </c>
      <c r="S216" s="56" t="s">
        <v>779</v>
      </c>
    </row>
    <row r="217" spans="1:19" x14ac:dyDescent="0.3">
      <c r="A217" s="35">
        <v>261</v>
      </c>
      <c r="B217" s="8" t="s">
        <v>40</v>
      </c>
      <c r="C217" s="8" t="s">
        <v>41</v>
      </c>
      <c r="D217" s="8" t="s">
        <v>18</v>
      </c>
      <c r="E217" s="9">
        <v>2112000</v>
      </c>
      <c r="F217" s="7">
        <v>48</v>
      </c>
      <c r="G217" s="7">
        <v>192</v>
      </c>
      <c r="H217" s="9">
        <v>2256000</v>
      </c>
      <c r="I217" s="9">
        <f t="shared" si="6"/>
        <v>2256000</v>
      </c>
      <c r="J217" s="10">
        <v>45204</v>
      </c>
      <c r="K217" s="8" t="s">
        <v>341</v>
      </c>
      <c r="L217" s="8" t="str">
        <f>VLOOKUP(DataSales[[#This Row],[Khách hàng]],'RFM Table'!$A:$I,9,FALSE)</f>
        <v>Khách hàng VIP</v>
      </c>
      <c r="M217" s="9">
        <f t="shared" si="7"/>
        <v>144000</v>
      </c>
      <c r="N217" s="11">
        <v>6.3829787234042548E-2</v>
      </c>
      <c r="O217" s="7">
        <v>240</v>
      </c>
      <c r="P217" s="11">
        <v>0.2</v>
      </c>
      <c r="Q217" s="37">
        <v>2023</v>
      </c>
      <c r="R217" s="56">
        <f>MONTH(DataSales[[#This Row],[Ngày Xuất]])</f>
        <v>10</v>
      </c>
      <c r="S217" s="56" t="s">
        <v>772</v>
      </c>
    </row>
    <row r="218" spans="1:19" x14ac:dyDescent="0.3">
      <c r="A218" s="34">
        <v>263</v>
      </c>
      <c r="B218" s="3" t="s">
        <v>342</v>
      </c>
      <c r="C218" s="3" t="s">
        <v>343</v>
      </c>
      <c r="D218" s="3" t="s">
        <v>18</v>
      </c>
      <c r="E218" s="4">
        <v>412911</v>
      </c>
      <c r="F218" s="2">
        <v>1</v>
      </c>
      <c r="G218" s="2">
        <v>9</v>
      </c>
      <c r="H218" s="4">
        <v>421200</v>
      </c>
      <c r="I218" s="4">
        <f t="shared" si="6"/>
        <v>421200</v>
      </c>
      <c r="J218" s="5">
        <v>45204</v>
      </c>
      <c r="K218" s="3" t="s">
        <v>73</v>
      </c>
      <c r="L218" s="3" t="str">
        <f>VLOOKUP(DataSales[[#This Row],[Khách hàng]],'RFM Table'!$A:$I,9,FALSE)</f>
        <v>Khách hàng Cần chú ý</v>
      </c>
      <c r="M218" s="4">
        <f t="shared" si="7"/>
        <v>8289</v>
      </c>
      <c r="N218" s="6">
        <v>1.9679487179487181E-2</v>
      </c>
      <c r="O218" s="2">
        <v>10</v>
      </c>
      <c r="P218" s="6">
        <v>0.1</v>
      </c>
      <c r="Q218" s="36">
        <v>2023</v>
      </c>
      <c r="R218" s="56">
        <f>MONTH(DataSales[[#This Row],[Ngày Xuất]])</f>
        <v>10</v>
      </c>
      <c r="S218" s="56" t="s">
        <v>772</v>
      </c>
    </row>
    <row r="219" spans="1:19" x14ac:dyDescent="0.3">
      <c r="A219" s="35">
        <v>264</v>
      </c>
      <c r="B219" s="8" t="s">
        <v>344</v>
      </c>
      <c r="C219" s="8" t="s">
        <v>345</v>
      </c>
      <c r="D219" s="8" t="s">
        <v>18</v>
      </c>
      <c r="E219" s="9">
        <v>26250</v>
      </c>
      <c r="F219" s="7">
        <v>0</v>
      </c>
      <c r="G219" s="7">
        <v>5</v>
      </c>
      <c r="H219" s="9">
        <v>35000</v>
      </c>
      <c r="I219" s="9">
        <f t="shared" si="6"/>
        <v>35000</v>
      </c>
      <c r="J219" s="10">
        <v>45204</v>
      </c>
      <c r="K219" s="8" t="s">
        <v>346</v>
      </c>
      <c r="L219" s="8" t="str">
        <f>VLOOKUP(DataSales[[#This Row],[Khách hàng]],'RFM Table'!$A:$I,9,FALSE)</f>
        <v>Khách hàng Cần chú ý</v>
      </c>
      <c r="M219" s="9">
        <f t="shared" si="7"/>
        <v>8750</v>
      </c>
      <c r="N219" s="11">
        <v>0.25</v>
      </c>
      <c r="O219" s="7">
        <v>5</v>
      </c>
      <c r="P219" s="11">
        <v>0</v>
      </c>
      <c r="Q219" s="37">
        <v>2023</v>
      </c>
      <c r="R219" s="56">
        <f>MONTH(DataSales[[#This Row],[Ngày Xuất]])</f>
        <v>10</v>
      </c>
      <c r="S219" s="56" t="s">
        <v>776</v>
      </c>
    </row>
    <row r="220" spans="1:19" x14ac:dyDescent="0.3">
      <c r="A220" s="34">
        <v>265</v>
      </c>
      <c r="B220" s="3" t="s">
        <v>347</v>
      </c>
      <c r="C220" s="3" t="s">
        <v>348</v>
      </c>
      <c r="D220" s="3" t="s">
        <v>18</v>
      </c>
      <c r="E220" s="4">
        <v>26250</v>
      </c>
      <c r="F220" s="2">
        <v>0</v>
      </c>
      <c r="G220" s="2">
        <v>5</v>
      </c>
      <c r="H220" s="4">
        <v>35000</v>
      </c>
      <c r="I220" s="4">
        <f t="shared" si="6"/>
        <v>35000</v>
      </c>
      <c r="J220" s="5">
        <v>45204</v>
      </c>
      <c r="K220" s="3" t="s">
        <v>346</v>
      </c>
      <c r="L220" s="3" t="str">
        <f>VLOOKUP(DataSales[[#This Row],[Khách hàng]],'RFM Table'!$A:$I,9,FALSE)</f>
        <v>Khách hàng Cần chú ý</v>
      </c>
      <c r="M220" s="4">
        <f t="shared" si="7"/>
        <v>8750</v>
      </c>
      <c r="N220" s="6">
        <v>0.25</v>
      </c>
      <c r="O220" s="2">
        <v>5</v>
      </c>
      <c r="P220" s="6">
        <v>0</v>
      </c>
      <c r="Q220" s="36">
        <v>2023</v>
      </c>
      <c r="R220" s="56">
        <f>MONTH(DataSales[[#This Row],[Ngày Xuất]])</f>
        <v>10</v>
      </c>
      <c r="S220" s="56" t="s">
        <v>776</v>
      </c>
    </row>
    <row r="221" spans="1:19" x14ac:dyDescent="0.3">
      <c r="A221" s="35">
        <v>266</v>
      </c>
      <c r="B221" s="8" t="s">
        <v>292</v>
      </c>
      <c r="C221" s="8" t="s">
        <v>293</v>
      </c>
      <c r="D221" s="8" t="s">
        <v>18</v>
      </c>
      <c r="E221" s="9">
        <v>26250</v>
      </c>
      <c r="F221" s="7">
        <v>0</v>
      </c>
      <c r="G221" s="7">
        <v>5</v>
      </c>
      <c r="H221" s="9">
        <v>35000</v>
      </c>
      <c r="I221" s="9">
        <f t="shared" si="6"/>
        <v>35000</v>
      </c>
      <c r="J221" s="10">
        <v>45204</v>
      </c>
      <c r="K221" s="8" t="s">
        <v>346</v>
      </c>
      <c r="L221" s="8" t="str">
        <f>VLOOKUP(DataSales[[#This Row],[Khách hàng]],'RFM Table'!$A:$I,9,FALSE)</f>
        <v>Khách hàng Cần chú ý</v>
      </c>
      <c r="M221" s="9">
        <f t="shared" si="7"/>
        <v>8750</v>
      </c>
      <c r="N221" s="11">
        <v>0.25</v>
      </c>
      <c r="O221" s="7">
        <v>5</v>
      </c>
      <c r="P221" s="11">
        <v>0</v>
      </c>
      <c r="Q221" s="37">
        <v>2023</v>
      </c>
      <c r="R221" s="56">
        <f>MONTH(DataSales[[#This Row],[Ngày Xuất]])</f>
        <v>10</v>
      </c>
      <c r="S221" s="56" t="s">
        <v>776</v>
      </c>
    </row>
    <row r="222" spans="1:19" x14ac:dyDescent="0.3">
      <c r="A222" s="34">
        <v>267</v>
      </c>
      <c r="B222" s="3" t="s">
        <v>336</v>
      </c>
      <c r="C222" s="3" t="s">
        <v>337</v>
      </c>
      <c r="D222" s="3" t="s">
        <v>47</v>
      </c>
      <c r="E222" s="4">
        <v>181200</v>
      </c>
      <c r="F222" s="2">
        <v>1</v>
      </c>
      <c r="G222" s="2">
        <v>4</v>
      </c>
      <c r="H222" s="4">
        <v>154000</v>
      </c>
      <c r="I222" s="4">
        <f t="shared" si="6"/>
        <v>154000</v>
      </c>
      <c r="J222" s="5">
        <v>45204</v>
      </c>
      <c r="K222" s="3" t="s">
        <v>150</v>
      </c>
      <c r="L222" s="3" t="str">
        <f>VLOOKUP(DataSales[[#This Row],[Khách hàng]],'RFM Table'!$A:$I,9,FALSE)</f>
        <v>Khách hàng Trung thành</v>
      </c>
      <c r="M222" s="4">
        <f t="shared" si="7"/>
        <v>-27200</v>
      </c>
      <c r="N222" s="6">
        <v>-0.1766233766233766</v>
      </c>
      <c r="O222" s="2">
        <v>5</v>
      </c>
      <c r="P222" s="6">
        <v>0.2</v>
      </c>
      <c r="Q222" s="36">
        <v>2023</v>
      </c>
      <c r="R222" s="56">
        <f>MONTH(DataSales[[#This Row],[Ngày Xuất]])</f>
        <v>10</v>
      </c>
      <c r="S222" s="56" t="s">
        <v>780</v>
      </c>
    </row>
    <row r="223" spans="1:19" x14ac:dyDescent="0.3">
      <c r="A223" s="35">
        <v>268</v>
      </c>
      <c r="B223" s="8" t="s">
        <v>349</v>
      </c>
      <c r="C223" s="8" t="s">
        <v>350</v>
      </c>
      <c r="D223" s="8" t="s">
        <v>47</v>
      </c>
      <c r="E223" s="9">
        <v>181200</v>
      </c>
      <c r="F223" s="7">
        <v>0</v>
      </c>
      <c r="G223" s="7">
        <v>4</v>
      </c>
      <c r="H223" s="9">
        <v>200000</v>
      </c>
      <c r="I223" s="9">
        <f t="shared" si="6"/>
        <v>200000</v>
      </c>
      <c r="J223" s="10">
        <v>45204</v>
      </c>
      <c r="K223" s="8" t="s">
        <v>150</v>
      </c>
      <c r="L223" s="8" t="str">
        <f>VLOOKUP(DataSales[[#This Row],[Khách hàng]],'RFM Table'!$A:$I,9,FALSE)</f>
        <v>Khách hàng Trung thành</v>
      </c>
      <c r="M223" s="9">
        <f t="shared" si="7"/>
        <v>18800</v>
      </c>
      <c r="N223" s="11">
        <v>9.4E-2</v>
      </c>
      <c r="O223" s="7">
        <v>4</v>
      </c>
      <c r="P223" s="11">
        <v>0</v>
      </c>
      <c r="Q223" s="37">
        <v>2023</v>
      </c>
      <c r="R223" s="56">
        <f>MONTH(DataSales[[#This Row],[Ngày Xuất]])</f>
        <v>10</v>
      </c>
      <c r="S223" s="56" t="s">
        <v>780</v>
      </c>
    </row>
    <row r="224" spans="1:19" x14ac:dyDescent="0.3">
      <c r="A224" s="34">
        <v>269</v>
      </c>
      <c r="B224" s="3" t="s">
        <v>351</v>
      </c>
      <c r="C224" s="3" t="s">
        <v>352</v>
      </c>
      <c r="D224" s="3" t="s">
        <v>47</v>
      </c>
      <c r="E224" s="4">
        <v>181200</v>
      </c>
      <c r="F224" s="2">
        <v>0</v>
      </c>
      <c r="G224" s="2">
        <v>4</v>
      </c>
      <c r="H224" s="4">
        <v>200000</v>
      </c>
      <c r="I224" s="4">
        <f t="shared" si="6"/>
        <v>200000</v>
      </c>
      <c r="J224" s="5">
        <v>45204</v>
      </c>
      <c r="K224" s="3" t="s">
        <v>150</v>
      </c>
      <c r="L224" s="3" t="str">
        <f>VLOOKUP(DataSales[[#This Row],[Khách hàng]],'RFM Table'!$A:$I,9,FALSE)</f>
        <v>Khách hàng Trung thành</v>
      </c>
      <c r="M224" s="4">
        <f t="shared" si="7"/>
        <v>18800</v>
      </c>
      <c r="N224" s="6">
        <v>9.4E-2</v>
      </c>
      <c r="O224" s="2">
        <v>4</v>
      </c>
      <c r="P224" s="6">
        <v>0</v>
      </c>
      <c r="Q224" s="36">
        <v>2023</v>
      </c>
      <c r="R224" s="56">
        <f>MONTH(DataSales[[#This Row],[Ngày Xuất]])</f>
        <v>10</v>
      </c>
      <c r="S224" s="56" t="s">
        <v>780</v>
      </c>
    </row>
    <row r="225" spans="1:19" x14ac:dyDescent="0.3">
      <c r="A225" s="35">
        <v>270</v>
      </c>
      <c r="B225" s="8" t="s">
        <v>333</v>
      </c>
      <c r="C225" s="8" t="s">
        <v>334</v>
      </c>
      <c r="D225" s="8" t="s">
        <v>335</v>
      </c>
      <c r="E225" s="9">
        <v>484000</v>
      </c>
      <c r="F225" s="7">
        <v>0</v>
      </c>
      <c r="G225" s="7">
        <v>2</v>
      </c>
      <c r="H225" s="9">
        <v>498000</v>
      </c>
      <c r="I225" s="9">
        <f t="shared" si="6"/>
        <v>498000</v>
      </c>
      <c r="J225" s="10">
        <v>45204</v>
      </c>
      <c r="K225" s="8" t="s">
        <v>150</v>
      </c>
      <c r="L225" s="8" t="str">
        <f>VLOOKUP(DataSales[[#This Row],[Khách hàng]],'RFM Table'!$A:$I,9,FALSE)</f>
        <v>Khách hàng Trung thành</v>
      </c>
      <c r="M225" s="9">
        <f t="shared" si="7"/>
        <v>14000</v>
      </c>
      <c r="N225" s="11">
        <v>2.811244979919679E-2</v>
      </c>
      <c r="O225" s="7">
        <v>2</v>
      </c>
      <c r="P225" s="11">
        <v>0</v>
      </c>
      <c r="Q225" s="37">
        <v>2023</v>
      </c>
      <c r="R225" s="56">
        <f>MONTH(DataSales[[#This Row],[Ngày Xuất]])</f>
        <v>10</v>
      </c>
      <c r="S225" s="56" t="s">
        <v>781</v>
      </c>
    </row>
    <row r="226" spans="1:19" x14ac:dyDescent="0.3">
      <c r="A226" s="34">
        <v>271</v>
      </c>
      <c r="B226" s="3" t="s">
        <v>353</v>
      </c>
      <c r="C226" s="3" t="s">
        <v>354</v>
      </c>
      <c r="D226" s="3" t="s">
        <v>158</v>
      </c>
      <c r="E226" s="4">
        <v>75000</v>
      </c>
      <c r="F226" s="2">
        <v>0</v>
      </c>
      <c r="G226" s="2">
        <v>2</v>
      </c>
      <c r="H226" s="4">
        <v>82000</v>
      </c>
      <c r="I226" s="4">
        <f t="shared" si="6"/>
        <v>82000</v>
      </c>
      <c r="J226" s="5">
        <v>45204</v>
      </c>
      <c r="K226" s="3" t="s">
        <v>287</v>
      </c>
      <c r="L226" s="3" t="str">
        <f>VLOOKUP(DataSales[[#This Row],[Khách hàng]],'RFM Table'!$A:$I,9,FALSE)</f>
        <v>Khách hàng Trung thành</v>
      </c>
      <c r="M226" s="4">
        <f t="shared" si="7"/>
        <v>7000</v>
      </c>
      <c r="N226" s="6">
        <v>8.5365853658536592E-2</v>
      </c>
      <c r="O226" s="2">
        <v>2</v>
      </c>
      <c r="P226" s="6">
        <v>0</v>
      </c>
      <c r="Q226" s="36">
        <v>2023</v>
      </c>
      <c r="R226" s="56">
        <f>MONTH(DataSales[[#This Row],[Ngày Xuất]])</f>
        <v>10</v>
      </c>
      <c r="S226" s="56" t="s">
        <v>776</v>
      </c>
    </row>
    <row r="227" spans="1:19" x14ac:dyDescent="0.3">
      <c r="A227" s="35">
        <v>272</v>
      </c>
      <c r="B227" s="8" t="s">
        <v>344</v>
      </c>
      <c r="C227" s="8" t="s">
        <v>345</v>
      </c>
      <c r="D227" s="8" t="s">
        <v>18</v>
      </c>
      <c r="E227" s="9">
        <v>0</v>
      </c>
      <c r="F227" s="7">
        <v>0</v>
      </c>
      <c r="G227" s="7">
        <v>0</v>
      </c>
      <c r="H227" s="9">
        <v>-70000</v>
      </c>
      <c r="I227" s="9">
        <f t="shared" si="6"/>
        <v>-70000</v>
      </c>
      <c r="J227" s="10">
        <v>45204</v>
      </c>
      <c r="K227" s="8" t="s">
        <v>287</v>
      </c>
      <c r="L227" s="8" t="str">
        <f>VLOOKUP(DataSales[[#This Row],[Khách hàng]],'RFM Table'!$A:$I,9,FALSE)</f>
        <v>Khách hàng Trung thành</v>
      </c>
      <c r="M227" s="9">
        <f t="shared" si="7"/>
        <v>-70000</v>
      </c>
      <c r="N227" s="11">
        <v>1</v>
      </c>
      <c r="O227" s="7">
        <v>0</v>
      </c>
      <c r="P227" s="11">
        <v>0</v>
      </c>
      <c r="Q227" s="37">
        <v>2023</v>
      </c>
      <c r="R227" s="56">
        <f>MONTH(DataSales[[#This Row],[Ngày Xuất]])</f>
        <v>10</v>
      </c>
      <c r="S227" s="56" t="s">
        <v>776</v>
      </c>
    </row>
    <row r="228" spans="1:19" x14ac:dyDescent="0.3">
      <c r="A228" s="34">
        <v>274</v>
      </c>
      <c r="B228" s="3" t="s">
        <v>187</v>
      </c>
      <c r="C228" s="3" t="s">
        <v>188</v>
      </c>
      <c r="D228" s="3" t="s">
        <v>18</v>
      </c>
      <c r="E228" s="4">
        <v>75000</v>
      </c>
      <c r="F228" s="2">
        <v>1</v>
      </c>
      <c r="G228" s="2">
        <v>10</v>
      </c>
      <c r="H228" s="4">
        <v>110000</v>
      </c>
      <c r="I228" s="4">
        <f t="shared" si="6"/>
        <v>110000</v>
      </c>
      <c r="J228" s="5">
        <v>45204</v>
      </c>
      <c r="K228" s="3" t="s">
        <v>287</v>
      </c>
      <c r="L228" s="3" t="str">
        <f>VLOOKUP(DataSales[[#This Row],[Khách hàng]],'RFM Table'!$A:$I,9,FALSE)</f>
        <v>Khách hàng Trung thành</v>
      </c>
      <c r="M228" s="4">
        <f t="shared" si="7"/>
        <v>35000</v>
      </c>
      <c r="N228" s="6">
        <v>0.31818181818181818</v>
      </c>
      <c r="O228" s="2">
        <v>11</v>
      </c>
      <c r="P228" s="6">
        <v>9.0909090909090912E-2</v>
      </c>
      <c r="Q228" s="36">
        <v>2023</v>
      </c>
      <c r="R228" s="56">
        <f>MONTH(DataSales[[#This Row],[Ngày Xuất]])</f>
        <v>10</v>
      </c>
      <c r="S228" s="56" t="s">
        <v>772</v>
      </c>
    </row>
    <row r="229" spans="1:19" x14ac:dyDescent="0.3">
      <c r="A229" s="35">
        <v>275</v>
      </c>
      <c r="B229" s="8" t="s">
        <v>254</v>
      </c>
      <c r="C229" s="8" t="s">
        <v>255</v>
      </c>
      <c r="D229" s="8" t="s">
        <v>155</v>
      </c>
      <c r="E229" s="9">
        <v>424800</v>
      </c>
      <c r="F229" s="7">
        <v>0</v>
      </c>
      <c r="G229" s="7">
        <v>2</v>
      </c>
      <c r="H229" s="9">
        <v>477600</v>
      </c>
      <c r="I229" s="9">
        <f t="shared" si="6"/>
        <v>477600</v>
      </c>
      <c r="J229" s="10">
        <v>45205</v>
      </c>
      <c r="K229" s="8" t="s">
        <v>82</v>
      </c>
      <c r="L229" s="8" t="str">
        <f>VLOOKUP(DataSales[[#This Row],[Khách hàng]],'RFM Table'!$A:$I,9,FALSE)</f>
        <v>Khách hàng Trung thành</v>
      </c>
      <c r="M229" s="9">
        <f t="shared" si="7"/>
        <v>52800</v>
      </c>
      <c r="N229" s="11">
        <v>0.1105527638190955</v>
      </c>
      <c r="O229" s="7">
        <v>2</v>
      </c>
      <c r="P229" s="11">
        <v>0</v>
      </c>
      <c r="Q229" s="37">
        <v>2023</v>
      </c>
      <c r="R229" s="56">
        <f>MONTH(DataSales[[#This Row],[Ngày Xuất]])</f>
        <v>10</v>
      </c>
      <c r="S229" s="56" t="s">
        <v>782</v>
      </c>
    </row>
    <row r="230" spans="1:19" x14ac:dyDescent="0.3">
      <c r="A230" s="34">
        <v>276</v>
      </c>
      <c r="B230" s="3" t="s">
        <v>248</v>
      </c>
      <c r="C230" s="3" t="s">
        <v>249</v>
      </c>
      <c r="D230" s="3" t="s">
        <v>250</v>
      </c>
      <c r="E230" s="4">
        <v>420000</v>
      </c>
      <c r="F230" s="2">
        <v>2</v>
      </c>
      <c r="G230" s="2">
        <v>10</v>
      </c>
      <c r="H230" s="4">
        <v>460000</v>
      </c>
      <c r="I230" s="4">
        <f t="shared" si="6"/>
        <v>460000</v>
      </c>
      <c r="J230" s="5">
        <v>45205</v>
      </c>
      <c r="K230" s="3" t="s">
        <v>355</v>
      </c>
      <c r="L230" s="3" t="str">
        <f>VLOOKUP(DataSales[[#This Row],[Khách hàng]],'RFM Table'!$A:$I,9,FALSE)</f>
        <v>Khách hàng Cần chú ý</v>
      </c>
      <c r="M230" s="4">
        <f t="shared" si="7"/>
        <v>40000</v>
      </c>
      <c r="N230" s="6">
        <v>8.6956521739130432E-2</v>
      </c>
      <c r="O230" s="2">
        <v>12</v>
      </c>
      <c r="P230" s="6">
        <v>0.16666666666666671</v>
      </c>
      <c r="Q230" s="36">
        <v>2023</v>
      </c>
      <c r="R230" s="56">
        <f>MONTH(DataSales[[#This Row],[Ngày Xuất]])</f>
        <v>10</v>
      </c>
      <c r="S230" s="56" t="s">
        <v>779</v>
      </c>
    </row>
    <row r="231" spans="1:19" x14ac:dyDescent="0.3">
      <c r="A231" s="35">
        <v>277</v>
      </c>
      <c r="B231" s="8" t="s">
        <v>356</v>
      </c>
      <c r="C231" s="8" t="s">
        <v>357</v>
      </c>
      <c r="D231" s="8" t="s">
        <v>18</v>
      </c>
      <c r="E231" s="9">
        <v>138000</v>
      </c>
      <c r="F231" s="7">
        <v>0</v>
      </c>
      <c r="G231" s="7">
        <v>12</v>
      </c>
      <c r="H231" s="9">
        <v>168000</v>
      </c>
      <c r="I231" s="9">
        <f t="shared" si="6"/>
        <v>168000</v>
      </c>
      <c r="J231" s="10">
        <v>45205</v>
      </c>
      <c r="K231" s="8" t="s">
        <v>358</v>
      </c>
      <c r="L231" s="8" t="str">
        <f>VLOOKUP(DataSales[[#This Row],[Khách hàng]],'RFM Table'!$A:$I,9,FALSE)</f>
        <v>Khách hàng Cần chú ý</v>
      </c>
      <c r="M231" s="9">
        <f t="shared" si="7"/>
        <v>30000</v>
      </c>
      <c r="N231" s="11">
        <v>0.1785714285714286</v>
      </c>
      <c r="O231" s="7">
        <v>12</v>
      </c>
      <c r="P231" s="11">
        <v>0</v>
      </c>
      <c r="Q231" s="37">
        <v>2023</v>
      </c>
      <c r="R231" s="56">
        <f>MONTH(DataSales[[#This Row],[Ngày Xuất]])</f>
        <v>10</v>
      </c>
      <c r="S231" s="56" t="s">
        <v>773</v>
      </c>
    </row>
    <row r="232" spans="1:19" x14ac:dyDescent="0.3">
      <c r="A232" s="34">
        <v>278</v>
      </c>
      <c r="B232" s="3" t="s">
        <v>336</v>
      </c>
      <c r="C232" s="3" t="s">
        <v>337</v>
      </c>
      <c r="D232" s="3" t="s">
        <v>47</v>
      </c>
      <c r="E232" s="4">
        <v>181200</v>
      </c>
      <c r="F232" s="2">
        <v>0</v>
      </c>
      <c r="G232" s="2">
        <v>4</v>
      </c>
      <c r="H232" s="4">
        <v>184000</v>
      </c>
      <c r="I232" s="4">
        <f t="shared" si="6"/>
        <v>184000</v>
      </c>
      <c r="J232" s="5">
        <v>45206</v>
      </c>
      <c r="K232" s="3" t="s">
        <v>178</v>
      </c>
      <c r="L232" s="3" t="str">
        <f>VLOOKUP(DataSales[[#This Row],[Khách hàng]],'RFM Table'!$A:$I,9,FALSE)</f>
        <v>Khách hàng Trung thành</v>
      </c>
      <c r="M232" s="4">
        <f t="shared" si="7"/>
        <v>2800</v>
      </c>
      <c r="N232" s="6">
        <v>1.521739130434783E-2</v>
      </c>
      <c r="O232" s="2">
        <v>4</v>
      </c>
      <c r="P232" s="6">
        <v>0</v>
      </c>
      <c r="Q232" s="36">
        <v>2023</v>
      </c>
      <c r="R232" s="56">
        <f>MONTH(DataSales[[#This Row],[Ngày Xuất]])</f>
        <v>10</v>
      </c>
      <c r="S232" s="56" t="s">
        <v>780</v>
      </c>
    </row>
    <row r="233" spans="1:19" x14ac:dyDescent="0.3">
      <c r="A233" s="35">
        <v>279</v>
      </c>
      <c r="B233" s="8" t="s">
        <v>349</v>
      </c>
      <c r="C233" s="8" t="s">
        <v>350</v>
      </c>
      <c r="D233" s="8" t="s">
        <v>47</v>
      </c>
      <c r="E233" s="9">
        <v>181200</v>
      </c>
      <c r="F233" s="7">
        <v>0</v>
      </c>
      <c r="G233" s="7">
        <v>4</v>
      </c>
      <c r="H233" s="9">
        <v>184000</v>
      </c>
      <c r="I233" s="9">
        <f t="shared" si="6"/>
        <v>184000</v>
      </c>
      <c r="J233" s="10">
        <v>45206</v>
      </c>
      <c r="K233" s="8" t="s">
        <v>178</v>
      </c>
      <c r="L233" s="8" t="str">
        <f>VLOOKUP(DataSales[[#This Row],[Khách hàng]],'RFM Table'!$A:$I,9,FALSE)</f>
        <v>Khách hàng Trung thành</v>
      </c>
      <c r="M233" s="9">
        <f t="shared" si="7"/>
        <v>2800</v>
      </c>
      <c r="N233" s="11">
        <v>1.521739130434783E-2</v>
      </c>
      <c r="O233" s="7">
        <v>4</v>
      </c>
      <c r="P233" s="11">
        <v>0</v>
      </c>
      <c r="Q233" s="37">
        <v>2023</v>
      </c>
      <c r="R233" s="56">
        <f>MONTH(DataSales[[#This Row],[Ngày Xuất]])</f>
        <v>10</v>
      </c>
      <c r="S233" s="56" t="s">
        <v>780</v>
      </c>
    </row>
    <row r="234" spans="1:19" x14ac:dyDescent="0.3">
      <c r="A234" s="34">
        <v>280</v>
      </c>
      <c r="B234" s="3" t="s">
        <v>351</v>
      </c>
      <c r="C234" s="3" t="s">
        <v>352</v>
      </c>
      <c r="D234" s="3" t="s">
        <v>47</v>
      </c>
      <c r="E234" s="4">
        <v>45300</v>
      </c>
      <c r="F234" s="2">
        <v>0</v>
      </c>
      <c r="G234" s="2">
        <v>1</v>
      </c>
      <c r="H234" s="4">
        <v>46000</v>
      </c>
      <c r="I234" s="4">
        <f t="shared" si="6"/>
        <v>46000</v>
      </c>
      <c r="J234" s="5">
        <v>45206</v>
      </c>
      <c r="K234" s="3" t="s">
        <v>178</v>
      </c>
      <c r="L234" s="3" t="str">
        <f>VLOOKUP(DataSales[[#This Row],[Khách hàng]],'RFM Table'!$A:$I,9,FALSE)</f>
        <v>Khách hàng Trung thành</v>
      </c>
      <c r="M234" s="4">
        <f t="shared" si="7"/>
        <v>700</v>
      </c>
      <c r="N234" s="6">
        <v>1.521739130434783E-2</v>
      </c>
      <c r="O234" s="2">
        <v>1</v>
      </c>
      <c r="P234" s="6">
        <v>0</v>
      </c>
      <c r="Q234" s="36">
        <v>2023</v>
      </c>
      <c r="R234" s="56">
        <f>MONTH(DataSales[[#This Row],[Ngày Xuất]])</f>
        <v>10</v>
      </c>
      <c r="S234" s="56" t="s">
        <v>780</v>
      </c>
    </row>
    <row r="235" spans="1:19" x14ac:dyDescent="0.3">
      <c r="A235" s="35">
        <v>281</v>
      </c>
      <c r="B235" s="8" t="s">
        <v>16</v>
      </c>
      <c r="C235" s="8" t="s">
        <v>17</v>
      </c>
      <c r="D235" s="8" t="s">
        <v>18</v>
      </c>
      <c r="E235" s="9">
        <v>345600</v>
      </c>
      <c r="F235" s="7">
        <v>4</v>
      </c>
      <c r="G235" s="7">
        <v>48</v>
      </c>
      <c r="H235" s="9">
        <v>536000</v>
      </c>
      <c r="I235" s="9">
        <f t="shared" si="6"/>
        <v>536000</v>
      </c>
      <c r="J235" s="10">
        <v>45206</v>
      </c>
      <c r="K235" s="8" t="s">
        <v>42</v>
      </c>
      <c r="L235" s="8" t="str">
        <f>VLOOKUP(DataSales[[#This Row],[Khách hàng]],'RFM Table'!$A:$I,9,FALSE)</f>
        <v>Khách hàng Trung thành</v>
      </c>
      <c r="M235" s="9">
        <f t="shared" si="7"/>
        <v>190400</v>
      </c>
      <c r="N235" s="11">
        <v>0.35522388059701487</v>
      </c>
      <c r="O235" s="7">
        <v>52</v>
      </c>
      <c r="P235" s="11">
        <v>7.6923076923076927E-2</v>
      </c>
      <c r="Q235" s="37">
        <v>2023</v>
      </c>
      <c r="R235" s="56">
        <f>MONTH(DataSales[[#This Row],[Ngày Xuất]])</f>
        <v>10</v>
      </c>
      <c r="S235" s="56" t="s">
        <v>772</v>
      </c>
    </row>
    <row r="236" spans="1:19" x14ac:dyDescent="0.3">
      <c r="A236" s="34">
        <v>282</v>
      </c>
      <c r="B236" s="3" t="s">
        <v>16</v>
      </c>
      <c r="C236" s="3" t="s">
        <v>17</v>
      </c>
      <c r="D236" s="3" t="s">
        <v>18</v>
      </c>
      <c r="E236" s="4">
        <v>345600</v>
      </c>
      <c r="F236" s="2">
        <v>0</v>
      </c>
      <c r="G236" s="2">
        <v>48</v>
      </c>
      <c r="H236" s="4">
        <v>518400</v>
      </c>
      <c r="I236" s="4">
        <f t="shared" si="6"/>
        <v>518400</v>
      </c>
      <c r="J236" s="5">
        <v>45206</v>
      </c>
      <c r="K236" s="3" t="s">
        <v>19</v>
      </c>
      <c r="L236" s="3" t="str">
        <f>VLOOKUP(DataSales[[#This Row],[Khách hàng]],'RFM Table'!$A:$I,9,FALSE)</f>
        <v>Khách hàng VIP</v>
      </c>
      <c r="M236" s="4">
        <f t="shared" si="7"/>
        <v>172800</v>
      </c>
      <c r="N236" s="6">
        <v>0.33333333333333331</v>
      </c>
      <c r="O236" s="2">
        <v>48</v>
      </c>
      <c r="P236" s="6">
        <v>0</v>
      </c>
      <c r="Q236" s="36">
        <v>2023</v>
      </c>
      <c r="R236" s="56">
        <f>MONTH(DataSales[[#This Row],[Ngày Xuất]])</f>
        <v>10</v>
      </c>
      <c r="S236" s="56" t="s">
        <v>772</v>
      </c>
    </row>
    <row r="237" spans="1:19" x14ac:dyDescent="0.3">
      <c r="A237" s="35">
        <v>283</v>
      </c>
      <c r="B237" s="8" t="s">
        <v>314</v>
      </c>
      <c r="C237" s="8" t="s">
        <v>315</v>
      </c>
      <c r="D237" s="8" t="s">
        <v>47</v>
      </c>
      <c r="E237" s="9">
        <v>199500</v>
      </c>
      <c r="F237" s="7">
        <v>2</v>
      </c>
      <c r="G237" s="7">
        <v>12</v>
      </c>
      <c r="H237" s="9">
        <v>288000</v>
      </c>
      <c r="I237" s="9">
        <f t="shared" si="6"/>
        <v>288000</v>
      </c>
      <c r="J237" s="10">
        <v>45206</v>
      </c>
      <c r="K237" s="8" t="s">
        <v>93</v>
      </c>
      <c r="L237" s="8" t="str">
        <f>VLOOKUP(DataSales[[#This Row],[Khách hàng]],'RFM Table'!$A:$I,9,FALSE)</f>
        <v>Khách hàng Trung thành</v>
      </c>
      <c r="M237" s="9">
        <f t="shared" si="7"/>
        <v>88500</v>
      </c>
      <c r="N237" s="11">
        <v>0.30729166666666669</v>
      </c>
      <c r="O237" s="7">
        <v>14</v>
      </c>
      <c r="P237" s="11">
        <v>0.14285714285714279</v>
      </c>
      <c r="Q237" s="37">
        <v>2023</v>
      </c>
      <c r="R237" s="56">
        <f>MONTH(DataSales[[#This Row],[Ngày Xuất]])</f>
        <v>10</v>
      </c>
      <c r="S237" s="56" t="s">
        <v>777</v>
      </c>
    </row>
    <row r="238" spans="1:19" x14ac:dyDescent="0.3">
      <c r="A238" s="34">
        <v>284</v>
      </c>
      <c r="B238" s="3" t="s">
        <v>109</v>
      </c>
      <c r="C238" s="3" t="s">
        <v>110</v>
      </c>
      <c r="D238" s="3" t="s">
        <v>47</v>
      </c>
      <c r="E238" s="4">
        <v>194256</v>
      </c>
      <c r="F238" s="2">
        <v>2</v>
      </c>
      <c r="G238" s="2">
        <v>12</v>
      </c>
      <c r="H238" s="4">
        <v>240000</v>
      </c>
      <c r="I238" s="4">
        <f t="shared" si="6"/>
        <v>240000</v>
      </c>
      <c r="J238" s="5">
        <v>45206</v>
      </c>
      <c r="K238" s="3" t="s">
        <v>93</v>
      </c>
      <c r="L238" s="3" t="str">
        <f>VLOOKUP(DataSales[[#This Row],[Khách hàng]],'RFM Table'!$A:$I,9,FALSE)</f>
        <v>Khách hàng Trung thành</v>
      </c>
      <c r="M238" s="4">
        <f t="shared" si="7"/>
        <v>45744</v>
      </c>
      <c r="N238" s="6">
        <v>0.19059999999999999</v>
      </c>
      <c r="O238" s="2">
        <v>14</v>
      </c>
      <c r="P238" s="6">
        <v>0.14285714285714279</v>
      </c>
      <c r="Q238" s="36">
        <v>2023</v>
      </c>
      <c r="R238" s="56">
        <f>MONTH(DataSales[[#This Row],[Ngày Xuất]])</f>
        <v>10</v>
      </c>
      <c r="S238" s="56" t="s">
        <v>777</v>
      </c>
    </row>
    <row r="239" spans="1:19" x14ac:dyDescent="0.3">
      <c r="A239" s="35">
        <v>285</v>
      </c>
      <c r="B239" s="8" t="s">
        <v>51</v>
      </c>
      <c r="C239" s="8" t="s">
        <v>52</v>
      </c>
      <c r="D239" s="8" t="s">
        <v>47</v>
      </c>
      <c r="E239" s="9">
        <v>231000</v>
      </c>
      <c r="F239" s="7">
        <v>2</v>
      </c>
      <c r="G239" s="7">
        <v>12</v>
      </c>
      <c r="H239" s="9">
        <v>288000</v>
      </c>
      <c r="I239" s="9">
        <f t="shared" si="6"/>
        <v>288000</v>
      </c>
      <c r="J239" s="10">
        <v>45206</v>
      </c>
      <c r="K239" s="8" t="s">
        <v>93</v>
      </c>
      <c r="L239" s="8" t="str">
        <f>VLOOKUP(DataSales[[#This Row],[Khách hàng]],'RFM Table'!$A:$I,9,FALSE)</f>
        <v>Khách hàng Trung thành</v>
      </c>
      <c r="M239" s="9">
        <f t="shared" si="7"/>
        <v>57000</v>
      </c>
      <c r="N239" s="11">
        <v>0.19791666666666671</v>
      </c>
      <c r="O239" s="7">
        <v>14</v>
      </c>
      <c r="P239" s="11">
        <v>0.14285714285714279</v>
      </c>
      <c r="Q239" s="37">
        <v>2023</v>
      </c>
      <c r="R239" s="56">
        <f>MONTH(DataSales[[#This Row],[Ngày Xuất]])</f>
        <v>10</v>
      </c>
      <c r="S239" s="56" t="s">
        <v>777</v>
      </c>
    </row>
    <row r="240" spans="1:19" x14ac:dyDescent="0.3">
      <c r="A240" s="34">
        <v>286</v>
      </c>
      <c r="B240" s="3" t="s">
        <v>197</v>
      </c>
      <c r="C240" s="3" t="s">
        <v>198</v>
      </c>
      <c r="D240" s="3" t="s">
        <v>32</v>
      </c>
      <c r="E240" s="4">
        <v>180000</v>
      </c>
      <c r="F240" s="2">
        <v>0</v>
      </c>
      <c r="G240" s="2">
        <v>10</v>
      </c>
      <c r="H240" s="4">
        <v>220000</v>
      </c>
      <c r="I240" s="4">
        <f t="shared" si="6"/>
        <v>220000</v>
      </c>
      <c r="J240" s="5">
        <v>45206</v>
      </c>
      <c r="K240" s="3" t="s">
        <v>199</v>
      </c>
      <c r="L240" s="3" t="str">
        <f>VLOOKUP(DataSales[[#This Row],[Khách hàng]],'RFM Table'!$A:$I,9,FALSE)</f>
        <v>Khách hàng VIP</v>
      </c>
      <c r="M240" s="4">
        <f t="shared" si="7"/>
        <v>40000</v>
      </c>
      <c r="N240" s="6">
        <v>0.1818181818181818</v>
      </c>
      <c r="O240" s="2">
        <v>10</v>
      </c>
      <c r="P240" s="6">
        <v>0</v>
      </c>
      <c r="Q240" s="36">
        <v>2023</v>
      </c>
      <c r="R240" s="56">
        <f>MONTH(DataSales[[#This Row],[Ngày Xuất]])</f>
        <v>10</v>
      </c>
      <c r="S240" s="56" t="s">
        <v>779</v>
      </c>
    </row>
    <row r="241" spans="1:19" x14ac:dyDescent="0.3">
      <c r="A241" s="35">
        <v>287</v>
      </c>
      <c r="B241" s="8" t="s">
        <v>298</v>
      </c>
      <c r="C241" s="8" t="s">
        <v>299</v>
      </c>
      <c r="D241" s="8" t="s">
        <v>92</v>
      </c>
      <c r="E241" s="9">
        <v>148000</v>
      </c>
      <c r="F241" s="7">
        <v>0</v>
      </c>
      <c r="G241" s="7">
        <v>2</v>
      </c>
      <c r="H241" s="9">
        <v>270000</v>
      </c>
      <c r="I241" s="9">
        <f t="shared" si="6"/>
        <v>270000</v>
      </c>
      <c r="J241" s="10">
        <v>45206</v>
      </c>
      <c r="K241" s="8" t="s">
        <v>199</v>
      </c>
      <c r="L241" s="8" t="str">
        <f>VLOOKUP(DataSales[[#This Row],[Khách hàng]],'RFM Table'!$A:$I,9,FALSE)</f>
        <v>Khách hàng VIP</v>
      </c>
      <c r="M241" s="9">
        <f t="shared" si="7"/>
        <v>122000</v>
      </c>
      <c r="N241" s="11">
        <v>0.45185185185185178</v>
      </c>
      <c r="O241" s="7">
        <v>2</v>
      </c>
      <c r="P241" s="11">
        <v>0</v>
      </c>
      <c r="Q241" s="37">
        <v>2023</v>
      </c>
      <c r="R241" s="56">
        <f>MONTH(DataSales[[#This Row],[Ngày Xuất]])</f>
        <v>10</v>
      </c>
      <c r="S241" s="56" t="s">
        <v>773</v>
      </c>
    </row>
    <row r="242" spans="1:19" x14ac:dyDescent="0.3">
      <c r="A242" s="34">
        <v>288</v>
      </c>
      <c r="B242" s="3" t="s">
        <v>300</v>
      </c>
      <c r="C242" s="3" t="s">
        <v>301</v>
      </c>
      <c r="D242" s="3" t="s">
        <v>92</v>
      </c>
      <c r="E242" s="4">
        <v>148000</v>
      </c>
      <c r="F242" s="2">
        <v>1</v>
      </c>
      <c r="G242" s="2">
        <v>2</v>
      </c>
      <c r="H242" s="4">
        <v>162000</v>
      </c>
      <c r="I242" s="4">
        <f t="shared" si="6"/>
        <v>162000</v>
      </c>
      <c r="J242" s="5">
        <v>45206</v>
      </c>
      <c r="K242" s="3" t="s">
        <v>199</v>
      </c>
      <c r="L242" s="3" t="str">
        <f>VLOOKUP(DataSales[[#This Row],[Khách hàng]],'RFM Table'!$A:$I,9,FALSE)</f>
        <v>Khách hàng VIP</v>
      </c>
      <c r="M242" s="4">
        <f t="shared" si="7"/>
        <v>14000</v>
      </c>
      <c r="N242" s="6">
        <v>8.6419753086419748E-2</v>
      </c>
      <c r="O242" s="2">
        <v>3</v>
      </c>
      <c r="P242" s="6">
        <v>0.33333333333333331</v>
      </c>
      <c r="Q242" s="36">
        <v>2023</v>
      </c>
      <c r="R242" s="56">
        <f>MONTH(DataSales[[#This Row],[Ngày Xuất]])</f>
        <v>10</v>
      </c>
      <c r="S242" s="56" t="s">
        <v>773</v>
      </c>
    </row>
    <row r="243" spans="1:19" x14ac:dyDescent="0.3">
      <c r="A243" s="35">
        <v>290</v>
      </c>
      <c r="B243" s="8" t="s">
        <v>23</v>
      </c>
      <c r="C243" s="8" t="s">
        <v>24</v>
      </c>
      <c r="D243" s="8" t="s">
        <v>25</v>
      </c>
      <c r="E243" s="9">
        <v>730000</v>
      </c>
      <c r="F243" s="7">
        <v>0</v>
      </c>
      <c r="G243" s="7">
        <v>8</v>
      </c>
      <c r="H243" s="9">
        <v>960000</v>
      </c>
      <c r="I243" s="9">
        <f t="shared" si="6"/>
        <v>960000</v>
      </c>
      <c r="J243" s="10">
        <v>45206</v>
      </c>
      <c r="K243" s="8" t="s">
        <v>43</v>
      </c>
      <c r="L243" s="8" t="str">
        <f>VLOOKUP(DataSales[[#This Row],[Khách hàng]],'RFM Table'!$A:$I,9,FALSE)</f>
        <v>Khách hàng Trung thành</v>
      </c>
      <c r="M243" s="9">
        <f t="shared" si="7"/>
        <v>230000</v>
      </c>
      <c r="N243" s="11">
        <v>0.23958333333333329</v>
      </c>
      <c r="O243" s="7">
        <v>8</v>
      </c>
      <c r="P243" s="11">
        <v>0</v>
      </c>
      <c r="Q243" s="37">
        <v>2023</v>
      </c>
      <c r="R243" s="56">
        <f>MONTH(DataSales[[#This Row],[Ngày Xuất]])</f>
        <v>10</v>
      </c>
      <c r="S243" s="56" t="s">
        <v>773</v>
      </c>
    </row>
    <row r="244" spans="1:19" x14ac:dyDescent="0.3">
      <c r="A244" s="34">
        <v>291</v>
      </c>
      <c r="B244" s="3" t="s">
        <v>359</v>
      </c>
      <c r="C244" s="3" t="s">
        <v>360</v>
      </c>
      <c r="D244" s="3" t="s">
        <v>18</v>
      </c>
      <c r="E244" s="4">
        <v>480000</v>
      </c>
      <c r="F244" s="2">
        <v>2</v>
      </c>
      <c r="G244" s="2">
        <v>10</v>
      </c>
      <c r="H244" s="4">
        <v>434000</v>
      </c>
      <c r="I244" s="4">
        <f t="shared" si="6"/>
        <v>434000</v>
      </c>
      <c r="J244" s="5">
        <v>45206</v>
      </c>
      <c r="K244" s="3" t="s">
        <v>361</v>
      </c>
      <c r="L244" s="3" t="str">
        <f>VLOOKUP(DataSales[[#This Row],[Khách hàng]],'RFM Table'!$A:$I,9,FALSE)</f>
        <v>Khách hàng Mới</v>
      </c>
      <c r="M244" s="4">
        <f t="shared" si="7"/>
        <v>-46000</v>
      </c>
      <c r="N244" s="6">
        <v>-0.10599078341013821</v>
      </c>
      <c r="O244" s="2">
        <v>12</v>
      </c>
      <c r="P244" s="6">
        <v>0.16666666666666671</v>
      </c>
      <c r="Q244" s="36">
        <v>2023</v>
      </c>
      <c r="R244" s="56">
        <f>MONTH(DataSales[[#This Row],[Ngày Xuất]])</f>
        <v>10</v>
      </c>
      <c r="S244" s="56" t="s">
        <v>772</v>
      </c>
    </row>
    <row r="245" spans="1:19" x14ac:dyDescent="0.3">
      <c r="A245" s="35">
        <v>292</v>
      </c>
      <c r="B245" s="8" t="s">
        <v>100</v>
      </c>
      <c r="C245" s="8" t="s">
        <v>101</v>
      </c>
      <c r="D245" s="8" t="s">
        <v>32</v>
      </c>
      <c r="E245" s="9">
        <v>580000</v>
      </c>
      <c r="F245" s="7">
        <v>2</v>
      </c>
      <c r="G245" s="7">
        <v>20</v>
      </c>
      <c r="H245" s="9">
        <v>709000</v>
      </c>
      <c r="I245" s="9">
        <f t="shared" si="6"/>
        <v>709000</v>
      </c>
      <c r="J245" s="10">
        <v>45206</v>
      </c>
      <c r="K245" s="8" t="s">
        <v>96</v>
      </c>
      <c r="L245" s="8" t="str">
        <f>VLOOKUP(DataSales[[#This Row],[Khách hàng]],'RFM Table'!$A:$I,9,FALSE)</f>
        <v>Khách hàng VIP</v>
      </c>
      <c r="M245" s="9">
        <f t="shared" si="7"/>
        <v>129000</v>
      </c>
      <c r="N245" s="11">
        <v>0.18194640338504939</v>
      </c>
      <c r="O245" s="7">
        <v>22</v>
      </c>
      <c r="P245" s="11">
        <v>9.0909090909090912E-2</v>
      </c>
      <c r="Q245" s="37">
        <v>2023</v>
      </c>
      <c r="R245" s="56">
        <f>MONTH(DataSales[[#This Row],[Ngày Xuất]])</f>
        <v>10</v>
      </c>
      <c r="S245" s="56" t="s">
        <v>779</v>
      </c>
    </row>
    <row r="246" spans="1:19" x14ac:dyDescent="0.3">
      <c r="A246" s="34">
        <v>293</v>
      </c>
      <c r="B246" s="3" t="s">
        <v>67</v>
      </c>
      <c r="C246" s="3" t="s">
        <v>68</v>
      </c>
      <c r="D246" s="3" t="s">
        <v>25</v>
      </c>
      <c r="E246" s="4">
        <v>340000</v>
      </c>
      <c r="F246" s="2">
        <v>0</v>
      </c>
      <c r="G246" s="2">
        <v>4</v>
      </c>
      <c r="H246" s="4">
        <v>520000</v>
      </c>
      <c r="I246" s="4">
        <f t="shared" si="6"/>
        <v>520000</v>
      </c>
      <c r="J246" s="5">
        <v>45206</v>
      </c>
      <c r="K246" s="3" t="s">
        <v>56</v>
      </c>
      <c r="L246" s="3" t="str">
        <f>VLOOKUP(DataSales[[#This Row],[Khách hàng]],'RFM Table'!$A:$I,9,FALSE)</f>
        <v>Khách hàng Cần chú ý</v>
      </c>
      <c r="M246" s="4">
        <f t="shared" si="7"/>
        <v>180000</v>
      </c>
      <c r="N246" s="6">
        <v>0.34615384615384609</v>
      </c>
      <c r="O246" s="2">
        <v>4</v>
      </c>
      <c r="P246" s="6">
        <v>0</v>
      </c>
      <c r="Q246" s="36">
        <v>2023</v>
      </c>
      <c r="R246" s="56">
        <f>MONTH(DataSales[[#This Row],[Ngày Xuất]])</f>
        <v>10</v>
      </c>
      <c r="S246" s="56" t="s">
        <v>773</v>
      </c>
    </row>
    <row r="247" spans="1:19" x14ac:dyDescent="0.3">
      <c r="A247" s="35">
        <v>294</v>
      </c>
      <c r="B247" s="8" t="s">
        <v>263</v>
      </c>
      <c r="C247" s="8" t="s">
        <v>264</v>
      </c>
      <c r="D247" s="8" t="s">
        <v>32</v>
      </c>
      <c r="E247" s="9">
        <v>144000</v>
      </c>
      <c r="F247" s="7">
        <v>0</v>
      </c>
      <c r="G247" s="7">
        <v>30</v>
      </c>
      <c r="H247" s="9">
        <v>210000</v>
      </c>
      <c r="I247" s="9">
        <f t="shared" si="6"/>
        <v>210000</v>
      </c>
      <c r="J247" s="10">
        <v>45206</v>
      </c>
      <c r="K247" s="8" t="s">
        <v>362</v>
      </c>
      <c r="L247" s="8" t="str">
        <f>VLOOKUP(DataSales[[#This Row],[Khách hàng]],'RFM Table'!$A:$I,9,FALSE)</f>
        <v>Khách hàng Cần chú ý</v>
      </c>
      <c r="M247" s="9">
        <f t="shared" si="7"/>
        <v>66000</v>
      </c>
      <c r="N247" s="11">
        <v>0.31428571428571428</v>
      </c>
      <c r="O247" s="7">
        <v>30</v>
      </c>
      <c r="P247" s="11">
        <v>0</v>
      </c>
      <c r="Q247" s="37">
        <v>2023</v>
      </c>
      <c r="R247" s="56">
        <f>MONTH(DataSales[[#This Row],[Ngày Xuất]])</f>
        <v>10</v>
      </c>
      <c r="S247" s="56" t="s">
        <v>774</v>
      </c>
    </row>
    <row r="248" spans="1:19" x14ac:dyDescent="0.3">
      <c r="A248" s="34">
        <v>295</v>
      </c>
      <c r="B248" s="3" t="s">
        <v>229</v>
      </c>
      <c r="C248" s="3" t="s">
        <v>230</v>
      </c>
      <c r="D248" s="3" t="s">
        <v>18</v>
      </c>
      <c r="E248" s="4">
        <v>222000</v>
      </c>
      <c r="F248" s="2">
        <v>3</v>
      </c>
      <c r="G248" s="2">
        <v>12</v>
      </c>
      <c r="H248" s="4">
        <v>288000</v>
      </c>
      <c r="I248" s="4">
        <f t="shared" si="6"/>
        <v>288000</v>
      </c>
      <c r="J248" s="5">
        <v>45206</v>
      </c>
      <c r="K248" s="3" t="s">
        <v>362</v>
      </c>
      <c r="L248" s="3" t="str">
        <f>VLOOKUP(DataSales[[#This Row],[Khách hàng]],'RFM Table'!$A:$I,9,FALSE)</f>
        <v>Khách hàng Cần chú ý</v>
      </c>
      <c r="M248" s="4">
        <f t="shared" si="7"/>
        <v>66000</v>
      </c>
      <c r="N248" s="6">
        <v>0.22916666666666671</v>
      </c>
      <c r="O248" s="2">
        <v>15</v>
      </c>
      <c r="P248" s="6">
        <v>0.2</v>
      </c>
      <c r="Q248" s="36">
        <v>2023</v>
      </c>
      <c r="R248" s="56">
        <f>MONTH(DataSales[[#This Row],[Ngày Xuất]])</f>
        <v>10</v>
      </c>
      <c r="S248" s="56" t="s">
        <v>775</v>
      </c>
    </row>
    <row r="249" spans="1:19" x14ac:dyDescent="0.3">
      <c r="A249" s="35">
        <v>296</v>
      </c>
      <c r="B249" s="8" t="s">
        <v>363</v>
      </c>
      <c r="C249" s="8" t="s">
        <v>364</v>
      </c>
      <c r="D249" s="8" t="s">
        <v>32</v>
      </c>
      <c r="E249" s="9">
        <v>48000</v>
      </c>
      <c r="F249" s="7">
        <v>0</v>
      </c>
      <c r="G249" s="7">
        <v>6</v>
      </c>
      <c r="H249" s="9">
        <v>51000</v>
      </c>
      <c r="I249" s="9">
        <f t="shared" si="6"/>
        <v>51000</v>
      </c>
      <c r="J249" s="10">
        <v>45206</v>
      </c>
      <c r="K249" s="8" t="s">
        <v>228</v>
      </c>
      <c r="L249" s="8" t="str">
        <f>VLOOKUP(DataSales[[#This Row],[Khách hàng]],'RFM Table'!$A:$I,9,FALSE)</f>
        <v>Khách hàng VIP</v>
      </c>
      <c r="M249" s="9">
        <f t="shared" si="7"/>
        <v>3000</v>
      </c>
      <c r="N249" s="11">
        <v>5.8823529411764712E-2</v>
      </c>
      <c r="O249" s="7">
        <v>6</v>
      </c>
      <c r="P249" s="11">
        <v>0</v>
      </c>
      <c r="Q249" s="37">
        <v>2023</v>
      </c>
      <c r="R249" s="56">
        <f>MONTH(DataSales[[#This Row],[Ngày Xuất]])</f>
        <v>10</v>
      </c>
      <c r="S249" s="56" t="s">
        <v>772</v>
      </c>
    </row>
    <row r="250" spans="1:19" x14ac:dyDescent="0.3">
      <c r="A250" s="34">
        <v>299</v>
      </c>
      <c r="B250" s="3" t="s">
        <v>124</v>
      </c>
      <c r="C250" s="3" t="s">
        <v>125</v>
      </c>
      <c r="D250" s="3" t="s">
        <v>18</v>
      </c>
      <c r="E250" s="4">
        <v>40000</v>
      </c>
      <c r="F250" s="2">
        <v>0</v>
      </c>
      <c r="G250" s="2">
        <v>10</v>
      </c>
      <c r="H250" s="4">
        <v>70000</v>
      </c>
      <c r="I250" s="4">
        <f t="shared" si="6"/>
        <v>70000</v>
      </c>
      <c r="J250" s="5">
        <v>45206</v>
      </c>
      <c r="K250" s="3" t="s">
        <v>228</v>
      </c>
      <c r="L250" s="3" t="str">
        <f>VLOOKUP(DataSales[[#This Row],[Khách hàng]],'RFM Table'!$A:$I,9,FALSE)</f>
        <v>Khách hàng VIP</v>
      </c>
      <c r="M250" s="4">
        <f t="shared" si="7"/>
        <v>30000</v>
      </c>
      <c r="N250" s="6">
        <v>0.42857142857142849</v>
      </c>
      <c r="O250" s="2">
        <v>10</v>
      </c>
      <c r="P250" s="6">
        <v>0</v>
      </c>
      <c r="Q250" s="36">
        <v>2023</v>
      </c>
      <c r="R250" s="56">
        <f>MONTH(DataSales[[#This Row],[Ngày Xuất]])</f>
        <v>10</v>
      </c>
      <c r="S250" s="56" t="s">
        <v>775</v>
      </c>
    </row>
    <row r="251" spans="1:19" x14ac:dyDescent="0.3">
      <c r="A251" s="35">
        <v>300</v>
      </c>
      <c r="B251" s="8" t="s">
        <v>365</v>
      </c>
      <c r="C251" s="8" t="s">
        <v>366</v>
      </c>
      <c r="D251" s="8" t="s">
        <v>32</v>
      </c>
      <c r="E251" s="9">
        <v>120000</v>
      </c>
      <c r="F251" s="7">
        <v>0</v>
      </c>
      <c r="G251" s="7">
        <v>12</v>
      </c>
      <c r="H251" s="9">
        <v>168000</v>
      </c>
      <c r="I251" s="9">
        <f t="shared" si="6"/>
        <v>168000</v>
      </c>
      <c r="J251" s="10">
        <v>45206</v>
      </c>
      <c r="K251" s="8" t="s">
        <v>61</v>
      </c>
      <c r="L251" s="8" t="str">
        <f>VLOOKUP(DataSales[[#This Row],[Khách hàng]],'RFM Table'!$A:$I,9,FALSE)</f>
        <v>Khách hàng Trung thành</v>
      </c>
      <c r="M251" s="9">
        <f t="shared" si="7"/>
        <v>48000</v>
      </c>
      <c r="N251" s="11">
        <v>0.2857142857142857</v>
      </c>
      <c r="O251" s="7">
        <v>12</v>
      </c>
      <c r="P251" s="11">
        <v>0</v>
      </c>
      <c r="Q251" s="37">
        <v>2023</v>
      </c>
      <c r="R251" s="56">
        <f>MONTH(DataSales[[#This Row],[Ngày Xuất]])</f>
        <v>10</v>
      </c>
      <c r="S251" s="56" t="s">
        <v>774</v>
      </c>
    </row>
    <row r="252" spans="1:19" x14ac:dyDescent="0.3">
      <c r="A252" s="34">
        <v>301</v>
      </c>
      <c r="B252" s="3" t="s">
        <v>336</v>
      </c>
      <c r="C252" s="3" t="s">
        <v>337</v>
      </c>
      <c r="D252" s="3" t="s">
        <v>47</v>
      </c>
      <c r="E252" s="4">
        <v>362400</v>
      </c>
      <c r="F252" s="2">
        <v>3</v>
      </c>
      <c r="G252" s="2">
        <v>8</v>
      </c>
      <c r="H252" s="4">
        <v>400000</v>
      </c>
      <c r="I252" s="4">
        <f t="shared" si="6"/>
        <v>400000</v>
      </c>
      <c r="J252" s="5">
        <v>45206</v>
      </c>
      <c r="K252" s="3" t="s">
        <v>61</v>
      </c>
      <c r="L252" s="3" t="str">
        <f>VLOOKUP(DataSales[[#This Row],[Khách hàng]],'RFM Table'!$A:$I,9,FALSE)</f>
        <v>Khách hàng Trung thành</v>
      </c>
      <c r="M252" s="4">
        <f t="shared" si="7"/>
        <v>37600</v>
      </c>
      <c r="N252" s="6">
        <v>9.4E-2</v>
      </c>
      <c r="O252" s="2">
        <v>11</v>
      </c>
      <c r="P252" s="6">
        <v>0.27272727272727271</v>
      </c>
      <c r="Q252" s="36">
        <v>2023</v>
      </c>
      <c r="R252" s="56">
        <f>MONTH(DataSales[[#This Row],[Ngày Xuất]])</f>
        <v>10</v>
      </c>
      <c r="S252" s="56" t="s">
        <v>780</v>
      </c>
    </row>
    <row r="253" spans="1:19" x14ac:dyDescent="0.3">
      <c r="A253" s="35">
        <v>302</v>
      </c>
      <c r="B253" s="8" t="s">
        <v>349</v>
      </c>
      <c r="C253" s="8" t="s">
        <v>350</v>
      </c>
      <c r="D253" s="8" t="s">
        <v>47</v>
      </c>
      <c r="E253" s="9">
        <v>362400</v>
      </c>
      <c r="F253" s="7">
        <v>0</v>
      </c>
      <c r="G253" s="7">
        <v>8</v>
      </c>
      <c r="H253" s="9">
        <v>267000</v>
      </c>
      <c r="I253" s="9">
        <f t="shared" si="6"/>
        <v>267000</v>
      </c>
      <c r="J253" s="10">
        <v>45206</v>
      </c>
      <c r="K253" s="8" t="s">
        <v>61</v>
      </c>
      <c r="L253" s="8" t="str">
        <f>VLOOKUP(DataSales[[#This Row],[Khách hàng]],'RFM Table'!$A:$I,9,FALSE)</f>
        <v>Khách hàng Trung thành</v>
      </c>
      <c r="M253" s="9">
        <f t="shared" si="7"/>
        <v>-95400</v>
      </c>
      <c r="N253" s="11">
        <v>-0.35730337078651692</v>
      </c>
      <c r="O253" s="7">
        <v>8</v>
      </c>
      <c r="P253" s="11">
        <v>0</v>
      </c>
      <c r="Q253" s="37">
        <v>2023</v>
      </c>
      <c r="R253" s="56">
        <f>MONTH(DataSales[[#This Row],[Ngày Xuất]])</f>
        <v>10</v>
      </c>
      <c r="S253" s="56" t="s">
        <v>780</v>
      </c>
    </row>
    <row r="254" spans="1:19" x14ac:dyDescent="0.3">
      <c r="A254" s="34">
        <v>303</v>
      </c>
      <c r="B254" s="3" t="s">
        <v>351</v>
      </c>
      <c r="C254" s="3" t="s">
        <v>352</v>
      </c>
      <c r="D254" s="3" t="s">
        <v>47</v>
      </c>
      <c r="E254" s="4">
        <v>362400</v>
      </c>
      <c r="F254" s="2">
        <v>0</v>
      </c>
      <c r="G254" s="2">
        <v>8</v>
      </c>
      <c r="H254" s="4">
        <v>400000</v>
      </c>
      <c r="I254" s="4">
        <f t="shared" si="6"/>
        <v>400000</v>
      </c>
      <c r="J254" s="5">
        <v>45206</v>
      </c>
      <c r="K254" s="3" t="s">
        <v>61</v>
      </c>
      <c r="L254" s="3" t="str">
        <f>VLOOKUP(DataSales[[#This Row],[Khách hàng]],'RFM Table'!$A:$I,9,FALSE)</f>
        <v>Khách hàng Trung thành</v>
      </c>
      <c r="M254" s="4">
        <f t="shared" si="7"/>
        <v>37600</v>
      </c>
      <c r="N254" s="6">
        <v>9.4E-2</v>
      </c>
      <c r="O254" s="2">
        <v>8</v>
      </c>
      <c r="P254" s="6">
        <v>0</v>
      </c>
      <c r="Q254" s="36">
        <v>2023</v>
      </c>
      <c r="R254" s="56">
        <f>MONTH(DataSales[[#This Row],[Ngày Xuất]])</f>
        <v>10</v>
      </c>
      <c r="S254" s="56" t="s">
        <v>780</v>
      </c>
    </row>
    <row r="255" spans="1:19" x14ac:dyDescent="0.3">
      <c r="A255" s="35">
        <v>304</v>
      </c>
      <c r="B255" s="8" t="s">
        <v>367</v>
      </c>
      <c r="C255" s="8" t="s">
        <v>368</v>
      </c>
      <c r="D255" s="8" t="s">
        <v>369</v>
      </c>
      <c r="E255" s="9">
        <v>279996</v>
      </c>
      <c r="F255" s="7">
        <v>2</v>
      </c>
      <c r="G255" s="7">
        <v>12</v>
      </c>
      <c r="H255" s="9">
        <v>288000</v>
      </c>
      <c r="I255" s="9">
        <f t="shared" si="6"/>
        <v>288000</v>
      </c>
      <c r="J255" s="10">
        <v>45206</v>
      </c>
      <c r="K255" s="8" t="s">
        <v>61</v>
      </c>
      <c r="L255" s="8" t="str">
        <f>VLOOKUP(DataSales[[#This Row],[Khách hàng]],'RFM Table'!$A:$I,9,FALSE)</f>
        <v>Khách hàng Trung thành</v>
      </c>
      <c r="M255" s="9">
        <f t="shared" si="7"/>
        <v>8004</v>
      </c>
      <c r="N255" s="11">
        <v>2.7791666666666669E-2</v>
      </c>
      <c r="O255" s="7">
        <v>14</v>
      </c>
      <c r="P255" s="11">
        <v>0.14285714285714279</v>
      </c>
      <c r="Q255" s="37">
        <v>2023</v>
      </c>
      <c r="R255" s="56">
        <f>MONTH(DataSales[[#This Row],[Ngày Xuất]])</f>
        <v>10</v>
      </c>
      <c r="S255" s="56" t="s">
        <v>774</v>
      </c>
    </row>
    <row r="256" spans="1:19" x14ac:dyDescent="0.3">
      <c r="A256" s="34">
        <v>305</v>
      </c>
      <c r="B256" s="3" t="s">
        <v>59</v>
      </c>
      <c r="C256" s="3" t="s">
        <v>60</v>
      </c>
      <c r="D256" s="3" t="s">
        <v>18</v>
      </c>
      <c r="E256" s="4">
        <v>1069200</v>
      </c>
      <c r="F256" s="2">
        <v>3</v>
      </c>
      <c r="G256" s="2">
        <v>27</v>
      </c>
      <c r="H256" s="4">
        <v>1070000</v>
      </c>
      <c r="I256" s="4">
        <f t="shared" si="6"/>
        <v>1070000</v>
      </c>
      <c r="J256" s="5">
        <v>45206</v>
      </c>
      <c r="K256" s="3" t="s">
        <v>61</v>
      </c>
      <c r="L256" s="3" t="str">
        <f>VLOOKUP(DataSales[[#This Row],[Khách hàng]],'RFM Table'!$A:$I,9,FALSE)</f>
        <v>Khách hàng Trung thành</v>
      </c>
      <c r="M256" s="4">
        <f t="shared" si="7"/>
        <v>800</v>
      </c>
      <c r="N256" s="6">
        <v>7.4766355140186912E-4</v>
      </c>
      <c r="O256" s="2">
        <v>30</v>
      </c>
      <c r="P256" s="6">
        <v>0.1</v>
      </c>
      <c r="Q256" s="36">
        <v>2023</v>
      </c>
      <c r="R256" s="56">
        <f>MONTH(DataSales[[#This Row],[Ngày Xuất]])</f>
        <v>10</v>
      </c>
      <c r="S256" s="56" t="s">
        <v>772</v>
      </c>
    </row>
    <row r="257" spans="1:19" x14ac:dyDescent="0.3">
      <c r="A257" s="35">
        <v>308</v>
      </c>
      <c r="B257" s="8" t="s">
        <v>119</v>
      </c>
      <c r="C257" s="8" t="s">
        <v>120</v>
      </c>
      <c r="D257" s="8" t="s">
        <v>47</v>
      </c>
      <c r="E257" s="9">
        <v>300000</v>
      </c>
      <c r="F257" s="7">
        <v>3</v>
      </c>
      <c r="G257" s="7">
        <v>3</v>
      </c>
      <c r="H257" s="9">
        <v>327000</v>
      </c>
      <c r="I257" s="9">
        <f t="shared" si="6"/>
        <v>327000</v>
      </c>
      <c r="J257" s="10">
        <v>45206</v>
      </c>
      <c r="K257" s="8" t="s">
        <v>370</v>
      </c>
      <c r="L257" s="8" t="str">
        <f>VLOOKUP(DataSales[[#This Row],[Khách hàng]],'RFM Table'!$A:$I,9,FALSE)</f>
        <v>Khách hàng Cần chú ý</v>
      </c>
      <c r="M257" s="9">
        <f t="shared" si="7"/>
        <v>27000</v>
      </c>
      <c r="N257" s="11">
        <v>8.2568807339449546E-2</v>
      </c>
      <c r="O257" s="7">
        <v>6</v>
      </c>
      <c r="P257" s="11">
        <v>0.5</v>
      </c>
      <c r="Q257" s="37">
        <v>2023</v>
      </c>
      <c r="R257" s="56">
        <f>MONTH(DataSales[[#This Row],[Ngày Xuất]])</f>
        <v>10</v>
      </c>
      <c r="S257" s="56" t="s">
        <v>779</v>
      </c>
    </row>
    <row r="258" spans="1:19" x14ac:dyDescent="0.3">
      <c r="A258" s="34">
        <v>309</v>
      </c>
      <c r="B258" s="3" t="s">
        <v>126</v>
      </c>
      <c r="C258" s="3" t="s">
        <v>127</v>
      </c>
      <c r="D258" s="3" t="s">
        <v>18</v>
      </c>
      <c r="E258" s="4">
        <v>270000</v>
      </c>
      <c r="F258" s="2">
        <v>0</v>
      </c>
      <c r="G258" s="2">
        <v>40</v>
      </c>
      <c r="H258" s="4">
        <v>320000</v>
      </c>
      <c r="I258" s="4">
        <f t="shared" ref="I258:I321" si="8">H258</f>
        <v>320000</v>
      </c>
      <c r="J258" s="5">
        <v>45206</v>
      </c>
      <c r="K258" s="3" t="s">
        <v>371</v>
      </c>
      <c r="L258" s="3" t="str">
        <f>VLOOKUP(DataSales[[#This Row],[Khách hàng]],'RFM Table'!$A:$I,9,FALSE)</f>
        <v>Khách hàng Cần chú ý</v>
      </c>
      <c r="M258" s="4">
        <f t="shared" ref="M258:M321" si="9">I258-E258</f>
        <v>50000</v>
      </c>
      <c r="N258" s="6">
        <v>0.15625</v>
      </c>
      <c r="O258" s="2">
        <v>40</v>
      </c>
      <c r="P258" s="6">
        <v>0</v>
      </c>
      <c r="Q258" s="36">
        <v>2023</v>
      </c>
      <c r="R258" s="56">
        <f>MONTH(DataSales[[#This Row],[Ngày Xuất]])</f>
        <v>10</v>
      </c>
      <c r="S258" s="56" t="s">
        <v>772</v>
      </c>
    </row>
    <row r="259" spans="1:19" x14ac:dyDescent="0.3">
      <c r="A259" s="35">
        <v>310</v>
      </c>
      <c r="B259" s="8" t="s">
        <v>342</v>
      </c>
      <c r="C259" s="8" t="s">
        <v>343</v>
      </c>
      <c r="D259" s="8" t="s">
        <v>18</v>
      </c>
      <c r="E259" s="9">
        <v>1835160</v>
      </c>
      <c r="F259" s="7">
        <v>5</v>
      </c>
      <c r="G259" s="7">
        <v>40</v>
      </c>
      <c r="H259" s="9">
        <v>1849000</v>
      </c>
      <c r="I259" s="9">
        <f t="shared" si="8"/>
        <v>1849000</v>
      </c>
      <c r="J259" s="10">
        <v>45212</v>
      </c>
      <c r="K259" s="8" t="s">
        <v>372</v>
      </c>
      <c r="L259" s="8" t="str">
        <f>VLOOKUP(DataSales[[#This Row],[Khách hàng]],'RFM Table'!$A:$I,9,FALSE)</f>
        <v>Khách hàng Trung thành</v>
      </c>
      <c r="M259" s="9">
        <f t="shared" si="9"/>
        <v>13840</v>
      </c>
      <c r="N259" s="11">
        <v>7.4851270957274202E-3</v>
      </c>
      <c r="O259" s="7">
        <v>45</v>
      </c>
      <c r="P259" s="11">
        <v>0.1111111111111111</v>
      </c>
      <c r="Q259" s="37">
        <v>2023</v>
      </c>
      <c r="R259" s="56">
        <f>MONTH(DataSales[[#This Row],[Ngày Xuất]])</f>
        <v>10</v>
      </c>
      <c r="S259" s="56" t="s">
        <v>772</v>
      </c>
    </row>
    <row r="260" spans="1:19" x14ac:dyDescent="0.3">
      <c r="A260" s="34">
        <v>311</v>
      </c>
      <c r="B260" s="3" t="s">
        <v>373</v>
      </c>
      <c r="C260" s="3" t="s">
        <v>374</v>
      </c>
      <c r="D260" s="3" t="s">
        <v>47</v>
      </c>
      <c r="E260" s="4">
        <v>633600</v>
      </c>
      <c r="F260" s="2">
        <v>0</v>
      </c>
      <c r="G260" s="2">
        <v>12</v>
      </c>
      <c r="H260" s="4">
        <v>720000</v>
      </c>
      <c r="I260" s="4">
        <f t="shared" si="8"/>
        <v>720000</v>
      </c>
      <c r="J260" s="5">
        <v>45212</v>
      </c>
      <c r="K260" s="3" t="s">
        <v>375</v>
      </c>
      <c r="L260" s="3" t="str">
        <f>VLOOKUP(DataSales[[#This Row],[Khách hàng]],'RFM Table'!$A:$I,9,FALSE)</f>
        <v>Khách hàng Cần chú ý</v>
      </c>
      <c r="M260" s="4">
        <f t="shared" si="9"/>
        <v>86400</v>
      </c>
      <c r="N260" s="6">
        <v>0.12</v>
      </c>
      <c r="O260" s="2">
        <v>12</v>
      </c>
      <c r="P260" s="6">
        <v>0</v>
      </c>
      <c r="Q260" s="36">
        <v>2023</v>
      </c>
      <c r="R260" s="56">
        <f>MONTH(DataSales[[#This Row],[Ngày Xuất]])</f>
        <v>10</v>
      </c>
      <c r="S260" s="56" t="s">
        <v>780</v>
      </c>
    </row>
    <row r="261" spans="1:19" x14ac:dyDescent="0.3">
      <c r="A261" s="35">
        <v>312</v>
      </c>
      <c r="B261" s="8" t="s">
        <v>376</v>
      </c>
      <c r="C261" s="8" t="s">
        <v>377</v>
      </c>
      <c r="D261" s="8" t="s">
        <v>47</v>
      </c>
      <c r="E261" s="9">
        <v>633600</v>
      </c>
      <c r="F261" s="7">
        <v>3</v>
      </c>
      <c r="G261" s="7">
        <v>12</v>
      </c>
      <c r="H261" s="9">
        <v>560000</v>
      </c>
      <c r="I261" s="9">
        <f t="shared" si="8"/>
        <v>560000</v>
      </c>
      <c r="J261" s="10">
        <v>45212</v>
      </c>
      <c r="K261" s="8" t="s">
        <v>375</v>
      </c>
      <c r="L261" s="8" t="str">
        <f>VLOOKUP(DataSales[[#This Row],[Khách hàng]],'RFM Table'!$A:$I,9,FALSE)</f>
        <v>Khách hàng Cần chú ý</v>
      </c>
      <c r="M261" s="9">
        <f t="shared" si="9"/>
        <v>-73600</v>
      </c>
      <c r="N261" s="11">
        <v>-0.13142857142857139</v>
      </c>
      <c r="O261" s="7">
        <v>15</v>
      </c>
      <c r="P261" s="11">
        <v>0.2</v>
      </c>
      <c r="Q261" s="37">
        <v>2023</v>
      </c>
      <c r="R261" s="56">
        <f>MONTH(DataSales[[#This Row],[Ngày Xuất]])</f>
        <v>10</v>
      </c>
      <c r="S261" s="56" t="s">
        <v>780</v>
      </c>
    </row>
    <row r="262" spans="1:19" x14ac:dyDescent="0.3">
      <c r="A262" s="34">
        <v>313</v>
      </c>
      <c r="B262" s="3" t="s">
        <v>336</v>
      </c>
      <c r="C262" s="3" t="s">
        <v>337</v>
      </c>
      <c r="D262" s="3" t="s">
        <v>47</v>
      </c>
      <c r="E262" s="4">
        <v>362400</v>
      </c>
      <c r="F262" s="2">
        <v>3</v>
      </c>
      <c r="G262" s="2">
        <v>8</v>
      </c>
      <c r="H262" s="4">
        <v>267000</v>
      </c>
      <c r="I262" s="4">
        <f t="shared" si="8"/>
        <v>267000</v>
      </c>
      <c r="J262" s="5">
        <v>45212</v>
      </c>
      <c r="K262" s="3" t="s">
        <v>375</v>
      </c>
      <c r="L262" s="3" t="str">
        <f>VLOOKUP(DataSales[[#This Row],[Khách hàng]],'RFM Table'!$A:$I,9,FALSE)</f>
        <v>Khách hàng Cần chú ý</v>
      </c>
      <c r="M262" s="4">
        <f t="shared" si="9"/>
        <v>-95400</v>
      </c>
      <c r="N262" s="6">
        <v>-0.35730337078651692</v>
      </c>
      <c r="O262" s="2">
        <v>11</v>
      </c>
      <c r="P262" s="6">
        <v>0.27272727272727271</v>
      </c>
      <c r="Q262" s="36">
        <v>2023</v>
      </c>
      <c r="R262" s="56">
        <f>MONTH(DataSales[[#This Row],[Ngày Xuất]])</f>
        <v>10</v>
      </c>
      <c r="S262" s="56" t="s">
        <v>780</v>
      </c>
    </row>
    <row r="263" spans="1:19" x14ac:dyDescent="0.3">
      <c r="A263" s="35">
        <v>314</v>
      </c>
      <c r="B263" s="8" t="s">
        <v>349</v>
      </c>
      <c r="C263" s="8" t="s">
        <v>350</v>
      </c>
      <c r="D263" s="8" t="s">
        <v>47</v>
      </c>
      <c r="E263" s="9">
        <v>362400</v>
      </c>
      <c r="F263" s="7">
        <v>0</v>
      </c>
      <c r="G263" s="7">
        <v>8</v>
      </c>
      <c r="H263" s="9">
        <v>400000</v>
      </c>
      <c r="I263" s="9">
        <f t="shared" si="8"/>
        <v>400000</v>
      </c>
      <c r="J263" s="10">
        <v>45212</v>
      </c>
      <c r="K263" s="8" t="s">
        <v>375</v>
      </c>
      <c r="L263" s="8" t="str">
        <f>VLOOKUP(DataSales[[#This Row],[Khách hàng]],'RFM Table'!$A:$I,9,FALSE)</f>
        <v>Khách hàng Cần chú ý</v>
      </c>
      <c r="M263" s="9">
        <f t="shared" si="9"/>
        <v>37600</v>
      </c>
      <c r="N263" s="11">
        <v>9.4E-2</v>
      </c>
      <c r="O263" s="7">
        <v>8</v>
      </c>
      <c r="P263" s="11">
        <v>0</v>
      </c>
      <c r="Q263" s="37">
        <v>2023</v>
      </c>
      <c r="R263" s="56">
        <f>MONTH(DataSales[[#This Row],[Ngày Xuất]])</f>
        <v>10</v>
      </c>
      <c r="S263" s="56" t="s">
        <v>780</v>
      </c>
    </row>
    <row r="264" spans="1:19" x14ac:dyDescent="0.3">
      <c r="A264" s="34">
        <v>315</v>
      </c>
      <c r="B264" s="3" t="s">
        <v>351</v>
      </c>
      <c r="C264" s="3" t="s">
        <v>352</v>
      </c>
      <c r="D264" s="3" t="s">
        <v>47</v>
      </c>
      <c r="E264" s="4">
        <v>362400</v>
      </c>
      <c r="F264" s="2">
        <v>0</v>
      </c>
      <c r="G264" s="2">
        <v>8</v>
      </c>
      <c r="H264" s="4">
        <v>400000</v>
      </c>
      <c r="I264" s="4">
        <f t="shared" si="8"/>
        <v>400000</v>
      </c>
      <c r="J264" s="5">
        <v>45212</v>
      </c>
      <c r="K264" s="3" t="s">
        <v>375</v>
      </c>
      <c r="L264" s="3" t="str">
        <f>VLOOKUP(DataSales[[#This Row],[Khách hàng]],'RFM Table'!$A:$I,9,FALSE)</f>
        <v>Khách hàng Cần chú ý</v>
      </c>
      <c r="M264" s="4">
        <f t="shared" si="9"/>
        <v>37600</v>
      </c>
      <c r="N264" s="6">
        <v>9.4E-2</v>
      </c>
      <c r="O264" s="2">
        <v>8</v>
      </c>
      <c r="P264" s="6">
        <v>0</v>
      </c>
      <c r="Q264" s="36">
        <v>2023</v>
      </c>
      <c r="R264" s="56">
        <f>MONTH(DataSales[[#This Row],[Ngày Xuất]])</f>
        <v>10</v>
      </c>
      <c r="S264" s="56" t="s">
        <v>780</v>
      </c>
    </row>
    <row r="265" spans="1:19" x14ac:dyDescent="0.3">
      <c r="A265" s="35">
        <v>317</v>
      </c>
      <c r="B265" s="8" t="s">
        <v>378</v>
      </c>
      <c r="C265" s="8" t="s">
        <v>379</v>
      </c>
      <c r="D265" s="8" t="s">
        <v>18</v>
      </c>
      <c r="E265" s="9">
        <v>300000</v>
      </c>
      <c r="F265" s="7">
        <v>0</v>
      </c>
      <c r="G265" s="7">
        <v>20</v>
      </c>
      <c r="H265" s="9">
        <v>540000</v>
      </c>
      <c r="I265" s="9">
        <f t="shared" si="8"/>
        <v>540000</v>
      </c>
      <c r="J265" s="10">
        <v>45212</v>
      </c>
      <c r="K265" s="8" t="s">
        <v>159</v>
      </c>
      <c r="L265" s="8" t="str">
        <f>VLOOKUP(DataSales[[#This Row],[Khách hàng]],'RFM Table'!$A:$I,9,FALSE)</f>
        <v>Khách hàng Trung thành</v>
      </c>
      <c r="M265" s="9">
        <f t="shared" si="9"/>
        <v>240000</v>
      </c>
      <c r="N265" s="11">
        <v>0.44444444444444442</v>
      </c>
      <c r="O265" s="7">
        <v>20</v>
      </c>
      <c r="P265" s="11">
        <v>0</v>
      </c>
      <c r="Q265" s="37">
        <v>2023</v>
      </c>
      <c r="R265" s="56">
        <f>MONTH(DataSales[[#This Row],[Ngày Xuất]])</f>
        <v>10</v>
      </c>
      <c r="S265" s="56" t="s">
        <v>775</v>
      </c>
    </row>
    <row r="266" spans="1:19" x14ac:dyDescent="0.3">
      <c r="A266" s="34">
        <v>318</v>
      </c>
      <c r="B266" s="3" t="s">
        <v>70</v>
      </c>
      <c r="C266" s="3" t="s">
        <v>71</v>
      </c>
      <c r="D266" s="3" t="s">
        <v>72</v>
      </c>
      <c r="E266" s="4">
        <v>82500</v>
      </c>
      <c r="F266" s="2">
        <v>0</v>
      </c>
      <c r="G266" s="2">
        <v>15</v>
      </c>
      <c r="H266" s="4">
        <v>97500</v>
      </c>
      <c r="I266" s="4">
        <f t="shared" si="8"/>
        <v>97500</v>
      </c>
      <c r="J266" s="5">
        <v>45212</v>
      </c>
      <c r="K266" s="3" t="s">
        <v>167</v>
      </c>
      <c r="L266" s="3" t="str">
        <f>VLOOKUP(DataSales[[#This Row],[Khách hàng]],'RFM Table'!$A:$I,9,FALSE)</f>
        <v>Khách hàng Trung thành</v>
      </c>
      <c r="M266" s="4">
        <f t="shared" si="9"/>
        <v>15000</v>
      </c>
      <c r="N266" s="6">
        <v>0.15384615384615391</v>
      </c>
      <c r="O266" s="2">
        <v>15</v>
      </c>
      <c r="P266" s="6">
        <v>0</v>
      </c>
      <c r="Q266" s="36">
        <v>2023</v>
      </c>
      <c r="R266" s="56">
        <f>MONTH(DataSales[[#This Row],[Ngày Xuất]])</f>
        <v>10</v>
      </c>
      <c r="S266" s="56" t="s">
        <v>776</v>
      </c>
    </row>
    <row r="267" spans="1:19" x14ac:dyDescent="0.3">
      <c r="A267" s="35">
        <v>319</v>
      </c>
      <c r="B267" s="8" t="s">
        <v>74</v>
      </c>
      <c r="C267" s="8" t="s">
        <v>75</v>
      </c>
      <c r="D267" s="8" t="s">
        <v>72</v>
      </c>
      <c r="E267" s="9">
        <v>82500</v>
      </c>
      <c r="F267" s="7">
        <v>0</v>
      </c>
      <c r="G267" s="7">
        <v>15</v>
      </c>
      <c r="H267" s="9">
        <v>97500</v>
      </c>
      <c r="I267" s="9">
        <f t="shared" si="8"/>
        <v>97500</v>
      </c>
      <c r="J267" s="10">
        <v>45212</v>
      </c>
      <c r="K267" s="8" t="s">
        <v>167</v>
      </c>
      <c r="L267" s="8" t="str">
        <f>VLOOKUP(DataSales[[#This Row],[Khách hàng]],'RFM Table'!$A:$I,9,FALSE)</f>
        <v>Khách hàng Trung thành</v>
      </c>
      <c r="M267" s="9">
        <f t="shared" si="9"/>
        <v>15000</v>
      </c>
      <c r="N267" s="11">
        <v>0.15384615384615391</v>
      </c>
      <c r="O267" s="7">
        <v>15</v>
      </c>
      <c r="P267" s="11">
        <v>0</v>
      </c>
      <c r="Q267" s="37">
        <v>2023</v>
      </c>
      <c r="R267" s="56">
        <f>MONTH(DataSales[[#This Row],[Ngày Xuất]])</f>
        <v>10</v>
      </c>
      <c r="S267" s="56" t="s">
        <v>776</v>
      </c>
    </row>
    <row r="268" spans="1:19" x14ac:dyDescent="0.3">
      <c r="A268" s="34">
        <v>320</v>
      </c>
      <c r="B268" s="3" t="s">
        <v>281</v>
      </c>
      <c r="C268" s="3" t="s">
        <v>282</v>
      </c>
      <c r="D268" s="3" t="s">
        <v>47</v>
      </c>
      <c r="E268" s="4">
        <v>42084</v>
      </c>
      <c r="F268" s="2">
        <v>0</v>
      </c>
      <c r="G268" s="2">
        <v>1</v>
      </c>
      <c r="H268" s="4">
        <v>48000</v>
      </c>
      <c r="I268" s="4">
        <f t="shared" si="8"/>
        <v>48000</v>
      </c>
      <c r="J268" s="5">
        <v>45212</v>
      </c>
      <c r="K268" s="3" t="s">
        <v>167</v>
      </c>
      <c r="L268" s="3" t="str">
        <f>VLOOKUP(DataSales[[#This Row],[Khách hàng]],'RFM Table'!$A:$I,9,FALSE)</f>
        <v>Khách hàng Trung thành</v>
      </c>
      <c r="M268" s="4">
        <f t="shared" si="9"/>
        <v>5916</v>
      </c>
      <c r="N268" s="6">
        <v>0.12325</v>
      </c>
      <c r="O268" s="2">
        <v>1</v>
      </c>
      <c r="P268" s="6">
        <v>0</v>
      </c>
      <c r="Q268" s="36">
        <v>2023</v>
      </c>
      <c r="R268" s="56">
        <f>MONTH(DataSales[[#This Row],[Ngày Xuất]])</f>
        <v>10</v>
      </c>
      <c r="S268" s="56" t="s">
        <v>780</v>
      </c>
    </row>
    <row r="269" spans="1:19" x14ac:dyDescent="0.3">
      <c r="A269" s="35">
        <v>321</v>
      </c>
      <c r="B269" s="8" t="s">
        <v>283</v>
      </c>
      <c r="C269" s="8" t="s">
        <v>284</v>
      </c>
      <c r="D269" s="8" t="s">
        <v>47</v>
      </c>
      <c r="E269" s="9">
        <v>42084</v>
      </c>
      <c r="F269" s="7">
        <v>0</v>
      </c>
      <c r="G269" s="7">
        <v>1</v>
      </c>
      <c r="H269" s="9">
        <v>48000</v>
      </c>
      <c r="I269" s="9">
        <f t="shared" si="8"/>
        <v>48000</v>
      </c>
      <c r="J269" s="10">
        <v>45212</v>
      </c>
      <c r="K269" s="8" t="s">
        <v>167</v>
      </c>
      <c r="L269" s="8" t="str">
        <f>VLOOKUP(DataSales[[#This Row],[Khách hàng]],'RFM Table'!$A:$I,9,FALSE)</f>
        <v>Khách hàng Trung thành</v>
      </c>
      <c r="M269" s="9">
        <f t="shared" si="9"/>
        <v>5916</v>
      </c>
      <c r="N269" s="11">
        <v>0.12325</v>
      </c>
      <c r="O269" s="7">
        <v>1</v>
      </c>
      <c r="P269" s="11">
        <v>0</v>
      </c>
      <c r="Q269" s="37">
        <v>2023</v>
      </c>
      <c r="R269" s="56">
        <f>MONTH(DataSales[[#This Row],[Ngày Xuất]])</f>
        <v>10</v>
      </c>
      <c r="S269" s="56" t="s">
        <v>780</v>
      </c>
    </row>
    <row r="270" spans="1:19" x14ac:dyDescent="0.3">
      <c r="A270" s="34">
        <v>322</v>
      </c>
      <c r="B270" s="3" t="s">
        <v>281</v>
      </c>
      <c r="C270" s="3" t="s">
        <v>282</v>
      </c>
      <c r="D270" s="3" t="s">
        <v>47</v>
      </c>
      <c r="E270" s="4">
        <v>42084</v>
      </c>
      <c r="F270" s="2">
        <v>0</v>
      </c>
      <c r="G270" s="2">
        <v>1</v>
      </c>
      <c r="H270" s="4">
        <v>48000</v>
      </c>
      <c r="I270" s="4">
        <f t="shared" si="8"/>
        <v>48000</v>
      </c>
      <c r="J270" s="5">
        <v>45212</v>
      </c>
      <c r="K270" s="3" t="s">
        <v>303</v>
      </c>
      <c r="L270" s="3" t="str">
        <f>VLOOKUP(DataSales[[#This Row],[Khách hàng]],'RFM Table'!$A:$I,9,FALSE)</f>
        <v>Khách hàng Trung thành</v>
      </c>
      <c r="M270" s="4">
        <f t="shared" si="9"/>
        <v>5916</v>
      </c>
      <c r="N270" s="6">
        <v>0.12325</v>
      </c>
      <c r="O270" s="2">
        <v>1</v>
      </c>
      <c r="P270" s="6">
        <v>0</v>
      </c>
      <c r="Q270" s="36">
        <v>2023</v>
      </c>
      <c r="R270" s="56">
        <f>MONTH(DataSales[[#This Row],[Ngày Xuất]])</f>
        <v>10</v>
      </c>
      <c r="S270" s="56" t="s">
        <v>780</v>
      </c>
    </row>
    <row r="271" spans="1:19" x14ac:dyDescent="0.3">
      <c r="A271" s="35">
        <v>323</v>
      </c>
      <c r="B271" s="8" t="s">
        <v>283</v>
      </c>
      <c r="C271" s="8" t="s">
        <v>284</v>
      </c>
      <c r="D271" s="8" t="s">
        <v>47</v>
      </c>
      <c r="E271" s="9">
        <v>42084</v>
      </c>
      <c r="F271" s="7">
        <v>0</v>
      </c>
      <c r="G271" s="7">
        <v>1</v>
      </c>
      <c r="H271" s="9">
        <v>48000</v>
      </c>
      <c r="I271" s="9">
        <f t="shared" si="8"/>
        <v>48000</v>
      </c>
      <c r="J271" s="10">
        <v>45212</v>
      </c>
      <c r="K271" s="8" t="s">
        <v>303</v>
      </c>
      <c r="L271" s="8" t="str">
        <f>VLOOKUP(DataSales[[#This Row],[Khách hàng]],'RFM Table'!$A:$I,9,FALSE)</f>
        <v>Khách hàng Trung thành</v>
      </c>
      <c r="M271" s="9">
        <f t="shared" si="9"/>
        <v>5916</v>
      </c>
      <c r="N271" s="11">
        <v>0.12325</v>
      </c>
      <c r="O271" s="7">
        <v>1</v>
      </c>
      <c r="P271" s="11">
        <v>0</v>
      </c>
      <c r="Q271" s="37">
        <v>2023</v>
      </c>
      <c r="R271" s="56">
        <f>MONTH(DataSales[[#This Row],[Ngày Xuất]])</f>
        <v>10</v>
      </c>
      <c r="S271" s="56" t="s">
        <v>780</v>
      </c>
    </row>
    <row r="272" spans="1:19" x14ac:dyDescent="0.3">
      <c r="A272" s="34">
        <v>324</v>
      </c>
      <c r="B272" s="3" t="s">
        <v>174</v>
      </c>
      <c r="C272" s="3" t="s">
        <v>175</v>
      </c>
      <c r="D272" s="3" t="s">
        <v>22</v>
      </c>
      <c r="E272" s="4">
        <v>90000</v>
      </c>
      <c r="F272" s="2">
        <v>2</v>
      </c>
      <c r="G272" s="2">
        <v>24</v>
      </c>
      <c r="H272" s="4">
        <v>168000</v>
      </c>
      <c r="I272" s="4">
        <f t="shared" si="8"/>
        <v>168000</v>
      </c>
      <c r="J272" s="5">
        <v>45212</v>
      </c>
      <c r="K272" s="3" t="s">
        <v>303</v>
      </c>
      <c r="L272" s="3" t="str">
        <f>VLOOKUP(DataSales[[#This Row],[Khách hàng]],'RFM Table'!$A:$I,9,FALSE)</f>
        <v>Khách hàng Trung thành</v>
      </c>
      <c r="M272" s="4">
        <f t="shared" si="9"/>
        <v>78000</v>
      </c>
      <c r="N272" s="6">
        <v>0.4642857142857143</v>
      </c>
      <c r="O272" s="2">
        <v>26</v>
      </c>
      <c r="P272" s="6">
        <v>7.6923076923076927E-2</v>
      </c>
      <c r="Q272" s="36">
        <v>2023</v>
      </c>
      <c r="R272" s="56">
        <f>MONTH(DataSales[[#This Row],[Ngày Xuất]])</f>
        <v>10</v>
      </c>
      <c r="S272" s="56" t="s">
        <v>773</v>
      </c>
    </row>
    <row r="273" spans="1:19" x14ac:dyDescent="0.3">
      <c r="A273" s="35">
        <v>325</v>
      </c>
      <c r="B273" s="8" t="s">
        <v>344</v>
      </c>
      <c r="C273" s="8" t="s">
        <v>345</v>
      </c>
      <c r="D273" s="8" t="s">
        <v>18</v>
      </c>
      <c r="E273" s="9">
        <v>36750</v>
      </c>
      <c r="F273" s="7">
        <v>0</v>
      </c>
      <c r="G273" s="7">
        <v>7</v>
      </c>
      <c r="H273" s="9">
        <v>49000</v>
      </c>
      <c r="I273" s="9">
        <f t="shared" si="8"/>
        <v>49000</v>
      </c>
      <c r="J273" s="10">
        <v>45212</v>
      </c>
      <c r="K273" s="8" t="s">
        <v>303</v>
      </c>
      <c r="L273" s="8" t="str">
        <f>VLOOKUP(DataSales[[#This Row],[Khách hàng]],'RFM Table'!$A:$I,9,FALSE)</f>
        <v>Khách hàng Trung thành</v>
      </c>
      <c r="M273" s="9">
        <f t="shared" si="9"/>
        <v>12250</v>
      </c>
      <c r="N273" s="11">
        <v>0.25</v>
      </c>
      <c r="O273" s="7">
        <v>7</v>
      </c>
      <c r="P273" s="11">
        <v>0</v>
      </c>
      <c r="Q273" s="37">
        <v>2023</v>
      </c>
      <c r="R273" s="56">
        <f>MONTH(DataSales[[#This Row],[Ngày Xuất]])</f>
        <v>10</v>
      </c>
      <c r="S273" s="56" t="s">
        <v>776</v>
      </c>
    </row>
    <row r="274" spans="1:19" x14ac:dyDescent="0.3">
      <c r="A274" s="34">
        <v>326</v>
      </c>
      <c r="B274" s="3" t="s">
        <v>347</v>
      </c>
      <c r="C274" s="3" t="s">
        <v>348</v>
      </c>
      <c r="D274" s="3" t="s">
        <v>18</v>
      </c>
      <c r="E274" s="4">
        <v>36750</v>
      </c>
      <c r="F274" s="2">
        <v>0</v>
      </c>
      <c r="G274" s="2">
        <v>7</v>
      </c>
      <c r="H274" s="4">
        <v>49000</v>
      </c>
      <c r="I274" s="4">
        <f t="shared" si="8"/>
        <v>49000</v>
      </c>
      <c r="J274" s="5">
        <v>45212</v>
      </c>
      <c r="K274" s="3" t="s">
        <v>303</v>
      </c>
      <c r="L274" s="3" t="str">
        <f>VLOOKUP(DataSales[[#This Row],[Khách hàng]],'RFM Table'!$A:$I,9,FALSE)</f>
        <v>Khách hàng Trung thành</v>
      </c>
      <c r="M274" s="4">
        <f t="shared" si="9"/>
        <v>12250</v>
      </c>
      <c r="N274" s="6">
        <v>0.25</v>
      </c>
      <c r="O274" s="2">
        <v>7</v>
      </c>
      <c r="P274" s="6">
        <v>0</v>
      </c>
      <c r="Q274" s="36">
        <v>2023</v>
      </c>
      <c r="R274" s="56">
        <f>MONTH(DataSales[[#This Row],[Ngày Xuất]])</f>
        <v>10</v>
      </c>
      <c r="S274" s="56" t="s">
        <v>776</v>
      </c>
    </row>
    <row r="275" spans="1:19" x14ac:dyDescent="0.3">
      <c r="A275" s="35">
        <v>327</v>
      </c>
      <c r="B275" s="8" t="s">
        <v>292</v>
      </c>
      <c r="C275" s="8" t="s">
        <v>293</v>
      </c>
      <c r="D275" s="8" t="s">
        <v>18</v>
      </c>
      <c r="E275" s="9">
        <v>31500</v>
      </c>
      <c r="F275" s="7">
        <v>0</v>
      </c>
      <c r="G275" s="7">
        <v>6</v>
      </c>
      <c r="H275" s="9">
        <v>42000</v>
      </c>
      <c r="I275" s="9">
        <f t="shared" si="8"/>
        <v>42000</v>
      </c>
      <c r="J275" s="10">
        <v>45212</v>
      </c>
      <c r="K275" s="8" t="s">
        <v>303</v>
      </c>
      <c r="L275" s="8" t="str">
        <f>VLOOKUP(DataSales[[#This Row],[Khách hàng]],'RFM Table'!$A:$I,9,FALSE)</f>
        <v>Khách hàng Trung thành</v>
      </c>
      <c r="M275" s="9">
        <f t="shared" si="9"/>
        <v>10500</v>
      </c>
      <c r="N275" s="11">
        <v>0.25</v>
      </c>
      <c r="O275" s="7">
        <v>6</v>
      </c>
      <c r="P275" s="11">
        <v>0</v>
      </c>
      <c r="Q275" s="37">
        <v>2023</v>
      </c>
      <c r="R275" s="56">
        <f>MONTH(DataSales[[#This Row],[Ngày Xuất]])</f>
        <v>10</v>
      </c>
      <c r="S275" s="56" t="s">
        <v>776</v>
      </c>
    </row>
    <row r="276" spans="1:19" x14ac:dyDescent="0.3">
      <c r="A276" s="34">
        <v>328</v>
      </c>
      <c r="B276" s="3" t="s">
        <v>380</v>
      </c>
      <c r="C276" s="3" t="s">
        <v>381</v>
      </c>
      <c r="D276" s="3" t="s">
        <v>92</v>
      </c>
      <c r="E276" s="4">
        <v>116000</v>
      </c>
      <c r="F276" s="2">
        <v>0</v>
      </c>
      <c r="G276" s="2">
        <v>2</v>
      </c>
      <c r="H276" s="4">
        <v>150000</v>
      </c>
      <c r="I276" s="4">
        <f t="shared" si="8"/>
        <v>150000</v>
      </c>
      <c r="J276" s="5">
        <v>45212</v>
      </c>
      <c r="K276" s="3" t="s">
        <v>303</v>
      </c>
      <c r="L276" s="3" t="str">
        <f>VLOOKUP(DataSales[[#This Row],[Khách hàng]],'RFM Table'!$A:$I,9,FALSE)</f>
        <v>Khách hàng Trung thành</v>
      </c>
      <c r="M276" s="4">
        <f t="shared" si="9"/>
        <v>34000</v>
      </c>
      <c r="N276" s="6">
        <v>0.22666666666666671</v>
      </c>
      <c r="O276" s="2">
        <v>2</v>
      </c>
      <c r="P276" s="6">
        <v>0</v>
      </c>
      <c r="Q276" s="36">
        <v>2023</v>
      </c>
      <c r="R276" s="56">
        <f>MONTH(DataSales[[#This Row],[Ngày Xuất]])</f>
        <v>10</v>
      </c>
      <c r="S276" s="56" t="s">
        <v>773</v>
      </c>
    </row>
    <row r="277" spans="1:19" x14ac:dyDescent="0.3">
      <c r="A277" s="35">
        <v>329</v>
      </c>
      <c r="B277" s="8" t="s">
        <v>382</v>
      </c>
      <c r="C277" s="8" t="s">
        <v>383</v>
      </c>
      <c r="D277" s="8" t="s">
        <v>92</v>
      </c>
      <c r="E277" s="9">
        <v>116000</v>
      </c>
      <c r="F277" s="7">
        <v>0</v>
      </c>
      <c r="G277" s="7">
        <v>2</v>
      </c>
      <c r="H277" s="9">
        <v>150000</v>
      </c>
      <c r="I277" s="9">
        <f t="shared" si="8"/>
        <v>150000</v>
      </c>
      <c r="J277" s="10">
        <v>45212</v>
      </c>
      <c r="K277" s="8" t="s">
        <v>303</v>
      </c>
      <c r="L277" s="8" t="str">
        <f>VLOOKUP(DataSales[[#This Row],[Khách hàng]],'RFM Table'!$A:$I,9,FALSE)</f>
        <v>Khách hàng Trung thành</v>
      </c>
      <c r="M277" s="9">
        <f t="shared" si="9"/>
        <v>34000</v>
      </c>
      <c r="N277" s="11">
        <v>0.22666666666666671</v>
      </c>
      <c r="O277" s="7">
        <v>2</v>
      </c>
      <c r="P277" s="11">
        <v>0</v>
      </c>
      <c r="Q277" s="37">
        <v>2023</v>
      </c>
      <c r="R277" s="56">
        <f>MONTH(DataSales[[#This Row],[Ngày Xuất]])</f>
        <v>10</v>
      </c>
      <c r="S277" s="56" t="s">
        <v>773</v>
      </c>
    </row>
    <row r="278" spans="1:19" x14ac:dyDescent="0.3">
      <c r="A278" s="34">
        <v>330</v>
      </c>
      <c r="B278" s="3" t="s">
        <v>384</v>
      </c>
      <c r="C278" s="3" t="s">
        <v>385</v>
      </c>
      <c r="D278" s="3" t="s">
        <v>92</v>
      </c>
      <c r="E278" s="4">
        <v>58000</v>
      </c>
      <c r="F278" s="2">
        <v>0</v>
      </c>
      <c r="G278" s="2">
        <v>1</v>
      </c>
      <c r="H278" s="4">
        <v>75000</v>
      </c>
      <c r="I278" s="4">
        <f t="shared" si="8"/>
        <v>75000</v>
      </c>
      <c r="J278" s="5">
        <v>45212</v>
      </c>
      <c r="K278" s="3" t="s">
        <v>303</v>
      </c>
      <c r="L278" s="3" t="str">
        <f>VLOOKUP(DataSales[[#This Row],[Khách hàng]],'RFM Table'!$A:$I,9,FALSE)</f>
        <v>Khách hàng Trung thành</v>
      </c>
      <c r="M278" s="4">
        <f t="shared" si="9"/>
        <v>17000</v>
      </c>
      <c r="N278" s="6">
        <v>0.22666666666666671</v>
      </c>
      <c r="O278" s="2">
        <v>1</v>
      </c>
      <c r="P278" s="6">
        <v>0</v>
      </c>
      <c r="Q278" s="36">
        <v>2023</v>
      </c>
      <c r="R278" s="56">
        <f>MONTH(DataSales[[#This Row],[Ngày Xuất]])</f>
        <v>10</v>
      </c>
      <c r="S278" s="56" t="s">
        <v>773</v>
      </c>
    </row>
    <row r="279" spans="1:19" x14ac:dyDescent="0.3">
      <c r="A279" s="35">
        <v>331</v>
      </c>
      <c r="B279" s="8" t="s">
        <v>386</v>
      </c>
      <c r="C279" s="8" t="s">
        <v>387</v>
      </c>
      <c r="D279" s="8" t="s">
        <v>92</v>
      </c>
      <c r="E279" s="9">
        <v>58000</v>
      </c>
      <c r="F279" s="7">
        <v>0</v>
      </c>
      <c r="G279" s="7">
        <v>1</v>
      </c>
      <c r="H279" s="9">
        <v>75000</v>
      </c>
      <c r="I279" s="9">
        <f t="shared" si="8"/>
        <v>75000</v>
      </c>
      <c r="J279" s="10">
        <v>45212</v>
      </c>
      <c r="K279" s="8" t="s">
        <v>303</v>
      </c>
      <c r="L279" s="8" t="str">
        <f>VLOOKUP(DataSales[[#This Row],[Khách hàng]],'RFM Table'!$A:$I,9,FALSE)</f>
        <v>Khách hàng Trung thành</v>
      </c>
      <c r="M279" s="9">
        <f t="shared" si="9"/>
        <v>17000</v>
      </c>
      <c r="N279" s="11">
        <v>0.22666666666666671</v>
      </c>
      <c r="O279" s="7">
        <v>1</v>
      </c>
      <c r="P279" s="11">
        <v>0</v>
      </c>
      <c r="Q279" s="37">
        <v>2023</v>
      </c>
      <c r="R279" s="56">
        <f>MONTH(DataSales[[#This Row],[Ngày Xuất]])</f>
        <v>10</v>
      </c>
      <c r="S279" s="56" t="s">
        <v>773</v>
      </c>
    </row>
    <row r="280" spans="1:19" x14ac:dyDescent="0.3">
      <c r="A280" s="34">
        <v>333</v>
      </c>
      <c r="B280" s="3" t="s">
        <v>278</v>
      </c>
      <c r="C280" s="3" t="s">
        <v>279</v>
      </c>
      <c r="D280" s="3" t="s">
        <v>22</v>
      </c>
      <c r="E280" s="4">
        <v>190176</v>
      </c>
      <c r="F280" s="2">
        <v>0</v>
      </c>
      <c r="G280" s="2">
        <v>24</v>
      </c>
      <c r="H280" s="4">
        <v>276000</v>
      </c>
      <c r="I280" s="4">
        <f t="shared" si="8"/>
        <v>276000</v>
      </c>
      <c r="J280" s="5">
        <v>45212</v>
      </c>
      <c r="K280" s="3" t="s">
        <v>303</v>
      </c>
      <c r="L280" s="3" t="str">
        <f>VLOOKUP(DataSales[[#This Row],[Khách hàng]],'RFM Table'!$A:$I,9,FALSE)</f>
        <v>Khách hàng Trung thành</v>
      </c>
      <c r="M280" s="4">
        <f t="shared" si="9"/>
        <v>85824</v>
      </c>
      <c r="N280" s="6">
        <v>0.31095652173913041</v>
      </c>
      <c r="O280" s="2">
        <v>24</v>
      </c>
      <c r="P280" s="6">
        <v>0</v>
      </c>
      <c r="Q280" s="36">
        <v>2023</v>
      </c>
      <c r="R280" s="56">
        <f>MONTH(DataSales[[#This Row],[Ngày Xuất]])</f>
        <v>10</v>
      </c>
      <c r="S280" s="56" t="s">
        <v>773</v>
      </c>
    </row>
    <row r="281" spans="1:19" x14ac:dyDescent="0.3">
      <c r="A281" s="35">
        <v>334</v>
      </c>
      <c r="B281" s="8" t="s">
        <v>388</v>
      </c>
      <c r="C281" s="8" t="s">
        <v>389</v>
      </c>
      <c r="D281" s="8" t="s">
        <v>22</v>
      </c>
      <c r="E281" s="9">
        <v>212384</v>
      </c>
      <c r="F281" s="7">
        <v>0</v>
      </c>
      <c r="G281" s="7">
        <v>16</v>
      </c>
      <c r="H281" s="9">
        <v>304000</v>
      </c>
      <c r="I281" s="9">
        <f t="shared" si="8"/>
        <v>304000</v>
      </c>
      <c r="J281" s="10">
        <v>45212</v>
      </c>
      <c r="K281" s="8" t="s">
        <v>303</v>
      </c>
      <c r="L281" s="8" t="str">
        <f>VLOOKUP(DataSales[[#This Row],[Khách hàng]],'RFM Table'!$A:$I,9,FALSE)</f>
        <v>Khách hàng Trung thành</v>
      </c>
      <c r="M281" s="9">
        <f t="shared" si="9"/>
        <v>91616</v>
      </c>
      <c r="N281" s="11">
        <v>0.30136842105263162</v>
      </c>
      <c r="O281" s="7">
        <v>16</v>
      </c>
      <c r="P281" s="11">
        <v>0</v>
      </c>
      <c r="Q281" s="37">
        <v>2023</v>
      </c>
      <c r="R281" s="56">
        <f>MONTH(DataSales[[#This Row],[Ngày Xuất]])</f>
        <v>10</v>
      </c>
      <c r="S281" s="56" t="s">
        <v>773</v>
      </c>
    </row>
    <row r="282" spans="1:19" x14ac:dyDescent="0.3">
      <c r="A282" s="34">
        <v>335</v>
      </c>
      <c r="B282" s="3" t="s">
        <v>324</v>
      </c>
      <c r="C282" s="3" t="s">
        <v>325</v>
      </c>
      <c r="D282" s="3" t="s">
        <v>326</v>
      </c>
      <c r="E282" s="4">
        <v>57000</v>
      </c>
      <c r="F282" s="2">
        <v>0</v>
      </c>
      <c r="G282" s="2">
        <v>1</v>
      </c>
      <c r="H282" s="4">
        <v>75000</v>
      </c>
      <c r="I282" s="4">
        <f t="shared" si="8"/>
        <v>75000</v>
      </c>
      <c r="J282" s="5">
        <v>45212</v>
      </c>
      <c r="K282" s="3" t="s">
        <v>307</v>
      </c>
      <c r="L282" s="3" t="str">
        <f>VLOOKUP(DataSales[[#This Row],[Khách hàng]],'RFM Table'!$A:$I,9,FALSE)</f>
        <v>Khách hàng Cần chú ý</v>
      </c>
      <c r="M282" s="4">
        <f t="shared" si="9"/>
        <v>18000</v>
      </c>
      <c r="N282" s="6">
        <v>0.24</v>
      </c>
      <c r="O282" s="2">
        <v>1</v>
      </c>
      <c r="P282" s="6">
        <v>0</v>
      </c>
      <c r="Q282" s="36">
        <v>2023</v>
      </c>
      <c r="R282" s="56">
        <f>MONTH(DataSales[[#This Row],[Ngày Xuất]])</f>
        <v>10</v>
      </c>
      <c r="S282" s="56" t="s">
        <v>779</v>
      </c>
    </row>
    <row r="283" spans="1:19" x14ac:dyDescent="0.3">
      <c r="A283" s="35">
        <v>336</v>
      </c>
      <c r="B283" s="8" t="s">
        <v>16</v>
      </c>
      <c r="C283" s="8" t="s">
        <v>17</v>
      </c>
      <c r="D283" s="8" t="s">
        <v>18</v>
      </c>
      <c r="E283" s="9">
        <v>345600</v>
      </c>
      <c r="F283" s="7">
        <v>4</v>
      </c>
      <c r="G283" s="7">
        <v>48</v>
      </c>
      <c r="H283" s="9">
        <v>536000</v>
      </c>
      <c r="I283" s="9">
        <f t="shared" si="8"/>
        <v>536000</v>
      </c>
      <c r="J283" s="10">
        <v>45213</v>
      </c>
      <c r="K283" s="8" t="s">
        <v>89</v>
      </c>
      <c r="L283" s="8" t="str">
        <f>VLOOKUP(DataSales[[#This Row],[Khách hàng]],'RFM Table'!$A:$I,9,FALSE)</f>
        <v>Khách hàng VIP</v>
      </c>
      <c r="M283" s="9">
        <f t="shared" si="9"/>
        <v>190400</v>
      </c>
      <c r="N283" s="11">
        <v>0.35522388059701487</v>
      </c>
      <c r="O283" s="7">
        <v>52</v>
      </c>
      <c r="P283" s="11">
        <v>7.6923076923076927E-2</v>
      </c>
      <c r="Q283" s="37">
        <v>2023</v>
      </c>
      <c r="R283" s="56">
        <f>MONTH(DataSales[[#This Row],[Ngày Xuất]])</f>
        <v>10</v>
      </c>
      <c r="S283" s="56" t="s">
        <v>772</v>
      </c>
    </row>
    <row r="284" spans="1:19" x14ac:dyDescent="0.3">
      <c r="A284" s="34">
        <v>338</v>
      </c>
      <c r="B284" s="3" t="s">
        <v>145</v>
      </c>
      <c r="C284" s="3" t="s">
        <v>146</v>
      </c>
      <c r="D284" s="3" t="s">
        <v>18</v>
      </c>
      <c r="E284" s="4">
        <v>288000</v>
      </c>
      <c r="F284" s="2">
        <v>0</v>
      </c>
      <c r="G284" s="2">
        <v>48</v>
      </c>
      <c r="H284" s="4">
        <v>360000</v>
      </c>
      <c r="I284" s="4">
        <f t="shared" si="8"/>
        <v>360000</v>
      </c>
      <c r="J284" s="5">
        <v>45213</v>
      </c>
      <c r="K284" s="3" t="s">
        <v>204</v>
      </c>
      <c r="L284" s="3" t="str">
        <f>VLOOKUP(DataSales[[#This Row],[Khách hàng]],'RFM Table'!$A:$I,9,FALSE)</f>
        <v>Khách hàng VIP</v>
      </c>
      <c r="M284" s="4">
        <f t="shared" si="9"/>
        <v>72000</v>
      </c>
      <c r="N284" s="6">
        <v>0.2</v>
      </c>
      <c r="O284" s="2">
        <v>48</v>
      </c>
      <c r="P284" s="6">
        <v>0</v>
      </c>
      <c r="Q284" s="36">
        <v>2023</v>
      </c>
      <c r="R284" s="56">
        <f>MONTH(DataSales[[#This Row],[Ngày Xuất]])</f>
        <v>10</v>
      </c>
      <c r="S284" s="56" t="s">
        <v>772</v>
      </c>
    </row>
    <row r="285" spans="1:19" x14ac:dyDescent="0.3">
      <c r="A285" s="35">
        <v>339</v>
      </c>
      <c r="B285" s="8" t="s">
        <v>390</v>
      </c>
      <c r="C285" s="8" t="s">
        <v>391</v>
      </c>
      <c r="D285" s="8" t="s">
        <v>32</v>
      </c>
      <c r="E285" s="9">
        <v>155004</v>
      </c>
      <c r="F285" s="7">
        <v>0</v>
      </c>
      <c r="G285" s="7">
        <v>6</v>
      </c>
      <c r="H285" s="9">
        <v>222000</v>
      </c>
      <c r="I285" s="9">
        <f t="shared" si="8"/>
        <v>222000</v>
      </c>
      <c r="J285" s="10">
        <v>45213</v>
      </c>
      <c r="K285" s="8" t="s">
        <v>216</v>
      </c>
      <c r="L285" s="8" t="str">
        <f>VLOOKUP(DataSales[[#This Row],[Khách hàng]],'RFM Table'!$A:$I,9,FALSE)</f>
        <v>Khách hàng Cần chú ý</v>
      </c>
      <c r="M285" s="9">
        <f t="shared" si="9"/>
        <v>66996</v>
      </c>
      <c r="N285" s="11">
        <v>0.30178378378378379</v>
      </c>
      <c r="O285" s="7">
        <v>6</v>
      </c>
      <c r="P285" s="11">
        <v>0</v>
      </c>
      <c r="Q285" s="37">
        <v>2023</v>
      </c>
      <c r="R285" s="56">
        <f>MONTH(DataSales[[#This Row],[Ngày Xuất]])</f>
        <v>10</v>
      </c>
      <c r="S285" s="56" t="s">
        <v>779</v>
      </c>
    </row>
    <row r="286" spans="1:19" x14ac:dyDescent="0.3">
      <c r="A286" s="34">
        <v>341</v>
      </c>
      <c r="B286" s="3" t="s">
        <v>23</v>
      </c>
      <c r="C286" s="3" t="s">
        <v>24</v>
      </c>
      <c r="D286" s="3" t="s">
        <v>25</v>
      </c>
      <c r="E286" s="4">
        <v>1460000</v>
      </c>
      <c r="F286" s="2">
        <v>0</v>
      </c>
      <c r="G286" s="2">
        <v>16</v>
      </c>
      <c r="H286" s="4">
        <v>1840000</v>
      </c>
      <c r="I286" s="4">
        <f t="shared" si="8"/>
        <v>1840000</v>
      </c>
      <c r="J286" s="5">
        <v>45213</v>
      </c>
      <c r="K286" s="3" t="s">
        <v>26</v>
      </c>
      <c r="L286" s="3" t="str">
        <f>VLOOKUP(DataSales[[#This Row],[Khách hàng]],'RFM Table'!$A:$I,9,FALSE)</f>
        <v>Khách hàng Cần chú ý</v>
      </c>
      <c r="M286" s="4">
        <f t="shared" si="9"/>
        <v>380000</v>
      </c>
      <c r="N286" s="6">
        <v>0.20652173913043481</v>
      </c>
      <c r="O286" s="2">
        <v>16</v>
      </c>
      <c r="P286" s="6">
        <v>0</v>
      </c>
      <c r="Q286" s="36">
        <v>2023</v>
      </c>
      <c r="R286" s="56">
        <f>MONTH(DataSales[[#This Row],[Ngày Xuất]])</f>
        <v>10</v>
      </c>
      <c r="S286" s="56" t="s">
        <v>773</v>
      </c>
    </row>
    <row r="287" spans="1:19" x14ac:dyDescent="0.3">
      <c r="A287" s="35">
        <v>342</v>
      </c>
      <c r="B287" s="8" t="s">
        <v>223</v>
      </c>
      <c r="C287" s="8" t="s">
        <v>224</v>
      </c>
      <c r="D287" s="8" t="s">
        <v>25</v>
      </c>
      <c r="E287" s="9">
        <v>365000</v>
      </c>
      <c r="F287" s="7">
        <v>0</v>
      </c>
      <c r="G287" s="7">
        <v>4</v>
      </c>
      <c r="H287" s="9">
        <v>460000</v>
      </c>
      <c r="I287" s="9">
        <f t="shared" si="8"/>
        <v>460000</v>
      </c>
      <c r="J287" s="10">
        <v>45213</v>
      </c>
      <c r="K287" s="8" t="s">
        <v>26</v>
      </c>
      <c r="L287" s="8" t="str">
        <f>VLOOKUP(DataSales[[#This Row],[Khách hàng]],'RFM Table'!$A:$I,9,FALSE)</f>
        <v>Khách hàng Cần chú ý</v>
      </c>
      <c r="M287" s="9">
        <f t="shared" si="9"/>
        <v>95000</v>
      </c>
      <c r="N287" s="11">
        <v>0.20652173913043481</v>
      </c>
      <c r="O287" s="7">
        <v>4</v>
      </c>
      <c r="P287" s="11">
        <v>0</v>
      </c>
      <c r="Q287" s="37">
        <v>2023</v>
      </c>
      <c r="R287" s="56">
        <f>MONTH(DataSales[[#This Row],[Ngày Xuất]])</f>
        <v>10</v>
      </c>
      <c r="S287" s="56" t="s">
        <v>773</v>
      </c>
    </row>
    <row r="288" spans="1:19" x14ac:dyDescent="0.3">
      <c r="A288" s="34">
        <v>343</v>
      </c>
      <c r="B288" s="3" t="s">
        <v>223</v>
      </c>
      <c r="C288" s="3" t="s">
        <v>224</v>
      </c>
      <c r="D288" s="3" t="s">
        <v>25</v>
      </c>
      <c r="E288" s="4">
        <v>365000</v>
      </c>
      <c r="F288" s="2">
        <v>2</v>
      </c>
      <c r="G288" s="2">
        <v>4</v>
      </c>
      <c r="H288" s="4">
        <v>520000</v>
      </c>
      <c r="I288" s="4">
        <f t="shared" si="8"/>
        <v>520000</v>
      </c>
      <c r="J288" s="5">
        <v>45213</v>
      </c>
      <c r="K288" s="3" t="s">
        <v>222</v>
      </c>
      <c r="L288" s="3" t="str">
        <f>VLOOKUP(DataSales[[#This Row],[Khách hàng]],'RFM Table'!$A:$I,9,FALSE)</f>
        <v>Khách hàng Cần chú ý</v>
      </c>
      <c r="M288" s="4">
        <f t="shared" si="9"/>
        <v>155000</v>
      </c>
      <c r="N288" s="6">
        <v>0.29807692307692307</v>
      </c>
      <c r="O288" s="2">
        <v>6</v>
      </c>
      <c r="P288" s="6">
        <v>0.33333333333333331</v>
      </c>
      <c r="Q288" s="36">
        <v>2023</v>
      </c>
      <c r="R288" s="56">
        <f>MONTH(DataSales[[#This Row],[Ngày Xuất]])</f>
        <v>10</v>
      </c>
      <c r="S288" s="56" t="s">
        <v>773</v>
      </c>
    </row>
    <row r="289" spans="1:19" x14ac:dyDescent="0.3">
      <c r="A289" s="35">
        <v>344</v>
      </c>
      <c r="B289" s="8" t="s">
        <v>380</v>
      </c>
      <c r="C289" s="8" t="s">
        <v>381</v>
      </c>
      <c r="D289" s="8" t="s">
        <v>92</v>
      </c>
      <c r="E289" s="9">
        <v>290000</v>
      </c>
      <c r="F289" s="7">
        <v>1</v>
      </c>
      <c r="G289" s="7">
        <v>5</v>
      </c>
      <c r="H289" s="9">
        <v>375000</v>
      </c>
      <c r="I289" s="9">
        <f t="shared" si="8"/>
        <v>375000</v>
      </c>
      <c r="J289" s="10">
        <v>45213</v>
      </c>
      <c r="K289" s="8" t="s">
        <v>222</v>
      </c>
      <c r="L289" s="8" t="str">
        <f>VLOOKUP(DataSales[[#This Row],[Khách hàng]],'RFM Table'!$A:$I,9,FALSE)</f>
        <v>Khách hàng Cần chú ý</v>
      </c>
      <c r="M289" s="9">
        <f t="shared" si="9"/>
        <v>85000</v>
      </c>
      <c r="N289" s="11">
        <v>0.22666666666666671</v>
      </c>
      <c r="O289" s="7">
        <v>6</v>
      </c>
      <c r="P289" s="11">
        <v>0.16666666666666671</v>
      </c>
      <c r="Q289" s="37">
        <v>2023</v>
      </c>
      <c r="R289" s="56">
        <f>MONTH(DataSales[[#This Row],[Ngày Xuất]])</f>
        <v>10</v>
      </c>
      <c r="S289" s="56" t="s">
        <v>773</v>
      </c>
    </row>
    <row r="290" spans="1:19" x14ac:dyDescent="0.3">
      <c r="A290" s="34">
        <v>345</v>
      </c>
      <c r="B290" s="3" t="s">
        <v>197</v>
      </c>
      <c r="C290" s="3" t="s">
        <v>198</v>
      </c>
      <c r="D290" s="3" t="s">
        <v>32</v>
      </c>
      <c r="E290" s="4">
        <v>180000</v>
      </c>
      <c r="F290" s="2">
        <v>0</v>
      </c>
      <c r="G290" s="2">
        <v>10</v>
      </c>
      <c r="H290" s="4">
        <v>200000</v>
      </c>
      <c r="I290" s="4">
        <f t="shared" si="8"/>
        <v>200000</v>
      </c>
      <c r="J290" s="5">
        <v>45213</v>
      </c>
      <c r="K290" s="3" t="s">
        <v>392</v>
      </c>
      <c r="L290" s="3" t="str">
        <f>VLOOKUP(DataSales[[#This Row],[Khách hàng]],'RFM Table'!$A:$I,9,FALSE)</f>
        <v>Khách hàng Cần chú ý</v>
      </c>
      <c r="M290" s="4">
        <f t="shared" si="9"/>
        <v>20000</v>
      </c>
      <c r="N290" s="6">
        <v>0.1</v>
      </c>
      <c r="O290" s="2">
        <v>10</v>
      </c>
      <c r="P290" s="6">
        <v>0</v>
      </c>
      <c r="Q290" s="36">
        <v>2023</v>
      </c>
      <c r="R290" s="56">
        <f>MONTH(DataSales[[#This Row],[Ngày Xuất]])</f>
        <v>10</v>
      </c>
      <c r="S290" s="56" t="s">
        <v>779</v>
      </c>
    </row>
    <row r="291" spans="1:19" x14ac:dyDescent="0.3">
      <c r="A291" s="35">
        <v>346</v>
      </c>
      <c r="B291" s="8" t="s">
        <v>53</v>
      </c>
      <c r="C291" s="8" t="s">
        <v>54</v>
      </c>
      <c r="D291" s="8" t="s">
        <v>55</v>
      </c>
      <c r="E291" s="9">
        <v>211200</v>
      </c>
      <c r="F291" s="7">
        <v>1</v>
      </c>
      <c r="G291" s="7">
        <v>8</v>
      </c>
      <c r="H291" s="9">
        <v>256000</v>
      </c>
      <c r="I291" s="9">
        <f t="shared" si="8"/>
        <v>256000</v>
      </c>
      <c r="J291" s="10">
        <v>45213</v>
      </c>
      <c r="K291" s="8" t="s">
        <v>393</v>
      </c>
      <c r="L291" s="8" t="str">
        <f>VLOOKUP(DataSales[[#This Row],[Khách hàng]],'RFM Table'!$A:$I,9,FALSE)</f>
        <v>Khách hàng Cần chú ý</v>
      </c>
      <c r="M291" s="9">
        <f t="shared" si="9"/>
        <v>44800</v>
      </c>
      <c r="N291" s="11">
        <v>0.17499999999999999</v>
      </c>
      <c r="O291" s="7">
        <v>9</v>
      </c>
      <c r="P291" s="11">
        <v>0.1111111111111111</v>
      </c>
      <c r="Q291" s="37">
        <v>2023</v>
      </c>
      <c r="R291" s="56">
        <f>MONTH(DataSales[[#This Row],[Ngày Xuất]])</f>
        <v>10</v>
      </c>
      <c r="S291" s="56" t="s">
        <v>774</v>
      </c>
    </row>
    <row r="292" spans="1:19" x14ac:dyDescent="0.3">
      <c r="A292" s="34">
        <v>347</v>
      </c>
      <c r="B292" s="3" t="s">
        <v>252</v>
      </c>
      <c r="C292" s="3" t="s">
        <v>253</v>
      </c>
      <c r="D292" s="3" t="s">
        <v>32</v>
      </c>
      <c r="E292" s="4">
        <v>310008</v>
      </c>
      <c r="F292" s="2">
        <v>0</v>
      </c>
      <c r="G292" s="2">
        <v>12</v>
      </c>
      <c r="H292" s="4">
        <v>444000</v>
      </c>
      <c r="I292" s="4">
        <f t="shared" si="8"/>
        <v>444000</v>
      </c>
      <c r="J292" s="5">
        <v>45213</v>
      </c>
      <c r="K292" s="3" t="s">
        <v>393</v>
      </c>
      <c r="L292" s="3" t="str">
        <f>VLOOKUP(DataSales[[#This Row],[Khách hàng]],'RFM Table'!$A:$I,9,FALSE)</f>
        <v>Khách hàng Cần chú ý</v>
      </c>
      <c r="M292" s="4">
        <f t="shared" si="9"/>
        <v>133992</v>
      </c>
      <c r="N292" s="6">
        <v>0.30178378378378379</v>
      </c>
      <c r="O292" s="2">
        <v>12</v>
      </c>
      <c r="P292" s="6">
        <v>0</v>
      </c>
      <c r="Q292" s="36">
        <v>2023</v>
      </c>
      <c r="R292" s="56">
        <f>MONTH(DataSales[[#This Row],[Ngày Xuất]])</f>
        <v>10</v>
      </c>
      <c r="S292" s="56" t="s">
        <v>779</v>
      </c>
    </row>
    <row r="293" spans="1:19" x14ac:dyDescent="0.3">
      <c r="A293" s="35">
        <v>350</v>
      </c>
      <c r="B293" s="8" t="s">
        <v>394</v>
      </c>
      <c r="C293" s="8" t="s">
        <v>395</v>
      </c>
      <c r="D293" s="8" t="s">
        <v>18</v>
      </c>
      <c r="E293" s="9">
        <v>230000</v>
      </c>
      <c r="F293" s="7">
        <v>5</v>
      </c>
      <c r="G293" s="7">
        <v>20</v>
      </c>
      <c r="H293" s="9">
        <v>352000</v>
      </c>
      <c r="I293" s="9">
        <f t="shared" si="8"/>
        <v>352000</v>
      </c>
      <c r="J293" s="10">
        <v>45213</v>
      </c>
      <c r="K293" s="8" t="s">
        <v>393</v>
      </c>
      <c r="L293" s="8" t="str">
        <f>VLOOKUP(DataSales[[#This Row],[Khách hàng]],'RFM Table'!$A:$I,9,FALSE)</f>
        <v>Khách hàng Cần chú ý</v>
      </c>
      <c r="M293" s="9">
        <f t="shared" si="9"/>
        <v>122000</v>
      </c>
      <c r="N293" s="11">
        <v>0.34659090909090912</v>
      </c>
      <c r="O293" s="7">
        <v>25</v>
      </c>
      <c r="P293" s="11">
        <v>0.2</v>
      </c>
      <c r="Q293" s="37">
        <v>2023</v>
      </c>
      <c r="R293" s="56">
        <f>MONTH(DataSales[[#This Row],[Ngày Xuất]])</f>
        <v>10</v>
      </c>
      <c r="S293" s="56" t="s">
        <v>775</v>
      </c>
    </row>
    <row r="294" spans="1:19" x14ac:dyDescent="0.3">
      <c r="A294" s="34">
        <v>351</v>
      </c>
      <c r="B294" s="3" t="s">
        <v>396</v>
      </c>
      <c r="C294" s="3" t="s">
        <v>397</v>
      </c>
      <c r="D294" s="3" t="s">
        <v>22</v>
      </c>
      <c r="E294" s="4">
        <v>348000</v>
      </c>
      <c r="F294" s="2">
        <v>1</v>
      </c>
      <c r="G294" s="2">
        <v>24</v>
      </c>
      <c r="H294" s="4">
        <v>415000</v>
      </c>
      <c r="I294" s="4">
        <f t="shared" si="8"/>
        <v>415000</v>
      </c>
      <c r="J294" s="5">
        <v>45213</v>
      </c>
      <c r="K294" s="3" t="s">
        <v>393</v>
      </c>
      <c r="L294" s="3" t="str">
        <f>VLOOKUP(DataSales[[#This Row],[Khách hàng]],'RFM Table'!$A:$I,9,FALSE)</f>
        <v>Khách hàng Cần chú ý</v>
      </c>
      <c r="M294" s="4">
        <f t="shared" si="9"/>
        <v>67000</v>
      </c>
      <c r="N294" s="6">
        <v>0.16144578313253011</v>
      </c>
      <c r="O294" s="2">
        <v>25</v>
      </c>
      <c r="P294" s="6">
        <v>0.04</v>
      </c>
      <c r="Q294" s="36">
        <v>2023</v>
      </c>
      <c r="R294" s="56">
        <f>MONTH(DataSales[[#This Row],[Ngày Xuất]])</f>
        <v>10</v>
      </c>
      <c r="S294" s="56" t="s">
        <v>773</v>
      </c>
    </row>
    <row r="295" spans="1:19" x14ac:dyDescent="0.3">
      <c r="A295" s="35">
        <v>352</v>
      </c>
      <c r="B295" s="8" t="s">
        <v>373</v>
      </c>
      <c r="C295" s="8" t="s">
        <v>374</v>
      </c>
      <c r="D295" s="8" t="s">
        <v>47</v>
      </c>
      <c r="E295" s="9">
        <v>1267200</v>
      </c>
      <c r="F295" s="7">
        <v>2</v>
      </c>
      <c r="G295" s="7">
        <v>24</v>
      </c>
      <c r="H295" s="9">
        <v>1301200</v>
      </c>
      <c r="I295" s="9">
        <f t="shared" si="8"/>
        <v>1301200</v>
      </c>
      <c r="J295" s="10">
        <v>45213</v>
      </c>
      <c r="K295" s="8" t="s">
        <v>398</v>
      </c>
      <c r="L295" s="8" t="str">
        <f>VLOOKUP(DataSales[[#This Row],[Khách hàng]],'RFM Table'!$A:$I,9,FALSE)</f>
        <v>Khách hàng Cần chú ý</v>
      </c>
      <c r="M295" s="9">
        <f t="shared" si="9"/>
        <v>34000</v>
      </c>
      <c r="N295" s="11">
        <v>2.6129726406394101E-2</v>
      </c>
      <c r="O295" s="7">
        <v>26</v>
      </c>
      <c r="P295" s="11">
        <v>7.6923076923076927E-2</v>
      </c>
      <c r="Q295" s="37">
        <v>2023</v>
      </c>
      <c r="R295" s="56">
        <f>MONTH(DataSales[[#This Row],[Ngày Xuất]])</f>
        <v>10</v>
      </c>
      <c r="S295" s="56" t="s">
        <v>780</v>
      </c>
    </row>
    <row r="296" spans="1:19" x14ac:dyDescent="0.3">
      <c r="A296" s="34">
        <v>353</v>
      </c>
      <c r="B296" s="3" t="s">
        <v>376</v>
      </c>
      <c r="C296" s="3" t="s">
        <v>377</v>
      </c>
      <c r="D296" s="3" t="s">
        <v>47</v>
      </c>
      <c r="E296" s="4">
        <v>1267200</v>
      </c>
      <c r="F296" s="2">
        <v>2</v>
      </c>
      <c r="G296" s="2">
        <v>24</v>
      </c>
      <c r="H296" s="4">
        <v>1301200</v>
      </c>
      <c r="I296" s="4">
        <f t="shared" si="8"/>
        <v>1301200</v>
      </c>
      <c r="J296" s="5">
        <v>45213</v>
      </c>
      <c r="K296" s="3" t="s">
        <v>398</v>
      </c>
      <c r="L296" s="3" t="str">
        <f>VLOOKUP(DataSales[[#This Row],[Khách hàng]],'RFM Table'!$A:$I,9,FALSE)</f>
        <v>Khách hàng Cần chú ý</v>
      </c>
      <c r="M296" s="4">
        <f t="shared" si="9"/>
        <v>34000</v>
      </c>
      <c r="N296" s="6">
        <v>2.6129726406394101E-2</v>
      </c>
      <c r="O296" s="2">
        <v>26</v>
      </c>
      <c r="P296" s="6">
        <v>7.6923076923076927E-2</v>
      </c>
      <c r="Q296" s="36">
        <v>2023</v>
      </c>
      <c r="R296" s="56">
        <f>MONTH(DataSales[[#This Row],[Ngày Xuất]])</f>
        <v>10</v>
      </c>
      <c r="S296" s="56" t="s">
        <v>780</v>
      </c>
    </row>
    <row r="297" spans="1:19" x14ac:dyDescent="0.3">
      <c r="A297" s="35">
        <v>354</v>
      </c>
      <c r="B297" s="8" t="s">
        <v>336</v>
      </c>
      <c r="C297" s="8" t="s">
        <v>337</v>
      </c>
      <c r="D297" s="8" t="s">
        <v>47</v>
      </c>
      <c r="E297" s="9">
        <v>2174400</v>
      </c>
      <c r="F297" s="7">
        <v>8</v>
      </c>
      <c r="G297" s="7">
        <v>48</v>
      </c>
      <c r="H297" s="9">
        <v>2008000</v>
      </c>
      <c r="I297" s="9">
        <f t="shared" si="8"/>
        <v>2008000</v>
      </c>
      <c r="J297" s="10">
        <v>45213</v>
      </c>
      <c r="K297" s="8" t="s">
        <v>398</v>
      </c>
      <c r="L297" s="8" t="str">
        <f>VLOOKUP(DataSales[[#This Row],[Khách hàng]],'RFM Table'!$A:$I,9,FALSE)</f>
        <v>Khách hàng Cần chú ý</v>
      </c>
      <c r="M297" s="9">
        <f t="shared" si="9"/>
        <v>-166400</v>
      </c>
      <c r="N297" s="11">
        <v>-8.2868525896414344E-2</v>
      </c>
      <c r="O297" s="7">
        <v>56</v>
      </c>
      <c r="P297" s="11">
        <v>0.14285714285714279</v>
      </c>
      <c r="Q297" s="37">
        <v>2023</v>
      </c>
      <c r="R297" s="56">
        <f>MONTH(DataSales[[#This Row],[Ngày Xuất]])</f>
        <v>10</v>
      </c>
      <c r="S297" s="56" t="s">
        <v>780</v>
      </c>
    </row>
    <row r="298" spans="1:19" x14ac:dyDescent="0.3">
      <c r="A298" s="34">
        <v>355</v>
      </c>
      <c r="B298" s="3" t="s">
        <v>349</v>
      </c>
      <c r="C298" s="3" t="s">
        <v>350</v>
      </c>
      <c r="D298" s="3" t="s">
        <v>47</v>
      </c>
      <c r="E298" s="4">
        <v>2174400</v>
      </c>
      <c r="F298" s="2">
        <v>8</v>
      </c>
      <c r="G298" s="2">
        <v>48</v>
      </c>
      <c r="H298" s="4">
        <v>2008000</v>
      </c>
      <c r="I298" s="4">
        <f t="shared" si="8"/>
        <v>2008000</v>
      </c>
      <c r="J298" s="5">
        <v>45213</v>
      </c>
      <c r="K298" s="3" t="s">
        <v>398</v>
      </c>
      <c r="L298" s="3" t="str">
        <f>VLOOKUP(DataSales[[#This Row],[Khách hàng]],'RFM Table'!$A:$I,9,FALSE)</f>
        <v>Khách hàng Cần chú ý</v>
      </c>
      <c r="M298" s="4">
        <f t="shared" si="9"/>
        <v>-166400</v>
      </c>
      <c r="N298" s="6">
        <v>-8.2868525896414344E-2</v>
      </c>
      <c r="O298" s="2">
        <v>56</v>
      </c>
      <c r="P298" s="6">
        <v>0.14285714285714279</v>
      </c>
      <c r="Q298" s="36">
        <v>2023</v>
      </c>
      <c r="R298" s="56">
        <f>MONTH(DataSales[[#This Row],[Ngày Xuất]])</f>
        <v>10</v>
      </c>
      <c r="S298" s="56" t="s">
        <v>780</v>
      </c>
    </row>
    <row r="299" spans="1:19" x14ac:dyDescent="0.3">
      <c r="A299" s="35">
        <v>356</v>
      </c>
      <c r="B299" s="8" t="s">
        <v>351</v>
      </c>
      <c r="C299" s="8" t="s">
        <v>352</v>
      </c>
      <c r="D299" s="8" t="s">
        <v>47</v>
      </c>
      <c r="E299" s="9">
        <v>2174400</v>
      </c>
      <c r="F299" s="7">
        <v>8</v>
      </c>
      <c r="G299" s="7">
        <v>48</v>
      </c>
      <c r="H299" s="9">
        <v>2008000</v>
      </c>
      <c r="I299" s="9">
        <f t="shared" si="8"/>
        <v>2008000</v>
      </c>
      <c r="J299" s="10">
        <v>45213</v>
      </c>
      <c r="K299" s="8" t="s">
        <v>398</v>
      </c>
      <c r="L299" s="8" t="str">
        <f>VLOOKUP(DataSales[[#This Row],[Khách hàng]],'RFM Table'!$A:$I,9,FALSE)</f>
        <v>Khách hàng Cần chú ý</v>
      </c>
      <c r="M299" s="9">
        <f t="shared" si="9"/>
        <v>-166400</v>
      </c>
      <c r="N299" s="11">
        <v>-8.2868525896414344E-2</v>
      </c>
      <c r="O299" s="7">
        <v>56</v>
      </c>
      <c r="P299" s="11">
        <v>0.14285714285714279</v>
      </c>
      <c r="Q299" s="37">
        <v>2023</v>
      </c>
      <c r="R299" s="56">
        <f>MONTH(DataSales[[#This Row],[Ngày Xuất]])</f>
        <v>10</v>
      </c>
      <c r="S299" s="56" t="s">
        <v>780</v>
      </c>
    </row>
    <row r="300" spans="1:19" x14ac:dyDescent="0.3">
      <c r="A300" s="34">
        <v>359</v>
      </c>
      <c r="B300" s="3" t="s">
        <v>399</v>
      </c>
      <c r="C300" s="3" t="s">
        <v>400</v>
      </c>
      <c r="D300" s="3" t="s">
        <v>47</v>
      </c>
      <c r="E300" s="4">
        <v>240000</v>
      </c>
      <c r="F300" s="2">
        <v>0</v>
      </c>
      <c r="G300" s="2">
        <v>1</v>
      </c>
      <c r="H300" s="4">
        <v>240000</v>
      </c>
      <c r="I300" s="4">
        <f t="shared" si="8"/>
        <v>240000</v>
      </c>
      <c r="J300" s="5">
        <v>45213</v>
      </c>
      <c r="K300" s="3" t="s">
        <v>61</v>
      </c>
      <c r="L300" s="3" t="str">
        <f>VLOOKUP(DataSales[[#This Row],[Khách hàng]],'RFM Table'!$A:$I,9,FALSE)</f>
        <v>Khách hàng Trung thành</v>
      </c>
      <c r="M300" s="4">
        <f t="shared" si="9"/>
        <v>0</v>
      </c>
      <c r="N300" s="6">
        <v>0</v>
      </c>
      <c r="O300" s="2">
        <v>1</v>
      </c>
      <c r="P300" s="6">
        <v>0</v>
      </c>
      <c r="Q300" s="36">
        <v>2023</v>
      </c>
      <c r="R300" s="56">
        <f>MONTH(DataSales[[#This Row],[Ngày Xuất]])</f>
        <v>10</v>
      </c>
      <c r="S300" s="56" t="s">
        <v>778</v>
      </c>
    </row>
    <row r="301" spans="1:19" x14ac:dyDescent="0.3">
      <c r="A301" s="35">
        <v>360</v>
      </c>
      <c r="B301" s="8" t="s">
        <v>86</v>
      </c>
      <c r="C301" s="8" t="s">
        <v>87</v>
      </c>
      <c r="D301" s="8" t="s">
        <v>22</v>
      </c>
      <c r="E301" s="9">
        <v>190008</v>
      </c>
      <c r="F301" s="7">
        <v>0</v>
      </c>
      <c r="G301" s="7">
        <v>12</v>
      </c>
      <c r="H301" s="9">
        <v>312000</v>
      </c>
      <c r="I301" s="9">
        <f t="shared" si="8"/>
        <v>312000</v>
      </c>
      <c r="J301" s="10">
        <v>45213</v>
      </c>
      <c r="K301" s="8" t="s">
        <v>401</v>
      </c>
      <c r="L301" s="8" t="str">
        <f>VLOOKUP(DataSales[[#This Row],[Khách hàng]],'RFM Table'!$A:$I,9,FALSE)</f>
        <v>Khách hàng Cần chú ý</v>
      </c>
      <c r="M301" s="9">
        <f t="shared" si="9"/>
        <v>121992</v>
      </c>
      <c r="N301" s="11">
        <v>0.39100000000000001</v>
      </c>
      <c r="O301" s="7">
        <v>12</v>
      </c>
      <c r="P301" s="11">
        <v>0</v>
      </c>
      <c r="Q301" s="37">
        <v>2023</v>
      </c>
      <c r="R301" s="56">
        <f>MONTH(DataSales[[#This Row],[Ngày Xuất]])</f>
        <v>10</v>
      </c>
      <c r="S301" s="56" t="s">
        <v>773</v>
      </c>
    </row>
    <row r="302" spans="1:19" x14ac:dyDescent="0.3">
      <c r="A302" s="34">
        <v>361</v>
      </c>
      <c r="B302" s="3" t="s">
        <v>402</v>
      </c>
      <c r="C302" s="3" t="s">
        <v>403</v>
      </c>
      <c r="D302" s="3" t="s">
        <v>32</v>
      </c>
      <c r="E302" s="4">
        <v>110000</v>
      </c>
      <c r="F302" s="2">
        <v>0</v>
      </c>
      <c r="G302" s="2">
        <v>10</v>
      </c>
      <c r="H302" s="4">
        <v>170000</v>
      </c>
      <c r="I302" s="4">
        <f t="shared" si="8"/>
        <v>170000</v>
      </c>
      <c r="J302" s="5">
        <v>45213</v>
      </c>
      <c r="K302" s="3" t="s">
        <v>404</v>
      </c>
      <c r="L302" s="3" t="str">
        <f>VLOOKUP(DataSales[[#This Row],[Khách hàng]],'RFM Table'!$A:$I,9,FALSE)</f>
        <v>Khách hàng Cần chú ý</v>
      </c>
      <c r="M302" s="4">
        <f t="shared" si="9"/>
        <v>60000</v>
      </c>
      <c r="N302" s="6">
        <v>0.35294117647058831</v>
      </c>
      <c r="O302" s="2">
        <v>10</v>
      </c>
      <c r="P302" s="6">
        <v>0</v>
      </c>
      <c r="Q302" s="36">
        <v>2023</v>
      </c>
      <c r="R302" s="56">
        <f>MONTH(DataSales[[#This Row],[Ngày Xuất]])</f>
        <v>10</v>
      </c>
      <c r="S302" s="56" t="s">
        <v>779</v>
      </c>
    </row>
    <row r="303" spans="1:19" x14ac:dyDescent="0.3">
      <c r="A303" s="35">
        <v>362</v>
      </c>
      <c r="B303" s="8" t="s">
        <v>252</v>
      </c>
      <c r="C303" s="8" t="s">
        <v>253</v>
      </c>
      <c r="D303" s="8" t="s">
        <v>32</v>
      </c>
      <c r="E303" s="9">
        <v>310008</v>
      </c>
      <c r="F303" s="7">
        <v>0</v>
      </c>
      <c r="G303" s="7">
        <v>12</v>
      </c>
      <c r="H303" s="9">
        <v>384000</v>
      </c>
      <c r="I303" s="9">
        <f t="shared" si="8"/>
        <v>384000</v>
      </c>
      <c r="J303" s="10">
        <v>45213</v>
      </c>
      <c r="K303" s="8" t="s">
        <v>404</v>
      </c>
      <c r="L303" s="8" t="str">
        <f>VLOOKUP(DataSales[[#This Row],[Khách hàng]],'RFM Table'!$A:$I,9,FALSE)</f>
        <v>Khách hàng Cần chú ý</v>
      </c>
      <c r="M303" s="9">
        <f t="shared" si="9"/>
        <v>73992</v>
      </c>
      <c r="N303" s="11">
        <v>0.19268750000000001</v>
      </c>
      <c r="O303" s="7">
        <v>12</v>
      </c>
      <c r="P303" s="11">
        <v>0</v>
      </c>
      <c r="Q303" s="37">
        <v>2023</v>
      </c>
      <c r="R303" s="56">
        <f>MONTH(DataSales[[#This Row],[Ngày Xuất]])</f>
        <v>10</v>
      </c>
      <c r="S303" s="56" t="s">
        <v>779</v>
      </c>
    </row>
    <row r="304" spans="1:19" x14ac:dyDescent="0.3">
      <c r="A304" s="34">
        <v>363</v>
      </c>
      <c r="B304" s="3" t="s">
        <v>40</v>
      </c>
      <c r="C304" s="3" t="s">
        <v>41</v>
      </c>
      <c r="D304" s="3" t="s">
        <v>18</v>
      </c>
      <c r="E304" s="4">
        <v>528000</v>
      </c>
      <c r="F304" s="2">
        <v>0</v>
      </c>
      <c r="G304" s="2">
        <v>48</v>
      </c>
      <c r="H304" s="4">
        <v>480000</v>
      </c>
      <c r="I304" s="4">
        <f t="shared" si="8"/>
        <v>480000</v>
      </c>
      <c r="J304" s="5">
        <v>45213</v>
      </c>
      <c r="K304" s="3" t="s">
        <v>404</v>
      </c>
      <c r="L304" s="3" t="str">
        <f>VLOOKUP(DataSales[[#This Row],[Khách hàng]],'RFM Table'!$A:$I,9,FALSE)</f>
        <v>Khách hàng Cần chú ý</v>
      </c>
      <c r="M304" s="4">
        <f t="shared" si="9"/>
        <v>-48000</v>
      </c>
      <c r="N304" s="6">
        <v>-0.1</v>
      </c>
      <c r="O304" s="2">
        <v>48</v>
      </c>
      <c r="P304" s="6">
        <v>0</v>
      </c>
      <c r="Q304" s="36">
        <v>2023</v>
      </c>
      <c r="R304" s="56">
        <f>MONTH(DataSales[[#This Row],[Ngày Xuất]])</f>
        <v>10</v>
      </c>
      <c r="S304" s="56" t="s">
        <v>772</v>
      </c>
    </row>
    <row r="305" spans="1:19" x14ac:dyDescent="0.3">
      <c r="A305" s="35">
        <v>364</v>
      </c>
      <c r="B305" s="8" t="s">
        <v>405</v>
      </c>
      <c r="C305" s="8" t="s">
        <v>406</v>
      </c>
      <c r="D305" s="8" t="s">
        <v>32</v>
      </c>
      <c r="E305" s="9">
        <v>500000</v>
      </c>
      <c r="F305" s="7">
        <v>4</v>
      </c>
      <c r="G305" s="7">
        <v>10</v>
      </c>
      <c r="H305" s="9">
        <v>358000</v>
      </c>
      <c r="I305" s="9">
        <f t="shared" si="8"/>
        <v>358000</v>
      </c>
      <c r="J305" s="10">
        <v>45213</v>
      </c>
      <c r="K305" s="8" t="s">
        <v>339</v>
      </c>
      <c r="L305" s="8" t="str">
        <f>VLOOKUP(DataSales[[#This Row],[Khách hàng]],'RFM Table'!$A:$I,9,FALSE)</f>
        <v>Khách hàng Cần chú ý</v>
      </c>
      <c r="M305" s="9">
        <f t="shared" si="9"/>
        <v>-142000</v>
      </c>
      <c r="N305" s="11">
        <v>-0.39664804469273751</v>
      </c>
      <c r="O305" s="7">
        <v>14</v>
      </c>
      <c r="P305" s="11">
        <v>0.2857142857142857</v>
      </c>
      <c r="Q305" s="37">
        <v>2023</v>
      </c>
      <c r="R305" s="56">
        <f>MONTH(DataSales[[#This Row],[Ngày Xuất]])</f>
        <v>10</v>
      </c>
      <c r="S305" s="56" t="s">
        <v>774</v>
      </c>
    </row>
    <row r="306" spans="1:19" x14ac:dyDescent="0.3">
      <c r="A306" s="34">
        <v>365</v>
      </c>
      <c r="B306" s="3" t="s">
        <v>210</v>
      </c>
      <c r="C306" s="3" t="s">
        <v>211</v>
      </c>
      <c r="D306" s="3" t="s">
        <v>22</v>
      </c>
      <c r="E306" s="4">
        <v>540000</v>
      </c>
      <c r="F306" s="2">
        <v>0</v>
      </c>
      <c r="G306" s="2">
        <v>30</v>
      </c>
      <c r="H306" s="4">
        <v>630000</v>
      </c>
      <c r="I306" s="4">
        <f t="shared" si="8"/>
        <v>630000</v>
      </c>
      <c r="J306" s="5">
        <v>45213</v>
      </c>
      <c r="K306" s="3" t="s">
        <v>245</v>
      </c>
      <c r="L306" s="3" t="str">
        <f>VLOOKUP(DataSales[[#This Row],[Khách hàng]],'RFM Table'!$A:$I,9,FALSE)</f>
        <v>Khách hàng VIP</v>
      </c>
      <c r="M306" s="4">
        <f t="shared" si="9"/>
        <v>90000</v>
      </c>
      <c r="N306" s="6">
        <v>0.14285714285714279</v>
      </c>
      <c r="O306" s="2">
        <v>30</v>
      </c>
      <c r="P306" s="6">
        <v>0</v>
      </c>
      <c r="Q306" s="36">
        <v>2023</v>
      </c>
      <c r="R306" s="56">
        <f>MONTH(DataSales[[#This Row],[Ngày Xuất]])</f>
        <v>10</v>
      </c>
      <c r="S306" s="56" t="s">
        <v>773</v>
      </c>
    </row>
    <row r="307" spans="1:19" x14ac:dyDescent="0.3">
      <c r="A307" s="35">
        <v>366</v>
      </c>
      <c r="B307" s="8" t="s">
        <v>121</v>
      </c>
      <c r="C307" s="8" t="s">
        <v>122</v>
      </c>
      <c r="D307" s="8" t="s">
        <v>47</v>
      </c>
      <c r="E307" s="9">
        <v>600000</v>
      </c>
      <c r="F307" s="7">
        <v>6</v>
      </c>
      <c r="G307" s="7">
        <v>6</v>
      </c>
      <c r="H307" s="9">
        <v>654000</v>
      </c>
      <c r="I307" s="9">
        <f t="shared" si="8"/>
        <v>654000</v>
      </c>
      <c r="J307" s="10">
        <v>45213</v>
      </c>
      <c r="K307" s="8" t="s">
        <v>207</v>
      </c>
      <c r="L307" s="8" t="str">
        <f>VLOOKUP(DataSales[[#This Row],[Khách hàng]],'RFM Table'!$A:$I,9,FALSE)</f>
        <v>Khách hàng Trung thành</v>
      </c>
      <c r="M307" s="9">
        <f t="shared" si="9"/>
        <v>54000</v>
      </c>
      <c r="N307" s="11">
        <v>8.2568807339449546E-2</v>
      </c>
      <c r="O307" s="7">
        <v>12</v>
      </c>
      <c r="P307" s="11">
        <v>0.5</v>
      </c>
      <c r="Q307" s="37">
        <v>2023</v>
      </c>
      <c r="R307" s="56">
        <f>MONTH(DataSales[[#This Row],[Ngày Xuất]])</f>
        <v>10</v>
      </c>
      <c r="S307" s="56" t="s">
        <v>779</v>
      </c>
    </row>
    <row r="308" spans="1:19" x14ac:dyDescent="0.3">
      <c r="A308" s="34">
        <v>367</v>
      </c>
      <c r="B308" s="3" t="s">
        <v>119</v>
      </c>
      <c r="C308" s="3" t="s">
        <v>120</v>
      </c>
      <c r="D308" s="3" t="s">
        <v>47</v>
      </c>
      <c r="E308" s="4">
        <v>400000</v>
      </c>
      <c r="F308" s="2">
        <v>0</v>
      </c>
      <c r="G308" s="2">
        <v>4</v>
      </c>
      <c r="H308" s="4">
        <v>540000</v>
      </c>
      <c r="I308" s="4">
        <f t="shared" si="8"/>
        <v>540000</v>
      </c>
      <c r="J308" s="5">
        <v>45216</v>
      </c>
      <c r="K308" s="3" t="s">
        <v>56</v>
      </c>
      <c r="L308" s="3" t="str">
        <f>VLOOKUP(DataSales[[#This Row],[Khách hàng]],'RFM Table'!$A:$I,9,FALSE)</f>
        <v>Khách hàng Cần chú ý</v>
      </c>
      <c r="M308" s="4">
        <f t="shared" si="9"/>
        <v>140000</v>
      </c>
      <c r="N308" s="6">
        <v>0.25925925925925919</v>
      </c>
      <c r="O308" s="2">
        <v>4</v>
      </c>
      <c r="P308" s="6">
        <v>0</v>
      </c>
      <c r="Q308" s="36">
        <v>2023</v>
      </c>
      <c r="R308" s="56">
        <f>MONTH(DataSales[[#This Row],[Ngày Xuất]])</f>
        <v>10</v>
      </c>
      <c r="S308" s="56" t="s">
        <v>779</v>
      </c>
    </row>
    <row r="309" spans="1:19" x14ac:dyDescent="0.3">
      <c r="A309" s="35">
        <v>368</v>
      </c>
      <c r="B309" s="8" t="s">
        <v>27</v>
      </c>
      <c r="C309" s="8" t="s">
        <v>28</v>
      </c>
      <c r="D309" s="8" t="s">
        <v>18</v>
      </c>
      <c r="E309" s="9">
        <v>1296000</v>
      </c>
      <c r="F309" s="7">
        <v>0</v>
      </c>
      <c r="G309" s="7">
        <v>180</v>
      </c>
      <c r="H309" s="9">
        <v>1692000</v>
      </c>
      <c r="I309" s="9">
        <f t="shared" si="8"/>
        <v>1692000</v>
      </c>
      <c r="J309" s="10">
        <v>45219</v>
      </c>
      <c r="K309" s="8" t="s">
        <v>29</v>
      </c>
      <c r="L309" s="8" t="str">
        <f>VLOOKUP(DataSales[[#This Row],[Khách hàng]],'RFM Table'!$A:$I,9,FALSE)</f>
        <v>Khách hàng VIP</v>
      </c>
      <c r="M309" s="9">
        <f t="shared" si="9"/>
        <v>396000</v>
      </c>
      <c r="N309" s="11">
        <v>0.23404255319148939</v>
      </c>
      <c r="O309" s="7">
        <v>180</v>
      </c>
      <c r="P309" s="11">
        <v>0</v>
      </c>
      <c r="Q309" s="37">
        <v>2023</v>
      </c>
      <c r="R309" s="56">
        <f>MONTH(DataSales[[#This Row],[Ngày Xuất]])</f>
        <v>10</v>
      </c>
      <c r="S309" s="56" t="s">
        <v>772</v>
      </c>
    </row>
    <row r="310" spans="1:19" x14ac:dyDescent="0.3">
      <c r="A310" s="34">
        <v>369</v>
      </c>
      <c r="B310" s="3" t="s">
        <v>407</v>
      </c>
      <c r="C310" s="3" t="s">
        <v>408</v>
      </c>
      <c r="D310" s="3" t="s">
        <v>158</v>
      </c>
      <c r="E310" s="4">
        <v>130000</v>
      </c>
      <c r="F310" s="2">
        <v>0</v>
      </c>
      <c r="G310" s="2">
        <v>5</v>
      </c>
      <c r="H310" s="4">
        <v>120000</v>
      </c>
      <c r="I310" s="4">
        <f t="shared" si="8"/>
        <v>120000</v>
      </c>
      <c r="J310" s="5">
        <v>45219</v>
      </c>
      <c r="K310" s="3" t="s">
        <v>409</v>
      </c>
      <c r="L310" s="3" t="str">
        <f>VLOOKUP(DataSales[[#This Row],[Khách hàng]],'RFM Table'!$A:$I,9,FALSE)</f>
        <v>Khách hàng Trung thành</v>
      </c>
      <c r="M310" s="4">
        <f t="shared" si="9"/>
        <v>-10000</v>
      </c>
      <c r="N310" s="6">
        <v>-8.3333333333333329E-2</v>
      </c>
      <c r="O310" s="2">
        <v>5</v>
      </c>
      <c r="P310" s="6">
        <v>0</v>
      </c>
      <c r="Q310" s="36">
        <v>2023</v>
      </c>
      <c r="R310" s="56">
        <f>MONTH(DataSales[[#This Row],[Ngày Xuất]])</f>
        <v>10</v>
      </c>
      <c r="S310" s="56" t="s">
        <v>779</v>
      </c>
    </row>
    <row r="311" spans="1:19" x14ac:dyDescent="0.3">
      <c r="A311" s="35">
        <v>370</v>
      </c>
      <c r="B311" s="8" t="s">
        <v>410</v>
      </c>
      <c r="C311" s="8" t="s">
        <v>411</v>
      </c>
      <c r="D311" s="8" t="s">
        <v>158</v>
      </c>
      <c r="E311" s="9">
        <v>122500</v>
      </c>
      <c r="F311" s="7">
        <v>0</v>
      </c>
      <c r="G311" s="7">
        <v>5</v>
      </c>
      <c r="H311" s="9">
        <v>120000</v>
      </c>
      <c r="I311" s="9">
        <f t="shared" si="8"/>
        <v>120000</v>
      </c>
      <c r="J311" s="10">
        <v>45219</v>
      </c>
      <c r="K311" s="8" t="s">
        <v>409</v>
      </c>
      <c r="L311" s="8" t="str">
        <f>VLOOKUP(DataSales[[#This Row],[Khách hàng]],'RFM Table'!$A:$I,9,FALSE)</f>
        <v>Khách hàng Trung thành</v>
      </c>
      <c r="M311" s="9">
        <f t="shared" si="9"/>
        <v>-2500</v>
      </c>
      <c r="N311" s="11">
        <v>-2.0833333333333329E-2</v>
      </c>
      <c r="O311" s="7">
        <v>5</v>
      </c>
      <c r="P311" s="11">
        <v>0</v>
      </c>
      <c r="Q311" s="37">
        <v>2023</v>
      </c>
      <c r="R311" s="56">
        <f>MONTH(DataSales[[#This Row],[Ngày Xuất]])</f>
        <v>10</v>
      </c>
      <c r="S311" s="56" t="s">
        <v>779</v>
      </c>
    </row>
    <row r="312" spans="1:19" x14ac:dyDescent="0.3">
      <c r="A312" s="34">
        <v>371</v>
      </c>
      <c r="B312" s="3" t="s">
        <v>226</v>
      </c>
      <c r="C312" s="3" t="s">
        <v>227</v>
      </c>
      <c r="D312" s="3" t="s">
        <v>32</v>
      </c>
      <c r="E312" s="4">
        <v>150000</v>
      </c>
      <c r="F312" s="2">
        <v>0</v>
      </c>
      <c r="G312" s="2">
        <v>6</v>
      </c>
      <c r="H312" s="4">
        <v>222000</v>
      </c>
      <c r="I312" s="4">
        <f t="shared" si="8"/>
        <v>222000</v>
      </c>
      <c r="J312" s="5">
        <v>45219</v>
      </c>
      <c r="K312" s="3" t="s">
        <v>409</v>
      </c>
      <c r="L312" s="3" t="str">
        <f>VLOOKUP(DataSales[[#This Row],[Khách hàng]],'RFM Table'!$A:$I,9,FALSE)</f>
        <v>Khách hàng Trung thành</v>
      </c>
      <c r="M312" s="4">
        <f t="shared" si="9"/>
        <v>72000</v>
      </c>
      <c r="N312" s="6">
        <v>0.32432432432432429</v>
      </c>
      <c r="O312" s="2">
        <v>6</v>
      </c>
      <c r="P312" s="6">
        <v>0</v>
      </c>
      <c r="Q312" s="36">
        <v>2023</v>
      </c>
      <c r="R312" s="56">
        <f>MONTH(DataSales[[#This Row],[Ngày Xuất]])</f>
        <v>10</v>
      </c>
      <c r="S312" s="56" t="s">
        <v>779</v>
      </c>
    </row>
    <row r="313" spans="1:19" x14ac:dyDescent="0.3">
      <c r="A313" s="35">
        <v>372</v>
      </c>
      <c r="B313" s="8" t="s">
        <v>252</v>
      </c>
      <c r="C313" s="8" t="s">
        <v>253</v>
      </c>
      <c r="D313" s="8" t="s">
        <v>32</v>
      </c>
      <c r="E313" s="9">
        <v>155004</v>
      </c>
      <c r="F313" s="7">
        <v>1</v>
      </c>
      <c r="G313" s="7">
        <v>6</v>
      </c>
      <c r="H313" s="9">
        <v>191000</v>
      </c>
      <c r="I313" s="9">
        <f t="shared" si="8"/>
        <v>191000</v>
      </c>
      <c r="J313" s="10">
        <v>45219</v>
      </c>
      <c r="K313" s="8" t="s">
        <v>409</v>
      </c>
      <c r="L313" s="8" t="str">
        <f>VLOOKUP(DataSales[[#This Row],[Khách hàng]],'RFM Table'!$A:$I,9,FALSE)</f>
        <v>Khách hàng Trung thành</v>
      </c>
      <c r="M313" s="9">
        <f t="shared" si="9"/>
        <v>35996</v>
      </c>
      <c r="N313" s="11">
        <v>0.18846073298429319</v>
      </c>
      <c r="O313" s="7">
        <v>7</v>
      </c>
      <c r="P313" s="11">
        <v>0.14285714285714279</v>
      </c>
      <c r="Q313" s="37">
        <v>2023</v>
      </c>
      <c r="R313" s="56">
        <f>MONTH(DataSales[[#This Row],[Ngày Xuất]])</f>
        <v>10</v>
      </c>
      <c r="S313" s="56" t="s">
        <v>779</v>
      </c>
    </row>
    <row r="314" spans="1:19" x14ac:dyDescent="0.3">
      <c r="A314" s="34">
        <v>373</v>
      </c>
      <c r="B314" s="3" t="s">
        <v>57</v>
      </c>
      <c r="C314" s="3" t="s">
        <v>58</v>
      </c>
      <c r="D314" s="3" t="s">
        <v>18</v>
      </c>
      <c r="E314" s="4">
        <v>231000</v>
      </c>
      <c r="F314" s="2">
        <v>0</v>
      </c>
      <c r="G314" s="2">
        <v>30</v>
      </c>
      <c r="H314" s="4">
        <v>300000</v>
      </c>
      <c r="I314" s="4">
        <f t="shared" si="8"/>
        <v>300000</v>
      </c>
      <c r="J314" s="5">
        <v>45219</v>
      </c>
      <c r="K314" s="3" t="s">
        <v>409</v>
      </c>
      <c r="L314" s="3" t="str">
        <f>VLOOKUP(DataSales[[#This Row],[Khách hàng]],'RFM Table'!$A:$I,9,FALSE)</f>
        <v>Khách hàng Trung thành</v>
      </c>
      <c r="M314" s="4">
        <f t="shared" si="9"/>
        <v>69000</v>
      </c>
      <c r="N314" s="6">
        <v>0.23</v>
      </c>
      <c r="O314" s="2">
        <v>30</v>
      </c>
      <c r="P314" s="6">
        <v>0</v>
      </c>
      <c r="Q314" s="36">
        <v>2023</v>
      </c>
      <c r="R314" s="56">
        <f>MONTH(DataSales[[#This Row],[Ngày Xuất]])</f>
        <v>10</v>
      </c>
      <c r="S314" s="56" t="s">
        <v>775</v>
      </c>
    </row>
    <row r="315" spans="1:19" x14ac:dyDescent="0.3">
      <c r="A315" s="35">
        <v>374</v>
      </c>
      <c r="B315" s="8" t="s">
        <v>124</v>
      </c>
      <c r="C315" s="8" t="s">
        <v>125</v>
      </c>
      <c r="D315" s="8" t="s">
        <v>18</v>
      </c>
      <c r="E315" s="9">
        <v>120000</v>
      </c>
      <c r="F315" s="7">
        <v>0</v>
      </c>
      <c r="G315" s="7">
        <v>30</v>
      </c>
      <c r="H315" s="9">
        <v>180000</v>
      </c>
      <c r="I315" s="9">
        <f t="shared" si="8"/>
        <v>180000</v>
      </c>
      <c r="J315" s="10">
        <v>45220</v>
      </c>
      <c r="K315" s="8" t="s">
        <v>412</v>
      </c>
      <c r="L315" s="8" t="str">
        <f>VLOOKUP(DataSales[[#This Row],[Khách hàng]],'RFM Table'!$A:$I,9,FALSE)</f>
        <v>Khách hàng Cần chú ý</v>
      </c>
      <c r="M315" s="9">
        <f t="shared" si="9"/>
        <v>60000</v>
      </c>
      <c r="N315" s="11">
        <v>0.33333333333333331</v>
      </c>
      <c r="O315" s="7">
        <v>30</v>
      </c>
      <c r="P315" s="11">
        <v>0</v>
      </c>
      <c r="Q315" s="37">
        <v>2023</v>
      </c>
      <c r="R315" s="56">
        <f>MONTH(DataSales[[#This Row],[Ngày Xuất]])</f>
        <v>10</v>
      </c>
      <c r="S315" s="56" t="s">
        <v>775</v>
      </c>
    </row>
    <row r="316" spans="1:19" x14ac:dyDescent="0.3">
      <c r="A316" s="34">
        <v>375</v>
      </c>
      <c r="B316" s="3" t="s">
        <v>16</v>
      </c>
      <c r="C316" s="3" t="s">
        <v>17</v>
      </c>
      <c r="D316" s="3" t="s">
        <v>18</v>
      </c>
      <c r="E316" s="4">
        <v>172800</v>
      </c>
      <c r="F316" s="2">
        <v>0</v>
      </c>
      <c r="G316" s="2">
        <v>24</v>
      </c>
      <c r="H316" s="4">
        <v>288000</v>
      </c>
      <c r="I316" s="4">
        <f t="shared" si="8"/>
        <v>288000</v>
      </c>
      <c r="J316" s="5">
        <v>45220</v>
      </c>
      <c r="K316" s="3" t="s">
        <v>412</v>
      </c>
      <c r="L316" s="3" t="str">
        <f>VLOOKUP(DataSales[[#This Row],[Khách hàng]],'RFM Table'!$A:$I,9,FALSE)</f>
        <v>Khách hàng Cần chú ý</v>
      </c>
      <c r="M316" s="4">
        <f t="shared" si="9"/>
        <v>115200</v>
      </c>
      <c r="N316" s="6">
        <v>0.4</v>
      </c>
      <c r="O316" s="2">
        <v>24</v>
      </c>
      <c r="P316" s="6">
        <v>0</v>
      </c>
      <c r="Q316" s="36">
        <v>2023</v>
      </c>
      <c r="R316" s="56">
        <f>MONTH(DataSales[[#This Row],[Ngày Xuất]])</f>
        <v>10</v>
      </c>
      <c r="S316" s="56" t="s">
        <v>772</v>
      </c>
    </row>
    <row r="317" spans="1:19" x14ac:dyDescent="0.3">
      <c r="A317" s="35">
        <v>377</v>
      </c>
      <c r="B317" s="8" t="s">
        <v>413</v>
      </c>
      <c r="C317" s="8" t="s">
        <v>414</v>
      </c>
      <c r="D317" s="8" t="s">
        <v>214</v>
      </c>
      <c r="E317" s="9">
        <v>210000</v>
      </c>
      <c r="F317" s="7">
        <v>0</v>
      </c>
      <c r="G317" s="7">
        <v>10</v>
      </c>
      <c r="H317" s="9">
        <v>320000</v>
      </c>
      <c r="I317" s="9">
        <f t="shared" si="8"/>
        <v>320000</v>
      </c>
      <c r="J317" s="10">
        <v>45220</v>
      </c>
      <c r="K317" s="8" t="s">
        <v>318</v>
      </c>
      <c r="L317" s="8" t="str">
        <f>VLOOKUP(DataSales[[#This Row],[Khách hàng]],'RFM Table'!$A:$I,9,FALSE)</f>
        <v>Khách hàng Cần chú ý</v>
      </c>
      <c r="M317" s="9">
        <f t="shared" si="9"/>
        <v>110000</v>
      </c>
      <c r="N317" s="11">
        <v>0.34375</v>
      </c>
      <c r="O317" s="7">
        <v>10</v>
      </c>
      <c r="P317" s="11">
        <v>0</v>
      </c>
      <c r="Q317" s="37">
        <v>2023</v>
      </c>
      <c r="R317" s="56">
        <f>MONTH(DataSales[[#This Row],[Ngày Xuất]])</f>
        <v>10</v>
      </c>
      <c r="S317" s="56" t="s">
        <v>779</v>
      </c>
    </row>
    <row r="318" spans="1:19" x14ac:dyDescent="0.3">
      <c r="A318" s="34">
        <v>378</v>
      </c>
      <c r="B318" s="3" t="s">
        <v>316</v>
      </c>
      <c r="C318" s="3" t="s">
        <v>317</v>
      </c>
      <c r="D318" s="3" t="s">
        <v>25</v>
      </c>
      <c r="E318" s="4">
        <v>0</v>
      </c>
      <c r="F318" s="2">
        <v>0</v>
      </c>
      <c r="G318" s="2">
        <v>0</v>
      </c>
      <c r="H318" s="4">
        <v>-180000</v>
      </c>
      <c r="I318" s="4">
        <f t="shared" si="8"/>
        <v>-180000</v>
      </c>
      <c r="J318" s="5">
        <v>45220</v>
      </c>
      <c r="K318" s="3" t="s">
        <v>318</v>
      </c>
      <c r="L318" s="3" t="str">
        <f>VLOOKUP(DataSales[[#This Row],[Khách hàng]],'RFM Table'!$A:$I,9,FALSE)</f>
        <v>Khách hàng Cần chú ý</v>
      </c>
      <c r="M318" s="4">
        <f t="shared" si="9"/>
        <v>-180000</v>
      </c>
      <c r="N318" s="6">
        <v>1</v>
      </c>
      <c r="O318" s="2">
        <v>0</v>
      </c>
      <c r="P318" s="6">
        <v>0</v>
      </c>
      <c r="Q318" s="36">
        <v>2023</v>
      </c>
      <c r="R318" s="56">
        <f>MONTH(DataSales[[#This Row],[Ngày Xuất]])</f>
        <v>10</v>
      </c>
      <c r="S318" s="56" t="s">
        <v>773</v>
      </c>
    </row>
    <row r="319" spans="1:19" x14ac:dyDescent="0.3">
      <c r="A319" s="35">
        <v>379</v>
      </c>
      <c r="B319" s="8" t="s">
        <v>415</v>
      </c>
      <c r="C319" s="8" t="s">
        <v>416</v>
      </c>
      <c r="D319" s="8" t="s">
        <v>18</v>
      </c>
      <c r="E319" s="9">
        <v>61000</v>
      </c>
      <c r="F319" s="7">
        <v>0</v>
      </c>
      <c r="G319" s="7">
        <v>5</v>
      </c>
      <c r="H319" s="9">
        <v>65000</v>
      </c>
      <c r="I319" s="9">
        <f t="shared" si="8"/>
        <v>65000</v>
      </c>
      <c r="J319" s="10">
        <v>45220</v>
      </c>
      <c r="K319" s="8" t="s">
        <v>321</v>
      </c>
      <c r="L319" s="8" t="str">
        <f>VLOOKUP(DataSales[[#This Row],[Khách hàng]],'RFM Table'!$A:$I,9,FALSE)</f>
        <v>Khách hàng Trung thành</v>
      </c>
      <c r="M319" s="9">
        <f t="shared" si="9"/>
        <v>4000</v>
      </c>
      <c r="N319" s="11">
        <v>6.1538461538461542E-2</v>
      </c>
      <c r="O319" s="7">
        <v>5</v>
      </c>
      <c r="P319" s="11">
        <v>0</v>
      </c>
      <c r="Q319" s="37">
        <v>2023</v>
      </c>
      <c r="R319" s="56">
        <f>MONTH(DataSales[[#This Row],[Ngày Xuất]])</f>
        <v>10</v>
      </c>
      <c r="S319" s="56" t="s">
        <v>776</v>
      </c>
    </row>
    <row r="320" spans="1:19" x14ac:dyDescent="0.3">
      <c r="A320" s="34">
        <v>380</v>
      </c>
      <c r="B320" s="3" t="s">
        <v>417</v>
      </c>
      <c r="C320" s="3" t="s">
        <v>418</v>
      </c>
      <c r="D320" s="3" t="s">
        <v>18</v>
      </c>
      <c r="E320" s="4">
        <v>73200</v>
      </c>
      <c r="F320" s="2">
        <v>0</v>
      </c>
      <c r="G320" s="2">
        <v>6</v>
      </c>
      <c r="H320" s="4">
        <v>78000</v>
      </c>
      <c r="I320" s="4">
        <f t="shared" si="8"/>
        <v>78000</v>
      </c>
      <c r="J320" s="5">
        <v>45220</v>
      </c>
      <c r="K320" s="3" t="s">
        <v>321</v>
      </c>
      <c r="L320" s="3" t="str">
        <f>VLOOKUP(DataSales[[#This Row],[Khách hàng]],'RFM Table'!$A:$I,9,FALSE)</f>
        <v>Khách hàng Trung thành</v>
      </c>
      <c r="M320" s="4">
        <f t="shared" si="9"/>
        <v>4800</v>
      </c>
      <c r="N320" s="6">
        <v>6.1538461538461542E-2</v>
      </c>
      <c r="O320" s="2">
        <v>6</v>
      </c>
      <c r="P320" s="6">
        <v>0</v>
      </c>
      <c r="Q320" s="36">
        <v>2023</v>
      </c>
      <c r="R320" s="56">
        <f>MONTH(DataSales[[#This Row],[Ngày Xuất]])</f>
        <v>10</v>
      </c>
      <c r="S320" s="56" t="s">
        <v>776</v>
      </c>
    </row>
    <row r="321" spans="1:19" x14ac:dyDescent="0.3">
      <c r="A321" s="35">
        <v>381</v>
      </c>
      <c r="B321" s="8" t="s">
        <v>419</v>
      </c>
      <c r="C321" s="8" t="s">
        <v>420</v>
      </c>
      <c r="D321" s="8" t="s">
        <v>18</v>
      </c>
      <c r="E321" s="9">
        <v>61000</v>
      </c>
      <c r="F321" s="7">
        <v>0</v>
      </c>
      <c r="G321" s="7">
        <v>5</v>
      </c>
      <c r="H321" s="9">
        <v>65000</v>
      </c>
      <c r="I321" s="9">
        <f t="shared" si="8"/>
        <v>65000</v>
      </c>
      <c r="J321" s="10">
        <v>45220</v>
      </c>
      <c r="K321" s="8" t="s">
        <v>321</v>
      </c>
      <c r="L321" s="8" t="str">
        <f>VLOOKUP(DataSales[[#This Row],[Khách hàng]],'RFM Table'!$A:$I,9,FALSE)</f>
        <v>Khách hàng Trung thành</v>
      </c>
      <c r="M321" s="9">
        <f t="shared" si="9"/>
        <v>4000</v>
      </c>
      <c r="N321" s="11">
        <v>6.1538461538461542E-2</v>
      </c>
      <c r="O321" s="7">
        <v>5</v>
      </c>
      <c r="P321" s="11">
        <v>0</v>
      </c>
      <c r="Q321" s="37">
        <v>2023</v>
      </c>
      <c r="R321" s="56">
        <f>MONTH(DataSales[[#This Row],[Ngày Xuất]])</f>
        <v>10</v>
      </c>
      <c r="S321" s="56" t="s">
        <v>776</v>
      </c>
    </row>
    <row r="322" spans="1:19" x14ac:dyDescent="0.3">
      <c r="A322" s="34">
        <v>382</v>
      </c>
      <c r="B322" s="3" t="s">
        <v>421</v>
      </c>
      <c r="C322" s="3" t="s">
        <v>422</v>
      </c>
      <c r="D322" s="3" t="s">
        <v>18</v>
      </c>
      <c r="E322" s="4">
        <v>61000</v>
      </c>
      <c r="F322" s="2">
        <v>0</v>
      </c>
      <c r="G322" s="2">
        <v>5</v>
      </c>
      <c r="H322" s="4">
        <v>65000</v>
      </c>
      <c r="I322" s="4">
        <f t="shared" ref="I322:I385" si="10">H322</f>
        <v>65000</v>
      </c>
      <c r="J322" s="5">
        <v>45220</v>
      </c>
      <c r="K322" s="3" t="s">
        <v>321</v>
      </c>
      <c r="L322" s="3" t="str">
        <f>VLOOKUP(DataSales[[#This Row],[Khách hàng]],'RFM Table'!$A:$I,9,FALSE)</f>
        <v>Khách hàng Trung thành</v>
      </c>
      <c r="M322" s="4">
        <f t="shared" ref="M322:M385" si="11">I322-E322</f>
        <v>4000</v>
      </c>
      <c r="N322" s="6">
        <v>6.1538461538461542E-2</v>
      </c>
      <c r="O322" s="2">
        <v>5</v>
      </c>
      <c r="P322" s="6">
        <v>0</v>
      </c>
      <c r="Q322" s="36">
        <v>2023</v>
      </c>
      <c r="R322" s="56">
        <f>MONTH(DataSales[[#This Row],[Ngày Xuất]])</f>
        <v>10</v>
      </c>
      <c r="S322" s="56" t="s">
        <v>776</v>
      </c>
    </row>
    <row r="323" spans="1:19" x14ac:dyDescent="0.3">
      <c r="A323" s="35">
        <v>383</v>
      </c>
      <c r="B323" s="8" t="s">
        <v>45</v>
      </c>
      <c r="C323" s="8" t="s">
        <v>46</v>
      </c>
      <c r="D323" s="8" t="s">
        <v>47</v>
      </c>
      <c r="E323" s="9">
        <v>362268</v>
      </c>
      <c r="F323" s="7">
        <v>0</v>
      </c>
      <c r="G323" s="7">
        <v>6</v>
      </c>
      <c r="H323" s="9">
        <v>312000</v>
      </c>
      <c r="I323" s="9">
        <f t="shared" si="10"/>
        <v>312000</v>
      </c>
      <c r="J323" s="10">
        <v>45220</v>
      </c>
      <c r="K323" s="8" t="s">
        <v>194</v>
      </c>
      <c r="L323" s="8" t="str">
        <f>VLOOKUP(DataSales[[#This Row],[Khách hàng]],'RFM Table'!$A:$I,9,FALSE)</f>
        <v>Khách hàng Trung thành</v>
      </c>
      <c r="M323" s="9">
        <f t="shared" si="11"/>
        <v>-50268</v>
      </c>
      <c r="N323" s="11">
        <v>-0.1611153846153846</v>
      </c>
      <c r="O323" s="7">
        <v>6</v>
      </c>
      <c r="P323" s="11">
        <v>0</v>
      </c>
      <c r="Q323" s="37">
        <v>2023</v>
      </c>
      <c r="R323" s="56">
        <f>MONTH(DataSales[[#This Row],[Ngày Xuất]])</f>
        <v>10</v>
      </c>
      <c r="S323" s="56" t="s">
        <v>776</v>
      </c>
    </row>
    <row r="324" spans="1:19" x14ac:dyDescent="0.3">
      <c r="A324" s="34">
        <v>384</v>
      </c>
      <c r="B324" s="3" t="s">
        <v>16</v>
      </c>
      <c r="C324" s="3" t="s">
        <v>17</v>
      </c>
      <c r="D324" s="3" t="s">
        <v>18</v>
      </c>
      <c r="E324" s="4">
        <v>345600</v>
      </c>
      <c r="F324" s="2">
        <v>0</v>
      </c>
      <c r="G324" s="2">
        <v>48</v>
      </c>
      <c r="H324" s="4">
        <v>518400</v>
      </c>
      <c r="I324" s="4">
        <f t="shared" si="10"/>
        <v>518400</v>
      </c>
      <c r="J324" s="5">
        <v>45220</v>
      </c>
      <c r="K324" s="3" t="s">
        <v>19</v>
      </c>
      <c r="L324" s="3" t="str">
        <f>VLOOKUP(DataSales[[#This Row],[Khách hàng]],'RFM Table'!$A:$I,9,FALSE)</f>
        <v>Khách hàng VIP</v>
      </c>
      <c r="M324" s="4">
        <f t="shared" si="11"/>
        <v>172800</v>
      </c>
      <c r="N324" s="6">
        <v>0.33333333333333331</v>
      </c>
      <c r="O324" s="2">
        <v>48</v>
      </c>
      <c r="P324" s="6">
        <v>0</v>
      </c>
      <c r="Q324" s="36">
        <v>2023</v>
      </c>
      <c r="R324" s="56">
        <f>MONTH(DataSales[[#This Row],[Ngày Xuất]])</f>
        <v>10</v>
      </c>
      <c r="S324" s="56" t="s">
        <v>772</v>
      </c>
    </row>
    <row r="325" spans="1:19" x14ac:dyDescent="0.3">
      <c r="A325" s="35">
        <v>385</v>
      </c>
      <c r="B325" s="8" t="s">
        <v>40</v>
      </c>
      <c r="C325" s="8" t="s">
        <v>41</v>
      </c>
      <c r="D325" s="8" t="s">
        <v>18</v>
      </c>
      <c r="E325" s="9">
        <v>1056000</v>
      </c>
      <c r="F325" s="7">
        <v>0</v>
      </c>
      <c r="G325" s="7">
        <v>96</v>
      </c>
      <c r="H325" s="9">
        <v>960000</v>
      </c>
      <c r="I325" s="9">
        <f t="shared" si="10"/>
        <v>960000</v>
      </c>
      <c r="J325" s="10">
        <v>45220</v>
      </c>
      <c r="K325" s="8" t="s">
        <v>19</v>
      </c>
      <c r="L325" s="8" t="str">
        <f>VLOOKUP(DataSales[[#This Row],[Khách hàng]],'RFM Table'!$A:$I,9,FALSE)</f>
        <v>Khách hàng VIP</v>
      </c>
      <c r="M325" s="9">
        <f t="shared" si="11"/>
        <v>-96000</v>
      </c>
      <c r="N325" s="11">
        <v>-0.1</v>
      </c>
      <c r="O325" s="7">
        <v>96</v>
      </c>
      <c r="P325" s="11">
        <v>0</v>
      </c>
      <c r="Q325" s="37">
        <v>2023</v>
      </c>
      <c r="R325" s="56">
        <f>MONTH(DataSales[[#This Row],[Ngày Xuất]])</f>
        <v>10</v>
      </c>
      <c r="S325" s="56" t="s">
        <v>772</v>
      </c>
    </row>
    <row r="326" spans="1:19" x14ac:dyDescent="0.3">
      <c r="A326" s="34">
        <v>386</v>
      </c>
      <c r="B326" s="3" t="s">
        <v>20</v>
      </c>
      <c r="C326" s="3" t="s">
        <v>21</v>
      </c>
      <c r="D326" s="3" t="s">
        <v>22</v>
      </c>
      <c r="E326" s="4">
        <v>320016</v>
      </c>
      <c r="F326" s="2">
        <v>0</v>
      </c>
      <c r="G326" s="2">
        <v>24</v>
      </c>
      <c r="H326" s="4">
        <v>440016</v>
      </c>
      <c r="I326" s="4">
        <f t="shared" si="10"/>
        <v>440016</v>
      </c>
      <c r="J326" s="5">
        <v>45220</v>
      </c>
      <c r="K326" s="3" t="s">
        <v>19</v>
      </c>
      <c r="L326" s="3" t="str">
        <f>VLOOKUP(DataSales[[#This Row],[Khách hàng]],'RFM Table'!$A:$I,9,FALSE)</f>
        <v>Khách hàng VIP</v>
      </c>
      <c r="M326" s="4">
        <f t="shared" si="11"/>
        <v>120000</v>
      </c>
      <c r="N326" s="6">
        <v>0.27271735573251882</v>
      </c>
      <c r="O326" s="2">
        <v>24</v>
      </c>
      <c r="P326" s="6">
        <v>0</v>
      </c>
      <c r="Q326" s="36">
        <v>2023</v>
      </c>
      <c r="R326" s="56">
        <f>MONTH(DataSales[[#This Row],[Ngày Xuất]])</f>
        <v>10</v>
      </c>
      <c r="S326" s="56" t="s">
        <v>773</v>
      </c>
    </row>
    <row r="327" spans="1:19" x14ac:dyDescent="0.3">
      <c r="A327" s="35">
        <v>387</v>
      </c>
      <c r="B327" s="8" t="s">
        <v>124</v>
      </c>
      <c r="C327" s="8" t="s">
        <v>125</v>
      </c>
      <c r="D327" s="8" t="s">
        <v>18</v>
      </c>
      <c r="E327" s="9">
        <v>200000</v>
      </c>
      <c r="F327" s="7">
        <v>0</v>
      </c>
      <c r="G327" s="7">
        <v>50</v>
      </c>
      <c r="H327" s="9">
        <v>300000</v>
      </c>
      <c r="I327" s="9">
        <f t="shared" si="10"/>
        <v>300000</v>
      </c>
      <c r="J327" s="10">
        <v>45220</v>
      </c>
      <c r="K327" s="8" t="s">
        <v>265</v>
      </c>
      <c r="L327" s="8" t="str">
        <f>VLOOKUP(DataSales[[#This Row],[Khách hàng]],'RFM Table'!$A:$I,9,FALSE)</f>
        <v>Khách hàng VIP</v>
      </c>
      <c r="M327" s="9">
        <f t="shared" si="11"/>
        <v>100000</v>
      </c>
      <c r="N327" s="11">
        <v>0.33333333333333331</v>
      </c>
      <c r="O327" s="7">
        <v>50</v>
      </c>
      <c r="P327" s="11">
        <v>0</v>
      </c>
      <c r="Q327" s="37">
        <v>2023</v>
      </c>
      <c r="R327" s="56">
        <f>MONTH(DataSales[[#This Row],[Ngày Xuất]])</f>
        <v>10</v>
      </c>
      <c r="S327" s="56" t="s">
        <v>775</v>
      </c>
    </row>
    <row r="328" spans="1:19" x14ac:dyDescent="0.3">
      <c r="A328" s="34">
        <v>389</v>
      </c>
      <c r="B328" s="3" t="s">
        <v>119</v>
      </c>
      <c r="C328" s="3" t="s">
        <v>120</v>
      </c>
      <c r="D328" s="3" t="s">
        <v>47</v>
      </c>
      <c r="E328" s="4">
        <v>300000</v>
      </c>
      <c r="F328" s="2">
        <v>0</v>
      </c>
      <c r="G328" s="2">
        <v>3</v>
      </c>
      <c r="H328" s="4">
        <v>654000</v>
      </c>
      <c r="I328" s="4">
        <f t="shared" si="10"/>
        <v>654000</v>
      </c>
      <c r="J328" s="5">
        <v>45220</v>
      </c>
      <c r="K328" s="3" t="s">
        <v>99</v>
      </c>
      <c r="L328" s="3" t="str">
        <f>VLOOKUP(DataSales[[#This Row],[Khách hàng]],'RFM Table'!$A:$I,9,FALSE)</f>
        <v>Khách hàng Trung thành</v>
      </c>
      <c r="M328" s="4">
        <f t="shared" si="11"/>
        <v>354000</v>
      </c>
      <c r="N328" s="6">
        <v>0.54128440366972475</v>
      </c>
      <c r="O328" s="2">
        <v>3</v>
      </c>
      <c r="P328" s="6">
        <v>0</v>
      </c>
      <c r="Q328" s="36">
        <v>2023</v>
      </c>
      <c r="R328" s="56">
        <f>MONTH(DataSales[[#This Row],[Ngày Xuất]])</f>
        <v>10</v>
      </c>
      <c r="S328" s="56" t="s">
        <v>779</v>
      </c>
    </row>
    <row r="329" spans="1:19" x14ac:dyDescent="0.3">
      <c r="A329" s="35">
        <v>390</v>
      </c>
      <c r="B329" s="8" t="s">
        <v>187</v>
      </c>
      <c r="C329" s="8" t="s">
        <v>188</v>
      </c>
      <c r="D329" s="8" t="s">
        <v>18</v>
      </c>
      <c r="E329" s="9">
        <v>225000</v>
      </c>
      <c r="F329" s="7">
        <v>8</v>
      </c>
      <c r="G329" s="7">
        <v>30</v>
      </c>
      <c r="H329" s="9">
        <v>261000</v>
      </c>
      <c r="I329" s="9">
        <f t="shared" si="10"/>
        <v>261000</v>
      </c>
      <c r="J329" s="10">
        <v>45220</v>
      </c>
      <c r="K329" s="8" t="s">
        <v>99</v>
      </c>
      <c r="L329" s="8" t="str">
        <f>VLOOKUP(DataSales[[#This Row],[Khách hàng]],'RFM Table'!$A:$I,9,FALSE)</f>
        <v>Khách hàng Trung thành</v>
      </c>
      <c r="M329" s="9">
        <f t="shared" si="11"/>
        <v>36000</v>
      </c>
      <c r="N329" s="11">
        <v>0.13793103448275859</v>
      </c>
      <c r="O329" s="7">
        <v>38</v>
      </c>
      <c r="P329" s="11">
        <v>0.2105263157894737</v>
      </c>
      <c r="Q329" s="37">
        <v>2023</v>
      </c>
      <c r="R329" s="56">
        <f>MONTH(DataSales[[#This Row],[Ngày Xuất]])</f>
        <v>10</v>
      </c>
      <c r="S329" s="56" t="s">
        <v>772</v>
      </c>
    </row>
    <row r="330" spans="1:19" x14ac:dyDescent="0.3">
      <c r="A330" s="34">
        <v>392</v>
      </c>
      <c r="B330" s="3" t="s">
        <v>223</v>
      </c>
      <c r="C330" s="3" t="s">
        <v>224</v>
      </c>
      <c r="D330" s="3" t="s">
        <v>25</v>
      </c>
      <c r="E330" s="4">
        <v>182500</v>
      </c>
      <c r="F330" s="2">
        <v>0</v>
      </c>
      <c r="G330" s="2">
        <v>2</v>
      </c>
      <c r="H330" s="4">
        <v>390000</v>
      </c>
      <c r="I330" s="4">
        <f t="shared" si="10"/>
        <v>390000</v>
      </c>
      <c r="J330" s="5">
        <v>45220</v>
      </c>
      <c r="K330" s="3" t="s">
        <v>99</v>
      </c>
      <c r="L330" s="3" t="str">
        <f>VLOOKUP(DataSales[[#This Row],[Khách hàng]],'RFM Table'!$A:$I,9,FALSE)</f>
        <v>Khách hàng Trung thành</v>
      </c>
      <c r="M330" s="4">
        <f t="shared" si="11"/>
        <v>207500</v>
      </c>
      <c r="N330" s="6">
        <v>0.53205128205128205</v>
      </c>
      <c r="O330" s="2">
        <v>2</v>
      </c>
      <c r="P330" s="6">
        <v>0</v>
      </c>
      <c r="Q330" s="36">
        <v>2023</v>
      </c>
      <c r="R330" s="56">
        <f>MONTH(DataSales[[#This Row],[Ngày Xuất]])</f>
        <v>10</v>
      </c>
      <c r="S330" s="56" t="s">
        <v>773</v>
      </c>
    </row>
    <row r="331" spans="1:19" x14ac:dyDescent="0.3">
      <c r="A331" s="35">
        <v>393</v>
      </c>
      <c r="B331" s="8" t="s">
        <v>423</v>
      </c>
      <c r="C331" s="8" t="s">
        <v>424</v>
      </c>
      <c r="D331" s="8" t="s">
        <v>47</v>
      </c>
      <c r="E331" s="9">
        <v>79998</v>
      </c>
      <c r="F331" s="7">
        <v>1</v>
      </c>
      <c r="G331" s="7">
        <v>6</v>
      </c>
      <c r="H331" s="9">
        <v>83000</v>
      </c>
      <c r="I331" s="9">
        <f t="shared" si="10"/>
        <v>83000</v>
      </c>
      <c r="J331" s="10">
        <v>45220</v>
      </c>
      <c r="K331" s="8" t="s">
        <v>228</v>
      </c>
      <c r="L331" s="8" t="str">
        <f>VLOOKUP(DataSales[[#This Row],[Khách hàng]],'RFM Table'!$A:$I,9,FALSE)</f>
        <v>Khách hàng VIP</v>
      </c>
      <c r="M331" s="9">
        <f t="shared" si="11"/>
        <v>3002</v>
      </c>
      <c r="N331" s="11">
        <v>3.6168674698795179E-2</v>
      </c>
      <c r="O331" s="7">
        <v>7</v>
      </c>
      <c r="P331" s="11">
        <v>0.14285714285714279</v>
      </c>
      <c r="Q331" s="37">
        <v>2023</v>
      </c>
      <c r="R331" s="56">
        <f>MONTH(DataSales[[#This Row],[Ngày Xuất]])</f>
        <v>10</v>
      </c>
      <c r="S331" s="56" t="s">
        <v>774</v>
      </c>
    </row>
    <row r="332" spans="1:19" x14ac:dyDescent="0.3">
      <c r="A332" s="34">
        <v>394</v>
      </c>
      <c r="B332" s="3" t="s">
        <v>425</v>
      </c>
      <c r="C332" s="3" t="s">
        <v>426</v>
      </c>
      <c r="D332" s="3" t="s">
        <v>47</v>
      </c>
      <c r="E332" s="4">
        <v>79998</v>
      </c>
      <c r="F332" s="2">
        <v>1</v>
      </c>
      <c r="G332" s="2">
        <v>6</v>
      </c>
      <c r="H332" s="4">
        <v>83000</v>
      </c>
      <c r="I332" s="4">
        <f t="shared" si="10"/>
        <v>83000</v>
      </c>
      <c r="J332" s="5">
        <v>45220</v>
      </c>
      <c r="K332" s="3" t="s">
        <v>228</v>
      </c>
      <c r="L332" s="3" t="str">
        <f>VLOOKUP(DataSales[[#This Row],[Khách hàng]],'RFM Table'!$A:$I,9,FALSE)</f>
        <v>Khách hàng VIP</v>
      </c>
      <c r="M332" s="4">
        <f t="shared" si="11"/>
        <v>3002</v>
      </c>
      <c r="N332" s="6">
        <v>3.6168674698795179E-2</v>
      </c>
      <c r="O332" s="2">
        <v>7</v>
      </c>
      <c r="P332" s="6">
        <v>0.14285714285714279</v>
      </c>
      <c r="Q332" s="36">
        <v>2023</v>
      </c>
      <c r="R332" s="56">
        <f>MONTH(DataSales[[#This Row],[Ngày Xuất]])</f>
        <v>10</v>
      </c>
      <c r="S332" s="56" t="s">
        <v>774</v>
      </c>
    </row>
    <row r="333" spans="1:19" x14ac:dyDescent="0.3">
      <c r="A333" s="35">
        <v>395</v>
      </c>
      <c r="B333" s="8" t="s">
        <v>27</v>
      </c>
      <c r="C333" s="8" t="s">
        <v>28</v>
      </c>
      <c r="D333" s="8" t="s">
        <v>18</v>
      </c>
      <c r="E333" s="9">
        <v>216000</v>
      </c>
      <c r="F333" s="7">
        <v>3</v>
      </c>
      <c r="G333" s="7">
        <v>30</v>
      </c>
      <c r="H333" s="9">
        <v>300000</v>
      </c>
      <c r="I333" s="9">
        <f t="shared" si="10"/>
        <v>300000</v>
      </c>
      <c r="J333" s="10">
        <v>45220</v>
      </c>
      <c r="K333" s="8" t="s">
        <v>228</v>
      </c>
      <c r="L333" s="8" t="str">
        <f>VLOOKUP(DataSales[[#This Row],[Khách hàng]],'RFM Table'!$A:$I,9,FALSE)</f>
        <v>Khách hàng VIP</v>
      </c>
      <c r="M333" s="9">
        <f t="shared" si="11"/>
        <v>84000</v>
      </c>
      <c r="N333" s="11">
        <v>0.28000000000000003</v>
      </c>
      <c r="O333" s="7">
        <v>33</v>
      </c>
      <c r="P333" s="11">
        <v>9.0909090909090912E-2</v>
      </c>
      <c r="Q333" s="37">
        <v>2023</v>
      </c>
      <c r="R333" s="56">
        <f>MONTH(DataSales[[#This Row],[Ngày Xuất]])</f>
        <v>10</v>
      </c>
      <c r="S333" s="56" t="s">
        <v>772</v>
      </c>
    </row>
    <row r="334" spans="1:19" x14ac:dyDescent="0.3">
      <c r="A334" s="34">
        <v>396</v>
      </c>
      <c r="B334" s="3" t="s">
        <v>427</v>
      </c>
      <c r="C334" s="3" t="s">
        <v>428</v>
      </c>
      <c r="D334" s="3" t="s">
        <v>18</v>
      </c>
      <c r="E334" s="4">
        <v>37585</v>
      </c>
      <c r="F334" s="2">
        <v>0</v>
      </c>
      <c r="G334" s="2">
        <v>5</v>
      </c>
      <c r="H334" s="4">
        <v>30000</v>
      </c>
      <c r="I334" s="4">
        <f t="shared" si="10"/>
        <v>30000</v>
      </c>
      <c r="J334" s="5">
        <v>45220</v>
      </c>
      <c r="K334" s="3" t="s">
        <v>228</v>
      </c>
      <c r="L334" s="3" t="str">
        <f>VLOOKUP(DataSales[[#This Row],[Khách hàng]],'RFM Table'!$A:$I,9,FALSE)</f>
        <v>Khách hàng VIP</v>
      </c>
      <c r="M334" s="4">
        <f t="shared" si="11"/>
        <v>-7585</v>
      </c>
      <c r="N334" s="6">
        <v>-0.25283333333333341</v>
      </c>
      <c r="O334" s="2">
        <v>5</v>
      </c>
      <c r="P334" s="6">
        <v>0</v>
      </c>
      <c r="Q334" s="36">
        <v>2023</v>
      </c>
      <c r="R334" s="56">
        <f>MONTH(DataSales[[#This Row],[Ngày Xuất]])</f>
        <v>10</v>
      </c>
      <c r="S334" s="56" t="s">
        <v>772</v>
      </c>
    </row>
    <row r="335" spans="1:19" x14ac:dyDescent="0.3">
      <c r="A335" s="35">
        <v>397</v>
      </c>
      <c r="B335" s="8" t="s">
        <v>429</v>
      </c>
      <c r="C335" s="8" t="s">
        <v>430</v>
      </c>
      <c r="D335" s="8" t="s">
        <v>18</v>
      </c>
      <c r="E335" s="9">
        <v>115000</v>
      </c>
      <c r="F335" s="7">
        <v>0</v>
      </c>
      <c r="G335" s="7">
        <v>5</v>
      </c>
      <c r="H335" s="9">
        <v>165000</v>
      </c>
      <c r="I335" s="9">
        <f t="shared" si="10"/>
        <v>165000</v>
      </c>
      <c r="J335" s="10">
        <v>45220</v>
      </c>
      <c r="K335" s="8" t="s">
        <v>228</v>
      </c>
      <c r="L335" s="8" t="str">
        <f>VLOOKUP(DataSales[[#This Row],[Khách hàng]],'RFM Table'!$A:$I,9,FALSE)</f>
        <v>Khách hàng VIP</v>
      </c>
      <c r="M335" s="9">
        <f t="shared" si="11"/>
        <v>50000</v>
      </c>
      <c r="N335" s="11">
        <v>0.30303030303030298</v>
      </c>
      <c r="O335" s="7">
        <v>5</v>
      </c>
      <c r="P335" s="11">
        <v>0</v>
      </c>
      <c r="Q335" s="37">
        <v>2023</v>
      </c>
      <c r="R335" s="56">
        <f>MONTH(DataSales[[#This Row],[Ngày Xuất]])</f>
        <v>10</v>
      </c>
      <c r="S335" s="56" t="s">
        <v>772</v>
      </c>
    </row>
    <row r="336" spans="1:19" x14ac:dyDescent="0.3">
      <c r="A336" s="34">
        <v>398</v>
      </c>
      <c r="B336" s="3" t="s">
        <v>407</v>
      </c>
      <c r="C336" s="3" t="s">
        <v>408</v>
      </c>
      <c r="D336" s="3" t="s">
        <v>158</v>
      </c>
      <c r="E336" s="4">
        <v>260000</v>
      </c>
      <c r="F336" s="2">
        <v>0</v>
      </c>
      <c r="G336" s="2">
        <v>10</v>
      </c>
      <c r="H336" s="4">
        <v>250000</v>
      </c>
      <c r="I336" s="4">
        <f t="shared" si="10"/>
        <v>250000</v>
      </c>
      <c r="J336" s="5">
        <v>45220</v>
      </c>
      <c r="K336" s="3" t="s">
        <v>274</v>
      </c>
      <c r="L336" s="3" t="str">
        <f>VLOOKUP(DataSales[[#This Row],[Khách hàng]],'RFM Table'!$A:$I,9,FALSE)</f>
        <v>Khách hàng Cần chú ý</v>
      </c>
      <c r="M336" s="4">
        <f t="shared" si="11"/>
        <v>-10000</v>
      </c>
      <c r="N336" s="6">
        <v>-0.04</v>
      </c>
      <c r="O336" s="2">
        <v>10</v>
      </c>
      <c r="P336" s="6">
        <v>0</v>
      </c>
      <c r="Q336" s="36">
        <v>2023</v>
      </c>
      <c r="R336" s="56">
        <f>MONTH(DataSales[[#This Row],[Ngày Xuất]])</f>
        <v>10</v>
      </c>
      <c r="S336" s="56" t="s">
        <v>779</v>
      </c>
    </row>
    <row r="337" spans="1:19" x14ac:dyDescent="0.3">
      <c r="A337" s="35">
        <v>399</v>
      </c>
      <c r="B337" s="8" t="s">
        <v>119</v>
      </c>
      <c r="C337" s="8" t="s">
        <v>120</v>
      </c>
      <c r="D337" s="8" t="s">
        <v>47</v>
      </c>
      <c r="E337" s="9">
        <v>200000</v>
      </c>
      <c r="F337" s="7">
        <v>0</v>
      </c>
      <c r="G337" s="7">
        <v>2</v>
      </c>
      <c r="H337" s="9">
        <v>260000</v>
      </c>
      <c r="I337" s="9">
        <f t="shared" si="10"/>
        <v>260000</v>
      </c>
      <c r="J337" s="10">
        <v>45220</v>
      </c>
      <c r="K337" s="8" t="s">
        <v>274</v>
      </c>
      <c r="L337" s="8" t="str">
        <f>VLOOKUP(DataSales[[#This Row],[Khách hàng]],'RFM Table'!$A:$I,9,FALSE)</f>
        <v>Khách hàng Cần chú ý</v>
      </c>
      <c r="M337" s="9">
        <f t="shared" si="11"/>
        <v>60000</v>
      </c>
      <c r="N337" s="11">
        <v>0.23076923076923081</v>
      </c>
      <c r="O337" s="7">
        <v>2</v>
      </c>
      <c r="P337" s="11">
        <v>0</v>
      </c>
      <c r="Q337" s="37">
        <v>2023</v>
      </c>
      <c r="R337" s="56">
        <f>MONTH(DataSales[[#This Row],[Ngày Xuất]])</f>
        <v>10</v>
      </c>
      <c r="S337" s="56" t="s">
        <v>779</v>
      </c>
    </row>
    <row r="338" spans="1:19" x14ac:dyDescent="0.3">
      <c r="A338" s="34">
        <v>400</v>
      </c>
      <c r="B338" s="3" t="s">
        <v>187</v>
      </c>
      <c r="C338" s="3" t="s">
        <v>188</v>
      </c>
      <c r="D338" s="3" t="s">
        <v>18</v>
      </c>
      <c r="E338" s="4">
        <v>225000</v>
      </c>
      <c r="F338" s="2">
        <v>0</v>
      </c>
      <c r="G338" s="2">
        <v>30</v>
      </c>
      <c r="H338" s="4">
        <v>330000</v>
      </c>
      <c r="I338" s="4">
        <f t="shared" si="10"/>
        <v>330000</v>
      </c>
      <c r="J338" s="5">
        <v>45220</v>
      </c>
      <c r="K338" s="3" t="s">
        <v>274</v>
      </c>
      <c r="L338" s="3" t="str">
        <f>VLOOKUP(DataSales[[#This Row],[Khách hàng]],'RFM Table'!$A:$I,9,FALSE)</f>
        <v>Khách hàng Cần chú ý</v>
      </c>
      <c r="M338" s="4">
        <f t="shared" si="11"/>
        <v>105000</v>
      </c>
      <c r="N338" s="6">
        <v>0.31818181818181818</v>
      </c>
      <c r="O338" s="2">
        <v>30</v>
      </c>
      <c r="P338" s="6">
        <v>0</v>
      </c>
      <c r="Q338" s="36">
        <v>2023</v>
      </c>
      <c r="R338" s="56">
        <f>MONTH(DataSales[[#This Row],[Ngày Xuất]])</f>
        <v>10</v>
      </c>
      <c r="S338" s="56" t="s">
        <v>772</v>
      </c>
    </row>
    <row r="339" spans="1:19" x14ac:dyDescent="0.3">
      <c r="A339" s="35">
        <v>402</v>
      </c>
      <c r="B339" s="8" t="s">
        <v>86</v>
      </c>
      <c r="C339" s="8" t="s">
        <v>87</v>
      </c>
      <c r="D339" s="8" t="s">
        <v>22</v>
      </c>
      <c r="E339" s="9">
        <v>190008</v>
      </c>
      <c r="F339" s="7">
        <v>0</v>
      </c>
      <c r="G339" s="7">
        <v>12</v>
      </c>
      <c r="H339" s="9">
        <v>312000</v>
      </c>
      <c r="I339" s="9">
        <f t="shared" si="10"/>
        <v>312000</v>
      </c>
      <c r="J339" s="10">
        <v>45220</v>
      </c>
      <c r="K339" s="8" t="s">
        <v>274</v>
      </c>
      <c r="L339" s="8" t="str">
        <f>VLOOKUP(DataSales[[#This Row],[Khách hàng]],'RFM Table'!$A:$I,9,FALSE)</f>
        <v>Khách hàng Cần chú ý</v>
      </c>
      <c r="M339" s="9">
        <f t="shared" si="11"/>
        <v>121992</v>
      </c>
      <c r="N339" s="11">
        <v>0.39100000000000001</v>
      </c>
      <c r="O339" s="7">
        <v>12</v>
      </c>
      <c r="P339" s="11">
        <v>0</v>
      </c>
      <c r="Q339" s="37">
        <v>2023</v>
      </c>
      <c r="R339" s="56">
        <f>MONTH(DataSales[[#This Row],[Ngày Xuất]])</f>
        <v>10</v>
      </c>
      <c r="S339" s="56" t="s">
        <v>773</v>
      </c>
    </row>
    <row r="340" spans="1:19" x14ac:dyDescent="0.3">
      <c r="A340" s="34">
        <v>404</v>
      </c>
      <c r="B340" s="3" t="s">
        <v>349</v>
      </c>
      <c r="C340" s="3" t="s">
        <v>350</v>
      </c>
      <c r="D340" s="3" t="s">
        <v>47</v>
      </c>
      <c r="E340" s="4">
        <v>317100</v>
      </c>
      <c r="F340" s="2">
        <v>0</v>
      </c>
      <c r="G340" s="2">
        <v>7</v>
      </c>
      <c r="H340" s="4">
        <v>343000</v>
      </c>
      <c r="I340" s="4">
        <f t="shared" si="10"/>
        <v>343000</v>
      </c>
      <c r="J340" s="5">
        <v>45220</v>
      </c>
      <c r="K340" s="3" t="s">
        <v>339</v>
      </c>
      <c r="L340" s="3" t="str">
        <f>VLOOKUP(DataSales[[#This Row],[Khách hàng]],'RFM Table'!$A:$I,9,FALSE)</f>
        <v>Khách hàng Cần chú ý</v>
      </c>
      <c r="M340" s="4">
        <f t="shared" si="11"/>
        <v>25900</v>
      </c>
      <c r="N340" s="6">
        <v>7.5510204081632656E-2</v>
      </c>
      <c r="O340" s="2">
        <v>7</v>
      </c>
      <c r="P340" s="6">
        <v>0</v>
      </c>
      <c r="Q340" s="36">
        <v>2023</v>
      </c>
      <c r="R340" s="56">
        <f>MONTH(DataSales[[#This Row],[Ngày Xuất]])</f>
        <v>10</v>
      </c>
      <c r="S340" s="56" t="s">
        <v>780</v>
      </c>
    </row>
    <row r="341" spans="1:19" x14ac:dyDescent="0.3">
      <c r="A341" s="35">
        <v>405</v>
      </c>
      <c r="B341" s="8" t="s">
        <v>351</v>
      </c>
      <c r="C341" s="8" t="s">
        <v>352</v>
      </c>
      <c r="D341" s="8" t="s">
        <v>47</v>
      </c>
      <c r="E341" s="9">
        <v>634200</v>
      </c>
      <c r="F341" s="7">
        <v>0</v>
      </c>
      <c r="G341" s="7">
        <v>14</v>
      </c>
      <c r="H341" s="9">
        <v>686000</v>
      </c>
      <c r="I341" s="9">
        <f t="shared" si="10"/>
        <v>686000</v>
      </c>
      <c r="J341" s="10">
        <v>45220</v>
      </c>
      <c r="K341" s="8" t="s">
        <v>339</v>
      </c>
      <c r="L341" s="8" t="str">
        <f>VLOOKUP(DataSales[[#This Row],[Khách hàng]],'RFM Table'!$A:$I,9,FALSE)</f>
        <v>Khách hàng Cần chú ý</v>
      </c>
      <c r="M341" s="9">
        <f t="shared" si="11"/>
        <v>51800</v>
      </c>
      <c r="N341" s="11">
        <v>7.5510204081632656E-2</v>
      </c>
      <c r="O341" s="7">
        <v>14</v>
      </c>
      <c r="P341" s="11">
        <v>0</v>
      </c>
      <c r="Q341" s="37">
        <v>2023</v>
      </c>
      <c r="R341" s="56">
        <f>MONTH(DataSales[[#This Row],[Ngày Xuất]])</f>
        <v>10</v>
      </c>
      <c r="S341" s="56" t="s">
        <v>780</v>
      </c>
    </row>
    <row r="342" spans="1:19" x14ac:dyDescent="0.3">
      <c r="A342" s="34">
        <v>406</v>
      </c>
      <c r="B342" s="3" t="s">
        <v>431</v>
      </c>
      <c r="C342" s="3" t="s">
        <v>432</v>
      </c>
      <c r="D342" s="3" t="s">
        <v>18</v>
      </c>
      <c r="E342" s="4">
        <v>331520</v>
      </c>
      <c r="F342" s="2">
        <v>0</v>
      </c>
      <c r="G342" s="2">
        <v>4</v>
      </c>
      <c r="H342" s="4">
        <v>408000</v>
      </c>
      <c r="I342" s="4">
        <f t="shared" si="10"/>
        <v>408000</v>
      </c>
      <c r="J342" s="5">
        <v>45220</v>
      </c>
      <c r="K342" s="3" t="s">
        <v>245</v>
      </c>
      <c r="L342" s="3" t="str">
        <f>VLOOKUP(DataSales[[#This Row],[Khách hàng]],'RFM Table'!$A:$I,9,FALSE)</f>
        <v>Khách hàng VIP</v>
      </c>
      <c r="M342" s="4">
        <f t="shared" si="11"/>
        <v>76480</v>
      </c>
      <c r="N342" s="6">
        <v>0.18745098039215691</v>
      </c>
      <c r="O342" s="2">
        <v>4</v>
      </c>
      <c r="P342" s="6">
        <v>0</v>
      </c>
      <c r="Q342" s="36">
        <v>2023</v>
      </c>
      <c r="R342" s="56">
        <f>MONTH(DataSales[[#This Row],[Ngày Xuất]])</f>
        <v>10</v>
      </c>
      <c r="S342" s="56" t="s">
        <v>773</v>
      </c>
    </row>
    <row r="343" spans="1:19" x14ac:dyDescent="0.3">
      <c r="A343" s="35">
        <v>407</v>
      </c>
      <c r="B343" s="8" t="s">
        <v>433</v>
      </c>
      <c r="C343" s="8" t="s">
        <v>434</v>
      </c>
      <c r="D343" s="8" t="s">
        <v>18</v>
      </c>
      <c r="E343" s="9">
        <v>50000</v>
      </c>
      <c r="F343" s="7">
        <v>0</v>
      </c>
      <c r="G343" s="7">
        <v>20</v>
      </c>
      <c r="H343" s="9">
        <v>80000</v>
      </c>
      <c r="I343" s="9">
        <f t="shared" si="10"/>
        <v>80000</v>
      </c>
      <c r="J343" s="10">
        <v>45220</v>
      </c>
      <c r="K343" s="8" t="s">
        <v>245</v>
      </c>
      <c r="L343" s="8" t="str">
        <f>VLOOKUP(DataSales[[#This Row],[Khách hàng]],'RFM Table'!$A:$I,9,FALSE)</f>
        <v>Khách hàng VIP</v>
      </c>
      <c r="M343" s="9">
        <f t="shared" si="11"/>
        <v>30000</v>
      </c>
      <c r="N343" s="11">
        <v>0.375</v>
      </c>
      <c r="O343" s="7">
        <v>20</v>
      </c>
      <c r="P343" s="11">
        <v>0</v>
      </c>
      <c r="Q343" s="37">
        <v>2023</v>
      </c>
      <c r="R343" s="56">
        <f>MONTH(DataSales[[#This Row],[Ngày Xuất]])</f>
        <v>10</v>
      </c>
      <c r="S343" s="56" t="s">
        <v>775</v>
      </c>
    </row>
    <row r="344" spans="1:19" x14ac:dyDescent="0.3">
      <c r="A344" s="34">
        <v>408</v>
      </c>
      <c r="B344" s="3" t="s">
        <v>121</v>
      </c>
      <c r="C344" s="3" t="s">
        <v>122</v>
      </c>
      <c r="D344" s="3" t="s">
        <v>47</v>
      </c>
      <c r="E344" s="4">
        <v>600000</v>
      </c>
      <c r="F344" s="2">
        <v>6</v>
      </c>
      <c r="G344" s="2">
        <v>6</v>
      </c>
      <c r="H344" s="4">
        <v>654000</v>
      </c>
      <c r="I344" s="4">
        <f t="shared" si="10"/>
        <v>654000</v>
      </c>
      <c r="J344" s="5">
        <v>45220</v>
      </c>
      <c r="K344" s="3" t="s">
        <v>207</v>
      </c>
      <c r="L344" s="3" t="str">
        <f>VLOOKUP(DataSales[[#This Row],[Khách hàng]],'RFM Table'!$A:$I,9,FALSE)</f>
        <v>Khách hàng Trung thành</v>
      </c>
      <c r="M344" s="4">
        <f t="shared" si="11"/>
        <v>54000</v>
      </c>
      <c r="N344" s="6">
        <v>8.2568807339449546E-2</v>
      </c>
      <c r="O344" s="2">
        <v>12</v>
      </c>
      <c r="P344" s="6">
        <v>0.5</v>
      </c>
      <c r="Q344" s="36">
        <v>2023</v>
      </c>
      <c r="R344" s="56">
        <f>MONTH(DataSales[[#This Row],[Ngày Xuất]])</f>
        <v>10</v>
      </c>
      <c r="S344" s="56" t="s">
        <v>779</v>
      </c>
    </row>
    <row r="345" spans="1:19" x14ac:dyDescent="0.3">
      <c r="A345" s="35">
        <v>409</v>
      </c>
      <c r="B345" s="8" t="s">
        <v>145</v>
      </c>
      <c r="C345" s="8" t="s">
        <v>146</v>
      </c>
      <c r="D345" s="8" t="s">
        <v>18</v>
      </c>
      <c r="E345" s="9">
        <v>288000</v>
      </c>
      <c r="F345" s="7">
        <v>0</v>
      </c>
      <c r="G345" s="7">
        <v>48</v>
      </c>
      <c r="H345" s="9">
        <v>360000</v>
      </c>
      <c r="I345" s="9">
        <f t="shared" si="10"/>
        <v>360000</v>
      </c>
      <c r="J345" s="10">
        <v>45220</v>
      </c>
      <c r="K345" s="8" t="s">
        <v>64</v>
      </c>
      <c r="L345" s="8" t="str">
        <f>VLOOKUP(DataSales[[#This Row],[Khách hàng]],'RFM Table'!$A:$I,9,FALSE)</f>
        <v>Khách hàng Trung thành</v>
      </c>
      <c r="M345" s="9">
        <f t="shared" si="11"/>
        <v>72000</v>
      </c>
      <c r="N345" s="11">
        <v>0.2</v>
      </c>
      <c r="O345" s="7">
        <v>48</v>
      </c>
      <c r="P345" s="11">
        <v>0</v>
      </c>
      <c r="Q345" s="37">
        <v>2023</v>
      </c>
      <c r="R345" s="56">
        <f>MONTH(DataSales[[#This Row],[Ngày Xuất]])</f>
        <v>10</v>
      </c>
      <c r="S345" s="56" t="s">
        <v>772</v>
      </c>
    </row>
    <row r="346" spans="1:19" x14ac:dyDescent="0.3">
      <c r="A346" s="34">
        <v>410</v>
      </c>
      <c r="B346" s="3" t="s">
        <v>65</v>
      </c>
      <c r="C346" s="3" t="s">
        <v>66</v>
      </c>
      <c r="D346" s="3" t="s">
        <v>18</v>
      </c>
      <c r="E346" s="4">
        <v>200010</v>
      </c>
      <c r="F346" s="2">
        <v>0</v>
      </c>
      <c r="G346" s="2">
        <v>30</v>
      </c>
      <c r="H346" s="4">
        <v>225000</v>
      </c>
      <c r="I346" s="4">
        <f t="shared" si="10"/>
        <v>225000</v>
      </c>
      <c r="J346" s="5">
        <v>45220</v>
      </c>
      <c r="K346" s="3" t="s">
        <v>64</v>
      </c>
      <c r="L346" s="3" t="str">
        <f>VLOOKUP(DataSales[[#This Row],[Khách hàng]],'RFM Table'!$A:$I,9,FALSE)</f>
        <v>Khách hàng Trung thành</v>
      </c>
      <c r="M346" s="4">
        <f t="shared" si="11"/>
        <v>24990</v>
      </c>
      <c r="N346" s="6">
        <v>0.1110666666666667</v>
      </c>
      <c r="O346" s="2">
        <v>30</v>
      </c>
      <c r="P346" s="6">
        <v>0</v>
      </c>
      <c r="Q346" s="36">
        <v>2023</v>
      </c>
      <c r="R346" s="56">
        <f>MONTH(DataSales[[#This Row],[Ngày Xuất]])</f>
        <v>10</v>
      </c>
      <c r="S346" s="56" t="s">
        <v>772</v>
      </c>
    </row>
    <row r="347" spans="1:19" x14ac:dyDescent="0.3">
      <c r="A347" s="35">
        <v>412</v>
      </c>
      <c r="B347" s="8" t="s">
        <v>119</v>
      </c>
      <c r="C347" s="8" t="s">
        <v>120</v>
      </c>
      <c r="D347" s="8" t="s">
        <v>47</v>
      </c>
      <c r="E347" s="9">
        <v>300000</v>
      </c>
      <c r="F347" s="7">
        <v>0</v>
      </c>
      <c r="G347" s="7">
        <v>3</v>
      </c>
      <c r="H347" s="9">
        <v>654000</v>
      </c>
      <c r="I347" s="9">
        <f t="shared" si="10"/>
        <v>654000</v>
      </c>
      <c r="J347" s="10">
        <v>45220</v>
      </c>
      <c r="K347" s="8" t="s">
        <v>370</v>
      </c>
      <c r="L347" s="8" t="str">
        <f>VLOOKUP(DataSales[[#This Row],[Khách hàng]],'RFM Table'!$A:$I,9,FALSE)</f>
        <v>Khách hàng Cần chú ý</v>
      </c>
      <c r="M347" s="9">
        <f t="shared" si="11"/>
        <v>354000</v>
      </c>
      <c r="N347" s="11">
        <v>0.54128440366972475</v>
      </c>
      <c r="O347" s="7">
        <v>3</v>
      </c>
      <c r="P347" s="11">
        <v>0</v>
      </c>
      <c r="Q347" s="37">
        <v>2023</v>
      </c>
      <c r="R347" s="56">
        <f>MONTH(DataSales[[#This Row],[Ngày Xuất]])</f>
        <v>10</v>
      </c>
      <c r="S347" s="56" t="s">
        <v>779</v>
      </c>
    </row>
    <row r="348" spans="1:19" x14ac:dyDescent="0.3">
      <c r="A348" s="34">
        <v>414</v>
      </c>
      <c r="B348" s="3" t="s">
        <v>435</v>
      </c>
      <c r="C348" s="3" t="s">
        <v>436</v>
      </c>
      <c r="D348" s="3" t="s">
        <v>72</v>
      </c>
      <c r="E348" s="4">
        <v>693000</v>
      </c>
      <c r="F348" s="2">
        <v>5</v>
      </c>
      <c r="G348" s="2">
        <v>44</v>
      </c>
      <c r="H348" s="4">
        <v>792000</v>
      </c>
      <c r="I348" s="4">
        <f t="shared" si="10"/>
        <v>792000</v>
      </c>
      <c r="J348" s="5">
        <v>45225</v>
      </c>
      <c r="K348" s="3" t="s">
        <v>251</v>
      </c>
      <c r="L348" s="3" t="str">
        <f>VLOOKUP(DataSales[[#This Row],[Khách hàng]],'RFM Table'!$A:$I,9,FALSE)</f>
        <v>Khách hàng VIP</v>
      </c>
      <c r="M348" s="4">
        <f t="shared" si="11"/>
        <v>99000</v>
      </c>
      <c r="N348" s="6">
        <v>0.125</v>
      </c>
      <c r="O348" s="2">
        <v>49</v>
      </c>
      <c r="P348" s="6">
        <v>0.1020408163265306</v>
      </c>
      <c r="Q348" s="36">
        <v>2023</v>
      </c>
      <c r="R348" s="56">
        <f>MONTH(DataSales[[#This Row],[Ngày Xuất]])</f>
        <v>10</v>
      </c>
      <c r="S348" s="56" t="s">
        <v>777</v>
      </c>
    </row>
    <row r="349" spans="1:19" x14ac:dyDescent="0.3">
      <c r="A349" s="35">
        <v>415</v>
      </c>
      <c r="B349" s="8" t="s">
        <v>437</v>
      </c>
      <c r="C349" s="8" t="s">
        <v>438</v>
      </c>
      <c r="D349" s="8" t="s">
        <v>47</v>
      </c>
      <c r="E349" s="9">
        <v>240000</v>
      </c>
      <c r="F349" s="7">
        <v>0</v>
      </c>
      <c r="G349" s="7">
        <v>1</v>
      </c>
      <c r="H349" s="9">
        <v>250000</v>
      </c>
      <c r="I349" s="9">
        <f t="shared" si="10"/>
        <v>250000</v>
      </c>
      <c r="J349" s="10">
        <v>45225</v>
      </c>
      <c r="K349" s="8" t="s">
        <v>73</v>
      </c>
      <c r="L349" s="8" t="str">
        <f>VLOOKUP(DataSales[[#This Row],[Khách hàng]],'RFM Table'!$A:$I,9,FALSE)</f>
        <v>Khách hàng Cần chú ý</v>
      </c>
      <c r="M349" s="9">
        <f t="shared" si="11"/>
        <v>10000</v>
      </c>
      <c r="N349" s="11">
        <v>0.04</v>
      </c>
      <c r="O349" s="7">
        <v>1</v>
      </c>
      <c r="P349" s="11">
        <v>0</v>
      </c>
      <c r="Q349" s="37">
        <v>2023</v>
      </c>
      <c r="R349" s="56">
        <f>MONTH(DataSales[[#This Row],[Ngày Xuất]])</f>
        <v>10</v>
      </c>
      <c r="S349" s="56" t="s">
        <v>778</v>
      </c>
    </row>
    <row r="350" spans="1:19" x14ac:dyDescent="0.3">
      <c r="A350" s="34">
        <v>416</v>
      </c>
      <c r="B350" s="3" t="s">
        <v>86</v>
      </c>
      <c r="C350" s="3" t="s">
        <v>87</v>
      </c>
      <c r="D350" s="3" t="s">
        <v>22</v>
      </c>
      <c r="E350" s="4">
        <v>950040</v>
      </c>
      <c r="F350" s="2">
        <v>12</v>
      </c>
      <c r="G350" s="2">
        <v>60</v>
      </c>
      <c r="H350" s="4">
        <v>1325000</v>
      </c>
      <c r="I350" s="4">
        <f t="shared" si="10"/>
        <v>1325000</v>
      </c>
      <c r="J350" s="5">
        <v>45225</v>
      </c>
      <c r="K350" s="3" t="s">
        <v>73</v>
      </c>
      <c r="L350" s="3" t="str">
        <f>VLOOKUP(DataSales[[#This Row],[Khách hàng]],'RFM Table'!$A:$I,9,FALSE)</f>
        <v>Khách hàng Cần chú ý</v>
      </c>
      <c r="M350" s="4">
        <f t="shared" si="11"/>
        <v>374960</v>
      </c>
      <c r="N350" s="6">
        <v>0.28298867924528298</v>
      </c>
      <c r="O350" s="2">
        <v>72</v>
      </c>
      <c r="P350" s="6">
        <v>0.16666666666666671</v>
      </c>
      <c r="Q350" s="36">
        <v>2023</v>
      </c>
      <c r="R350" s="56">
        <f>MONTH(DataSales[[#This Row],[Ngày Xuất]])</f>
        <v>10</v>
      </c>
      <c r="S350" s="56" t="s">
        <v>773</v>
      </c>
    </row>
    <row r="351" spans="1:19" x14ac:dyDescent="0.3">
      <c r="A351" s="35">
        <v>417</v>
      </c>
      <c r="B351" s="8" t="s">
        <v>70</v>
      </c>
      <c r="C351" s="8" t="s">
        <v>71</v>
      </c>
      <c r="D351" s="8" t="s">
        <v>72</v>
      </c>
      <c r="E351" s="9">
        <v>55000</v>
      </c>
      <c r="F351" s="7">
        <v>0</v>
      </c>
      <c r="G351" s="7">
        <v>10</v>
      </c>
      <c r="H351" s="9">
        <v>60000</v>
      </c>
      <c r="I351" s="9">
        <f t="shared" si="10"/>
        <v>60000</v>
      </c>
      <c r="J351" s="10">
        <v>45225</v>
      </c>
      <c r="K351" s="8" t="s">
        <v>439</v>
      </c>
      <c r="L351" s="8" t="str">
        <f>VLOOKUP(DataSales[[#This Row],[Khách hàng]],'RFM Table'!$A:$I,9,FALSE)</f>
        <v>Khách hàng Cần chú ý</v>
      </c>
      <c r="M351" s="9">
        <f t="shared" si="11"/>
        <v>5000</v>
      </c>
      <c r="N351" s="11">
        <v>8.3333333333333329E-2</v>
      </c>
      <c r="O351" s="7">
        <v>10</v>
      </c>
      <c r="P351" s="11">
        <v>0</v>
      </c>
      <c r="Q351" s="37">
        <v>2023</v>
      </c>
      <c r="R351" s="56">
        <f>MONTH(DataSales[[#This Row],[Ngày Xuất]])</f>
        <v>10</v>
      </c>
      <c r="S351" s="56" t="s">
        <v>776</v>
      </c>
    </row>
    <row r="352" spans="1:19" x14ac:dyDescent="0.3">
      <c r="A352" s="34">
        <v>418</v>
      </c>
      <c r="B352" s="3" t="s">
        <v>74</v>
      </c>
      <c r="C352" s="3" t="s">
        <v>75</v>
      </c>
      <c r="D352" s="3" t="s">
        <v>72</v>
      </c>
      <c r="E352" s="4">
        <v>110000</v>
      </c>
      <c r="F352" s="2">
        <v>0</v>
      </c>
      <c r="G352" s="2">
        <v>20</v>
      </c>
      <c r="H352" s="4">
        <v>120000</v>
      </c>
      <c r="I352" s="4">
        <f t="shared" si="10"/>
        <v>120000</v>
      </c>
      <c r="J352" s="5">
        <v>45225</v>
      </c>
      <c r="K352" s="3" t="s">
        <v>439</v>
      </c>
      <c r="L352" s="3" t="str">
        <f>VLOOKUP(DataSales[[#This Row],[Khách hàng]],'RFM Table'!$A:$I,9,FALSE)</f>
        <v>Khách hàng Cần chú ý</v>
      </c>
      <c r="M352" s="4">
        <f t="shared" si="11"/>
        <v>10000</v>
      </c>
      <c r="N352" s="6">
        <v>8.3333333333333329E-2</v>
      </c>
      <c r="O352" s="2">
        <v>20</v>
      </c>
      <c r="P352" s="6">
        <v>0</v>
      </c>
      <c r="Q352" s="36">
        <v>2023</v>
      </c>
      <c r="R352" s="56">
        <f>MONTH(DataSales[[#This Row],[Ngày Xuất]])</f>
        <v>10</v>
      </c>
      <c r="S352" s="56" t="s">
        <v>776</v>
      </c>
    </row>
    <row r="353" spans="1:19" x14ac:dyDescent="0.3">
      <c r="A353" s="35">
        <v>419</v>
      </c>
      <c r="B353" s="8" t="s">
        <v>292</v>
      </c>
      <c r="C353" s="8" t="s">
        <v>293</v>
      </c>
      <c r="D353" s="8" t="s">
        <v>18</v>
      </c>
      <c r="E353" s="9">
        <v>52500</v>
      </c>
      <c r="F353" s="7">
        <v>0</v>
      </c>
      <c r="G353" s="7">
        <v>10</v>
      </c>
      <c r="H353" s="9">
        <v>70000</v>
      </c>
      <c r="I353" s="9">
        <f t="shared" si="10"/>
        <v>70000</v>
      </c>
      <c r="J353" s="10">
        <v>45225</v>
      </c>
      <c r="K353" s="8" t="s">
        <v>439</v>
      </c>
      <c r="L353" s="8" t="str">
        <f>VLOOKUP(DataSales[[#This Row],[Khách hàng]],'RFM Table'!$A:$I,9,FALSE)</f>
        <v>Khách hàng Cần chú ý</v>
      </c>
      <c r="M353" s="9">
        <f t="shared" si="11"/>
        <v>17500</v>
      </c>
      <c r="N353" s="11">
        <v>0.25</v>
      </c>
      <c r="O353" s="7">
        <v>10</v>
      </c>
      <c r="P353" s="11">
        <v>0</v>
      </c>
      <c r="Q353" s="37">
        <v>2023</v>
      </c>
      <c r="R353" s="56">
        <f>MONTH(DataSales[[#This Row],[Ngày Xuất]])</f>
        <v>10</v>
      </c>
      <c r="S353" s="56" t="s">
        <v>776</v>
      </c>
    </row>
    <row r="354" spans="1:19" x14ac:dyDescent="0.3">
      <c r="A354" s="34">
        <v>420</v>
      </c>
      <c r="B354" s="3" t="s">
        <v>70</v>
      </c>
      <c r="C354" s="3" t="s">
        <v>71</v>
      </c>
      <c r="D354" s="3" t="s">
        <v>72</v>
      </c>
      <c r="E354" s="4">
        <v>165000</v>
      </c>
      <c r="F354" s="2">
        <v>0</v>
      </c>
      <c r="G354" s="2">
        <v>30</v>
      </c>
      <c r="H354" s="4">
        <v>180000</v>
      </c>
      <c r="I354" s="4">
        <f t="shared" si="10"/>
        <v>180000</v>
      </c>
      <c r="J354" s="5">
        <v>45225</v>
      </c>
      <c r="K354" s="3" t="s">
        <v>147</v>
      </c>
      <c r="L354" s="3" t="str">
        <f>VLOOKUP(DataSales[[#This Row],[Khách hàng]],'RFM Table'!$A:$I,9,FALSE)</f>
        <v>Khách hàng Trung thành</v>
      </c>
      <c r="M354" s="4">
        <f t="shared" si="11"/>
        <v>15000</v>
      </c>
      <c r="N354" s="6">
        <v>8.3333333333333329E-2</v>
      </c>
      <c r="O354" s="2">
        <v>30</v>
      </c>
      <c r="P354" s="6">
        <v>0</v>
      </c>
      <c r="Q354" s="36">
        <v>2023</v>
      </c>
      <c r="R354" s="56">
        <f>MONTH(DataSales[[#This Row],[Ngày Xuất]])</f>
        <v>10</v>
      </c>
      <c r="S354" s="56" t="s">
        <v>776</v>
      </c>
    </row>
    <row r="355" spans="1:19" x14ac:dyDescent="0.3">
      <c r="A355" s="35">
        <v>421</v>
      </c>
      <c r="B355" s="8" t="s">
        <v>74</v>
      </c>
      <c r="C355" s="8" t="s">
        <v>75</v>
      </c>
      <c r="D355" s="8" t="s">
        <v>72</v>
      </c>
      <c r="E355" s="9">
        <v>165000</v>
      </c>
      <c r="F355" s="7">
        <v>0</v>
      </c>
      <c r="G355" s="7">
        <v>30</v>
      </c>
      <c r="H355" s="9">
        <v>180000</v>
      </c>
      <c r="I355" s="9">
        <f t="shared" si="10"/>
        <v>180000</v>
      </c>
      <c r="J355" s="10">
        <v>45225</v>
      </c>
      <c r="K355" s="8" t="s">
        <v>147</v>
      </c>
      <c r="L355" s="8" t="str">
        <f>VLOOKUP(DataSales[[#This Row],[Khách hàng]],'RFM Table'!$A:$I,9,FALSE)</f>
        <v>Khách hàng Trung thành</v>
      </c>
      <c r="M355" s="9">
        <f t="shared" si="11"/>
        <v>15000</v>
      </c>
      <c r="N355" s="11">
        <v>8.3333333333333329E-2</v>
      </c>
      <c r="O355" s="7">
        <v>30</v>
      </c>
      <c r="P355" s="11">
        <v>0</v>
      </c>
      <c r="Q355" s="37">
        <v>2023</v>
      </c>
      <c r="R355" s="56">
        <f>MONTH(DataSales[[#This Row],[Ngày Xuất]])</f>
        <v>10</v>
      </c>
      <c r="S355" s="56" t="s">
        <v>776</v>
      </c>
    </row>
    <row r="356" spans="1:19" x14ac:dyDescent="0.3">
      <c r="A356" s="34">
        <v>422</v>
      </c>
      <c r="B356" s="3" t="s">
        <v>57</v>
      </c>
      <c r="C356" s="3" t="s">
        <v>58</v>
      </c>
      <c r="D356" s="3" t="s">
        <v>18</v>
      </c>
      <c r="E356" s="4">
        <v>231000</v>
      </c>
      <c r="F356" s="2">
        <v>0</v>
      </c>
      <c r="G356" s="2">
        <v>30</v>
      </c>
      <c r="H356" s="4">
        <v>300000</v>
      </c>
      <c r="I356" s="4">
        <f t="shared" si="10"/>
        <v>300000</v>
      </c>
      <c r="J356" s="5">
        <v>45225</v>
      </c>
      <c r="K356" s="3" t="s">
        <v>147</v>
      </c>
      <c r="L356" s="3" t="str">
        <f>VLOOKUP(DataSales[[#This Row],[Khách hàng]],'RFM Table'!$A:$I,9,FALSE)</f>
        <v>Khách hàng Trung thành</v>
      </c>
      <c r="M356" s="4">
        <f t="shared" si="11"/>
        <v>69000</v>
      </c>
      <c r="N356" s="6">
        <v>0.23</v>
      </c>
      <c r="O356" s="2">
        <v>30</v>
      </c>
      <c r="P356" s="6">
        <v>0</v>
      </c>
      <c r="Q356" s="36">
        <v>2023</v>
      </c>
      <c r="R356" s="56">
        <f>MONTH(DataSales[[#This Row],[Ngày Xuất]])</f>
        <v>10</v>
      </c>
      <c r="S356" s="56" t="s">
        <v>775</v>
      </c>
    </row>
    <row r="357" spans="1:19" x14ac:dyDescent="0.3">
      <c r="A357" s="35">
        <v>423</v>
      </c>
      <c r="B357" s="8" t="s">
        <v>40</v>
      </c>
      <c r="C357" s="8" t="s">
        <v>41</v>
      </c>
      <c r="D357" s="8" t="s">
        <v>18</v>
      </c>
      <c r="E357" s="9">
        <v>110000</v>
      </c>
      <c r="F357" s="7">
        <v>0</v>
      </c>
      <c r="G357" s="7">
        <v>10</v>
      </c>
      <c r="H357" s="9">
        <v>110000</v>
      </c>
      <c r="I357" s="9">
        <f t="shared" si="10"/>
        <v>110000</v>
      </c>
      <c r="J357" s="10">
        <v>45225</v>
      </c>
      <c r="K357" s="8" t="s">
        <v>147</v>
      </c>
      <c r="L357" s="8" t="str">
        <f>VLOOKUP(DataSales[[#This Row],[Khách hàng]],'RFM Table'!$A:$I,9,FALSE)</f>
        <v>Khách hàng Trung thành</v>
      </c>
      <c r="M357" s="9">
        <f t="shared" si="11"/>
        <v>0</v>
      </c>
      <c r="N357" s="11">
        <v>0</v>
      </c>
      <c r="O357" s="7">
        <v>10</v>
      </c>
      <c r="P357" s="11">
        <v>0</v>
      </c>
      <c r="Q357" s="37">
        <v>2023</v>
      </c>
      <c r="R357" s="56">
        <f>MONTH(DataSales[[#This Row],[Ngày Xuất]])</f>
        <v>10</v>
      </c>
      <c r="S357" s="56" t="s">
        <v>772</v>
      </c>
    </row>
    <row r="358" spans="1:19" x14ac:dyDescent="0.3">
      <c r="A358" s="34">
        <v>424</v>
      </c>
      <c r="B358" s="3" t="s">
        <v>86</v>
      </c>
      <c r="C358" s="3" t="s">
        <v>87</v>
      </c>
      <c r="D358" s="3" t="s">
        <v>22</v>
      </c>
      <c r="E358" s="4">
        <v>190008</v>
      </c>
      <c r="F358" s="2">
        <v>0</v>
      </c>
      <c r="G358" s="2">
        <v>12</v>
      </c>
      <c r="H358" s="4">
        <v>270000</v>
      </c>
      <c r="I358" s="4">
        <f t="shared" si="10"/>
        <v>270000</v>
      </c>
      <c r="J358" s="5">
        <v>45225</v>
      </c>
      <c r="K358" s="3" t="s">
        <v>147</v>
      </c>
      <c r="L358" s="3" t="str">
        <f>VLOOKUP(DataSales[[#This Row],[Khách hàng]],'RFM Table'!$A:$I,9,FALSE)</f>
        <v>Khách hàng Trung thành</v>
      </c>
      <c r="M358" s="4">
        <f t="shared" si="11"/>
        <v>79992</v>
      </c>
      <c r="N358" s="6">
        <v>0.29626666666666668</v>
      </c>
      <c r="O358" s="2">
        <v>12</v>
      </c>
      <c r="P358" s="6">
        <v>0</v>
      </c>
      <c r="Q358" s="36">
        <v>2023</v>
      </c>
      <c r="R358" s="56">
        <f>MONTH(DataSales[[#This Row],[Ngày Xuất]])</f>
        <v>10</v>
      </c>
      <c r="S358" s="56" t="s">
        <v>773</v>
      </c>
    </row>
    <row r="359" spans="1:19" x14ac:dyDescent="0.3">
      <c r="A359" s="35">
        <v>426</v>
      </c>
      <c r="B359" s="8" t="s">
        <v>132</v>
      </c>
      <c r="C359" s="8" t="s">
        <v>133</v>
      </c>
      <c r="D359" s="8" t="s">
        <v>47</v>
      </c>
      <c r="E359" s="9">
        <v>145000</v>
      </c>
      <c r="F359" s="7">
        <v>0</v>
      </c>
      <c r="G359" s="7">
        <v>10</v>
      </c>
      <c r="H359" s="9">
        <v>140000</v>
      </c>
      <c r="I359" s="9">
        <f t="shared" si="10"/>
        <v>140000</v>
      </c>
      <c r="J359" s="10">
        <v>45225</v>
      </c>
      <c r="K359" s="8" t="s">
        <v>159</v>
      </c>
      <c r="L359" s="8" t="str">
        <f>VLOOKUP(DataSales[[#This Row],[Khách hàng]],'RFM Table'!$A:$I,9,FALSE)</f>
        <v>Khách hàng Trung thành</v>
      </c>
      <c r="M359" s="9">
        <f t="shared" si="11"/>
        <v>-5000</v>
      </c>
      <c r="N359" s="11">
        <v>-3.5714285714285712E-2</v>
      </c>
      <c r="O359" s="7">
        <v>10</v>
      </c>
      <c r="P359" s="11">
        <v>0</v>
      </c>
      <c r="Q359" s="37">
        <v>2023</v>
      </c>
      <c r="R359" s="56">
        <f>MONTH(DataSales[[#This Row],[Ngày Xuất]])</f>
        <v>10</v>
      </c>
      <c r="S359" s="56" t="s">
        <v>776</v>
      </c>
    </row>
    <row r="360" spans="1:19" x14ac:dyDescent="0.3">
      <c r="A360" s="34">
        <v>427</v>
      </c>
      <c r="B360" s="3" t="s">
        <v>135</v>
      </c>
      <c r="C360" s="3" t="s">
        <v>136</v>
      </c>
      <c r="D360" s="3" t="s">
        <v>47</v>
      </c>
      <c r="E360" s="4">
        <v>145000</v>
      </c>
      <c r="F360" s="2">
        <v>0</v>
      </c>
      <c r="G360" s="2">
        <v>10</v>
      </c>
      <c r="H360" s="4">
        <v>140000</v>
      </c>
      <c r="I360" s="4">
        <f t="shared" si="10"/>
        <v>140000</v>
      </c>
      <c r="J360" s="5">
        <v>45225</v>
      </c>
      <c r="K360" s="3" t="s">
        <v>159</v>
      </c>
      <c r="L360" s="3" t="str">
        <f>VLOOKUP(DataSales[[#This Row],[Khách hàng]],'RFM Table'!$A:$I,9,FALSE)</f>
        <v>Khách hàng Trung thành</v>
      </c>
      <c r="M360" s="4">
        <f t="shared" si="11"/>
        <v>-5000</v>
      </c>
      <c r="N360" s="6">
        <v>-3.5714285714285712E-2</v>
      </c>
      <c r="O360" s="2">
        <v>10</v>
      </c>
      <c r="P360" s="6">
        <v>0</v>
      </c>
      <c r="Q360" s="36">
        <v>2023</v>
      </c>
      <c r="R360" s="56">
        <f>MONTH(DataSales[[#This Row],[Ngày Xuất]])</f>
        <v>10</v>
      </c>
      <c r="S360" s="56" t="s">
        <v>776</v>
      </c>
    </row>
    <row r="361" spans="1:19" x14ac:dyDescent="0.3">
      <c r="A361" s="35">
        <v>428</v>
      </c>
      <c r="B361" s="8" t="s">
        <v>440</v>
      </c>
      <c r="C361" s="8" t="s">
        <v>441</v>
      </c>
      <c r="D361" s="8" t="s">
        <v>47</v>
      </c>
      <c r="E361" s="9">
        <v>86400</v>
      </c>
      <c r="F361" s="7">
        <v>0</v>
      </c>
      <c r="G361" s="7">
        <v>3</v>
      </c>
      <c r="H361" s="9">
        <v>90000</v>
      </c>
      <c r="I361" s="9">
        <f t="shared" si="10"/>
        <v>90000</v>
      </c>
      <c r="J361" s="10">
        <v>45225</v>
      </c>
      <c r="K361" s="8" t="s">
        <v>159</v>
      </c>
      <c r="L361" s="8" t="str">
        <f>VLOOKUP(DataSales[[#This Row],[Khách hàng]],'RFM Table'!$A:$I,9,FALSE)</f>
        <v>Khách hàng Trung thành</v>
      </c>
      <c r="M361" s="9">
        <f t="shared" si="11"/>
        <v>3600</v>
      </c>
      <c r="N361" s="11">
        <v>0.04</v>
      </c>
      <c r="O361" s="7">
        <v>3</v>
      </c>
      <c r="P361" s="11">
        <v>0</v>
      </c>
      <c r="Q361" s="37">
        <v>2023</v>
      </c>
      <c r="R361" s="56">
        <f>MONTH(DataSales[[#This Row],[Ngày Xuất]])</f>
        <v>10</v>
      </c>
      <c r="S361" s="56" t="s">
        <v>776</v>
      </c>
    </row>
    <row r="362" spans="1:19" x14ac:dyDescent="0.3">
      <c r="A362" s="34">
        <v>429</v>
      </c>
      <c r="B362" s="3" t="s">
        <v>442</v>
      </c>
      <c r="C362" s="3" t="s">
        <v>443</v>
      </c>
      <c r="D362" s="3" t="s">
        <v>47</v>
      </c>
      <c r="E362" s="4">
        <v>86400</v>
      </c>
      <c r="F362" s="2">
        <v>0</v>
      </c>
      <c r="G362" s="2">
        <v>3</v>
      </c>
      <c r="H362" s="4">
        <v>90000</v>
      </c>
      <c r="I362" s="4">
        <f t="shared" si="10"/>
        <v>90000</v>
      </c>
      <c r="J362" s="5">
        <v>45225</v>
      </c>
      <c r="K362" s="3" t="s">
        <v>159</v>
      </c>
      <c r="L362" s="3" t="str">
        <f>VLOOKUP(DataSales[[#This Row],[Khách hàng]],'RFM Table'!$A:$I,9,FALSE)</f>
        <v>Khách hàng Trung thành</v>
      </c>
      <c r="M362" s="4">
        <f t="shared" si="11"/>
        <v>3600</v>
      </c>
      <c r="N362" s="6">
        <v>0.04</v>
      </c>
      <c r="O362" s="2">
        <v>3</v>
      </c>
      <c r="P362" s="6">
        <v>0</v>
      </c>
      <c r="Q362" s="36">
        <v>2023</v>
      </c>
      <c r="R362" s="56">
        <f>MONTH(DataSales[[#This Row],[Ngày Xuất]])</f>
        <v>10</v>
      </c>
      <c r="S362" s="56" t="s">
        <v>776</v>
      </c>
    </row>
    <row r="363" spans="1:19" x14ac:dyDescent="0.3">
      <c r="A363" s="35">
        <v>430</v>
      </c>
      <c r="B363" s="8" t="s">
        <v>444</v>
      </c>
      <c r="C363" s="8" t="s">
        <v>445</v>
      </c>
      <c r="D363" s="8" t="s">
        <v>18</v>
      </c>
      <c r="E363" s="9">
        <v>540000</v>
      </c>
      <c r="F363" s="7">
        <v>0</v>
      </c>
      <c r="G363" s="7">
        <v>60</v>
      </c>
      <c r="H363" s="9">
        <v>1080000</v>
      </c>
      <c r="I363" s="9">
        <f t="shared" si="10"/>
        <v>1080000</v>
      </c>
      <c r="J363" s="10">
        <v>45225</v>
      </c>
      <c r="K363" s="8" t="s">
        <v>159</v>
      </c>
      <c r="L363" s="8" t="str">
        <f>VLOOKUP(DataSales[[#This Row],[Khách hàng]],'RFM Table'!$A:$I,9,FALSE)</f>
        <v>Khách hàng Trung thành</v>
      </c>
      <c r="M363" s="9">
        <f t="shared" si="11"/>
        <v>540000</v>
      </c>
      <c r="N363" s="11">
        <v>0.5</v>
      </c>
      <c r="O363" s="7">
        <v>60</v>
      </c>
      <c r="P363" s="11">
        <v>0</v>
      </c>
      <c r="Q363" s="37">
        <v>2023</v>
      </c>
      <c r="R363" s="56">
        <f>MONTH(DataSales[[#This Row],[Ngày Xuất]])</f>
        <v>10</v>
      </c>
      <c r="S363" s="56" t="s">
        <v>775</v>
      </c>
    </row>
    <row r="364" spans="1:19" x14ac:dyDescent="0.3">
      <c r="A364" s="34">
        <v>431</v>
      </c>
      <c r="B364" s="3" t="s">
        <v>57</v>
      </c>
      <c r="C364" s="3" t="s">
        <v>58</v>
      </c>
      <c r="D364" s="3" t="s">
        <v>18</v>
      </c>
      <c r="E364" s="4">
        <v>231000</v>
      </c>
      <c r="F364" s="2">
        <v>0</v>
      </c>
      <c r="G364" s="2">
        <v>30</v>
      </c>
      <c r="H364" s="4">
        <v>300000</v>
      </c>
      <c r="I364" s="4">
        <f t="shared" si="10"/>
        <v>300000</v>
      </c>
      <c r="J364" s="5">
        <v>45225</v>
      </c>
      <c r="K364" s="3" t="s">
        <v>446</v>
      </c>
      <c r="L364" s="3" t="str">
        <f>VLOOKUP(DataSales[[#This Row],[Khách hàng]],'RFM Table'!$A:$I,9,FALSE)</f>
        <v>Khách hàng Cần chú ý</v>
      </c>
      <c r="M364" s="4">
        <f t="shared" si="11"/>
        <v>69000</v>
      </c>
      <c r="N364" s="6">
        <v>0.23</v>
      </c>
      <c r="O364" s="2">
        <v>30</v>
      </c>
      <c r="P364" s="6">
        <v>0</v>
      </c>
      <c r="Q364" s="36">
        <v>2023</v>
      </c>
      <c r="R364" s="56">
        <f>MONTH(DataSales[[#This Row],[Ngày Xuất]])</f>
        <v>10</v>
      </c>
      <c r="S364" s="56" t="s">
        <v>775</v>
      </c>
    </row>
    <row r="365" spans="1:19" x14ac:dyDescent="0.3">
      <c r="A365" s="35">
        <v>432</v>
      </c>
      <c r="B365" s="8" t="s">
        <v>447</v>
      </c>
      <c r="C365" s="8" t="s">
        <v>448</v>
      </c>
      <c r="D365" s="8" t="s">
        <v>47</v>
      </c>
      <c r="E365" s="9">
        <v>90000</v>
      </c>
      <c r="F365" s="7">
        <v>1</v>
      </c>
      <c r="G365" s="7">
        <v>12</v>
      </c>
      <c r="H365" s="9">
        <v>133000</v>
      </c>
      <c r="I365" s="9">
        <f t="shared" si="10"/>
        <v>133000</v>
      </c>
      <c r="J365" s="10">
        <v>45225</v>
      </c>
      <c r="K365" s="8" t="s">
        <v>303</v>
      </c>
      <c r="L365" s="8" t="str">
        <f>VLOOKUP(DataSales[[#This Row],[Khách hàng]],'RFM Table'!$A:$I,9,FALSE)</f>
        <v>Khách hàng Trung thành</v>
      </c>
      <c r="M365" s="9">
        <f t="shared" si="11"/>
        <v>43000</v>
      </c>
      <c r="N365" s="11">
        <v>0.32330827067669171</v>
      </c>
      <c r="O365" s="7">
        <v>13</v>
      </c>
      <c r="P365" s="11">
        <v>7.6923076923076927E-2</v>
      </c>
      <c r="Q365" s="37">
        <v>2023</v>
      </c>
      <c r="R365" s="56">
        <f>MONTH(DataSales[[#This Row],[Ngày Xuất]])</f>
        <v>10</v>
      </c>
      <c r="S365" s="56" t="s">
        <v>773</v>
      </c>
    </row>
    <row r="366" spans="1:19" x14ac:dyDescent="0.3">
      <c r="A366" s="34">
        <v>433</v>
      </c>
      <c r="B366" s="3" t="s">
        <v>407</v>
      </c>
      <c r="C366" s="3" t="s">
        <v>408</v>
      </c>
      <c r="D366" s="3" t="s">
        <v>158</v>
      </c>
      <c r="E366" s="4">
        <v>260000</v>
      </c>
      <c r="F366" s="2">
        <v>0</v>
      </c>
      <c r="G366" s="2">
        <v>10</v>
      </c>
      <c r="H366" s="4">
        <v>240000</v>
      </c>
      <c r="I366" s="4">
        <f t="shared" si="10"/>
        <v>240000</v>
      </c>
      <c r="J366" s="5">
        <v>45226</v>
      </c>
      <c r="K366" s="3" t="s">
        <v>89</v>
      </c>
      <c r="L366" s="3" t="str">
        <f>VLOOKUP(DataSales[[#This Row],[Khách hàng]],'RFM Table'!$A:$I,9,FALSE)</f>
        <v>Khách hàng VIP</v>
      </c>
      <c r="M366" s="4">
        <f t="shared" si="11"/>
        <v>-20000</v>
      </c>
      <c r="N366" s="6">
        <v>-8.3333333333333329E-2</v>
      </c>
      <c r="O366" s="2">
        <v>10</v>
      </c>
      <c r="P366" s="6">
        <v>0</v>
      </c>
      <c r="Q366" s="36">
        <v>2023</v>
      </c>
      <c r="R366" s="56">
        <f>MONTH(DataSales[[#This Row],[Ngày Xuất]])</f>
        <v>10</v>
      </c>
      <c r="S366" s="56" t="s">
        <v>779</v>
      </c>
    </row>
    <row r="367" spans="1:19" x14ac:dyDescent="0.3">
      <c r="A367" s="35">
        <v>434</v>
      </c>
      <c r="B367" s="8" t="s">
        <v>200</v>
      </c>
      <c r="C367" s="8" t="s">
        <v>201</v>
      </c>
      <c r="D367" s="8" t="s">
        <v>32</v>
      </c>
      <c r="E367" s="9">
        <v>265716</v>
      </c>
      <c r="F367" s="7">
        <v>0</v>
      </c>
      <c r="G367" s="7">
        <v>12</v>
      </c>
      <c r="H367" s="9">
        <v>360000</v>
      </c>
      <c r="I367" s="9">
        <f t="shared" si="10"/>
        <v>360000</v>
      </c>
      <c r="J367" s="10">
        <v>45226</v>
      </c>
      <c r="K367" s="8" t="s">
        <v>449</v>
      </c>
      <c r="L367" s="8" t="str">
        <f>VLOOKUP(DataSales[[#This Row],[Khách hàng]],'RFM Table'!$A:$I,9,FALSE)</f>
        <v>Khách hàng Cần chú ý</v>
      </c>
      <c r="M367" s="9">
        <f t="shared" si="11"/>
        <v>94284</v>
      </c>
      <c r="N367" s="11">
        <v>0.26190000000000002</v>
      </c>
      <c r="O367" s="7">
        <v>12</v>
      </c>
      <c r="P367" s="11">
        <v>0</v>
      </c>
      <c r="Q367" s="37">
        <v>2023</v>
      </c>
      <c r="R367" s="56">
        <f>MONTH(DataSales[[#This Row],[Ngày Xuất]])</f>
        <v>10</v>
      </c>
      <c r="S367" s="56" t="s">
        <v>779</v>
      </c>
    </row>
    <row r="368" spans="1:19" x14ac:dyDescent="0.3">
      <c r="A368" s="34">
        <v>435</v>
      </c>
      <c r="B368" s="3" t="s">
        <v>67</v>
      </c>
      <c r="C368" s="3" t="s">
        <v>68</v>
      </c>
      <c r="D368" s="3" t="s">
        <v>25</v>
      </c>
      <c r="E368" s="4">
        <v>170000</v>
      </c>
      <c r="F368" s="2">
        <v>0</v>
      </c>
      <c r="G368" s="2">
        <v>2</v>
      </c>
      <c r="H368" s="4">
        <v>240000</v>
      </c>
      <c r="I368" s="4">
        <f t="shared" si="10"/>
        <v>240000</v>
      </c>
      <c r="J368" s="5">
        <v>45226</v>
      </c>
      <c r="K368" s="3" t="s">
        <v>450</v>
      </c>
      <c r="L368" s="3" t="str">
        <f>VLOOKUP(DataSales[[#This Row],[Khách hàng]],'RFM Table'!$A:$I,9,FALSE)</f>
        <v>Khách hàng Cần chú ý</v>
      </c>
      <c r="M368" s="4">
        <f t="shared" si="11"/>
        <v>70000</v>
      </c>
      <c r="N368" s="6">
        <v>0.29166666666666669</v>
      </c>
      <c r="O368" s="2">
        <v>2</v>
      </c>
      <c r="P368" s="6">
        <v>0</v>
      </c>
      <c r="Q368" s="36">
        <v>2023</v>
      </c>
      <c r="R368" s="56">
        <f>MONTH(DataSales[[#This Row],[Ngày Xuất]])</f>
        <v>10</v>
      </c>
      <c r="S368" s="56" t="s">
        <v>773</v>
      </c>
    </row>
    <row r="369" spans="1:19" x14ac:dyDescent="0.3">
      <c r="A369" s="35">
        <v>436</v>
      </c>
      <c r="B369" s="8" t="s">
        <v>451</v>
      </c>
      <c r="C369" s="8" t="s">
        <v>452</v>
      </c>
      <c r="D369" s="8" t="s">
        <v>25</v>
      </c>
      <c r="E369" s="9">
        <v>170000</v>
      </c>
      <c r="F369" s="7">
        <v>0</v>
      </c>
      <c r="G369" s="7">
        <v>2</v>
      </c>
      <c r="H369" s="9">
        <v>240000</v>
      </c>
      <c r="I369" s="9">
        <f t="shared" si="10"/>
        <v>240000</v>
      </c>
      <c r="J369" s="10">
        <v>45226</v>
      </c>
      <c r="K369" s="8" t="s">
        <v>450</v>
      </c>
      <c r="L369" s="8" t="str">
        <f>VLOOKUP(DataSales[[#This Row],[Khách hàng]],'RFM Table'!$A:$I,9,FALSE)</f>
        <v>Khách hàng Cần chú ý</v>
      </c>
      <c r="M369" s="9">
        <f t="shared" si="11"/>
        <v>70000</v>
      </c>
      <c r="N369" s="11">
        <v>0.29166666666666669</v>
      </c>
      <c r="O369" s="7">
        <v>2</v>
      </c>
      <c r="P369" s="11">
        <v>0</v>
      </c>
      <c r="Q369" s="37">
        <v>2023</v>
      </c>
      <c r="R369" s="56">
        <f>MONTH(DataSales[[#This Row],[Ngày Xuất]])</f>
        <v>10</v>
      </c>
      <c r="S369" s="56" t="s">
        <v>773</v>
      </c>
    </row>
    <row r="370" spans="1:19" x14ac:dyDescent="0.3">
      <c r="A370" s="34">
        <v>437</v>
      </c>
      <c r="B370" s="3" t="s">
        <v>16</v>
      </c>
      <c r="C370" s="3" t="s">
        <v>17</v>
      </c>
      <c r="D370" s="3" t="s">
        <v>18</v>
      </c>
      <c r="E370" s="4">
        <v>172800</v>
      </c>
      <c r="F370" s="2">
        <v>2</v>
      </c>
      <c r="G370" s="2">
        <v>24</v>
      </c>
      <c r="H370" s="4">
        <v>268000</v>
      </c>
      <c r="I370" s="4">
        <f t="shared" si="10"/>
        <v>268000</v>
      </c>
      <c r="J370" s="5">
        <v>45226</v>
      </c>
      <c r="K370" s="3" t="s">
        <v>453</v>
      </c>
      <c r="L370" s="3" t="str">
        <f>VLOOKUP(DataSales[[#This Row],[Khách hàng]],'RFM Table'!$A:$I,9,FALSE)</f>
        <v>Khách hàng Cần chú ý</v>
      </c>
      <c r="M370" s="4">
        <f t="shared" si="11"/>
        <v>95200</v>
      </c>
      <c r="N370" s="6">
        <v>0.35522388059701487</v>
      </c>
      <c r="O370" s="2">
        <v>26</v>
      </c>
      <c r="P370" s="6">
        <v>7.6923076923076927E-2</v>
      </c>
      <c r="Q370" s="36">
        <v>2023</v>
      </c>
      <c r="R370" s="56">
        <f>MONTH(DataSales[[#This Row],[Ngày Xuất]])</f>
        <v>10</v>
      </c>
      <c r="S370" s="56" t="s">
        <v>772</v>
      </c>
    </row>
    <row r="371" spans="1:19" x14ac:dyDescent="0.3">
      <c r="A371" s="35">
        <v>439</v>
      </c>
      <c r="B371" s="8" t="s">
        <v>454</v>
      </c>
      <c r="C371" s="8" t="s">
        <v>455</v>
      </c>
      <c r="D371" s="8" t="s">
        <v>18</v>
      </c>
      <c r="E371" s="9">
        <v>211200</v>
      </c>
      <c r="F371" s="7">
        <v>2</v>
      </c>
      <c r="G371" s="7">
        <v>10</v>
      </c>
      <c r="H371" s="9">
        <v>184000</v>
      </c>
      <c r="I371" s="9">
        <f t="shared" si="10"/>
        <v>184000</v>
      </c>
      <c r="J371" s="10">
        <v>45226</v>
      </c>
      <c r="K371" s="8" t="s">
        <v>456</v>
      </c>
      <c r="L371" s="8" t="str">
        <f>VLOOKUP(DataSales[[#This Row],[Khách hàng]],'RFM Table'!$A:$I,9,FALSE)</f>
        <v>Khách hàng Cần chú ý</v>
      </c>
      <c r="M371" s="9">
        <f t="shared" si="11"/>
        <v>-27200</v>
      </c>
      <c r="N371" s="11">
        <v>-0.14782608695652169</v>
      </c>
      <c r="O371" s="7">
        <v>12</v>
      </c>
      <c r="P371" s="11">
        <v>0.16666666666666671</v>
      </c>
      <c r="Q371" s="37">
        <v>2023</v>
      </c>
      <c r="R371" s="56">
        <f>MONTH(DataSales[[#This Row],[Ngày Xuất]])</f>
        <v>10</v>
      </c>
      <c r="S371" s="56" t="s">
        <v>772</v>
      </c>
    </row>
    <row r="372" spans="1:19" x14ac:dyDescent="0.3">
      <c r="A372" s="34">
        <v>440</v>
      </c>
      <c r="B372" s="3" t="s">
        <v>119</v>
      </c>
      <c r="C372" s="3" t="s">
        <v>120</v>
      </c>
      <c r="D372" s="3" t="s">
        <v>47</v>
      </c>
      <c r="E372" s="4">
        <v>300000</v>
      </c>
      <c r="F372" s="2">
        <v>3</v>
      </c>
      <c r="G372" s="2">
        <v>3</v>
      </c>
      <c r="H372" s="4">
        <v>327000</v>
      </c>
      <c r="I372" s="4">
        <f t="shared" si="10"/>
        <v>327000</v>
      </c>
      <c r="J372" s="5">
        <v>45227</v>
      </c>
      <c r="K372" s="3" t="s">
        <v>457</v>
      </c>
      <c r="L372" s="3" t="str">
        <f>VLOOKUP(DataSales[[#This Row],[Khách hàng]],'RFM Table'!$A:$I,9,FALSE)</f>
        <v>Khách hàng Tiềm năng</v>
      </c>
      <c r="M372" s="4">
        <f t="shared" si="11"/>
        <v>27000</v>
      </c>
      <c r="N372" s="6">
        <v>8.2568807339449546E-2</v>
      </c>
      <c r="O372" s="2">
        <v>6</v>
      </c>
      <c r="P372" s="6">
        <v>0.5</v>
      </c>
      <c r="Q372" s="36">
        <v>2023</v>
      </c>
      <c r="R372" s="56">
        <f>MONTH(DataSales[[#This Row],[Ngày Xuất]])</f>
        <v>10</v>
      </c>
      <c r="S372" s="56" t="s">
        <v>779</v>
      </c>
    </row>
    <row r="373" spans="1:19" x14ac:dyDescent="0.3">
      <c r="A373" s="35">
        <v>441</v>
      </c>
      <c r="B373" s="8" t="s">
        <v>40</v>
      </c>
      <c r="C373" s="8" t="s">
        <v>41</v>
      </c>
      <c r="D373" s="8" t="s">
        <v>18</v>
      </c>
      <c r="E373" s="9">
        <v>528000</v>
      </c>
      <c r="F373" s="7">
        <v>6</v>
      </c>
      <c r="G373" s="7">
        <v>48</v>
      </c>
      <c r="H373" s="9">
        <v>516000</v>
      </c>
      <c r="I373" s="9">
        <f t="shared" si="10"/>
        <v>516000</v>
      </c>
      <c r="J373" s="10">
        <v>45227</v>
      </c>
      <c r="K373" s="8" t="s">
        <v>42</v>
      </c>
      <c r="L373" s="8" t="str">
        <f>VLOOKUP(DataSales[[#This Row],[Khách hàng]],'RFM Table'!$A:$I,9,FALSE)</f>
        <v>Khách hàng Trung thành</v>
      </c>
      <c r="M373" s="9">
        <f t="shared" si="11"/>
        <v>-12000</v>
      </c>
      <c r="N373" s="11">
        <v>-2.3255813953488368E-2</v>
      </c>
      <c r="O373" s="7">
        <v>54</v>
      </c>
      <c r="P373" s="11">
        <v>0.1111111111111111</v>
      </c>
      <c r="Q373" s="37">
        <v>2023</v>
      </c>
      <c r="R373" s="56">
        <f>MONTH(DataSales[[#This Row],[Ngày Xuất]])</f>
        <v>10</v>
      </c>
      <c r="S373" s="56" t="s">
        <v>772</v>
      </c>
    </row>
    <row r="374" spans="1:19" x14ac:dyDescent="0.3">
      <c r="A374" s="34">
        <v>442</v>
      </c>
      <c r="B374" s="3" t="s">
        <v>187</v>
      </c>
      <c r="C374" s="3" t="s">
        <v>188</v>
      </c>
      <c r="D374" s="3" t="s">
        <v>18</v>
      </c>
      <c r="E374" s="4">
        <v>225000</v>
      </c>
      <c r="F374" s="2">
        <v>3</v>
      </c>
      <c r="G374" s="2">
        <v>30</v>
      </c>
      <c r="H374" s="4">
        <v>300000</v>
      </c>
      <c r="I374" s="4">
        <f t="shared" si="10"/>
        <v>300000</v>
      </c>
      <c r="J374" s="5">
        <v>45227</v>
      </c>
      <c r="K374" s="3" t="s">
        <v>88</v>
      </c>
      <c r="L374" s="3" t="str">
        <f>VLOOKUP(DataSales[[#This Row],[Khách hàng]],'RFM Table'!$A:$I,9,FALSE)</f>
        <v>Khách hàng Trung thành</v>
      </c>
      <c r="M374" s="4">
        <f t="shared" si="11"/>
        <v>75000</v>
      </c>
      <c r="N374" s="6">
        <v>0.25</v>
      </c>
      <c r="O374" s="2">
        <v>33</v>
      </c>
      <c r="P374" s="6">
        <v>9.0909090909090912E-2</v>
      </c>
      <c r="Q374" s="36">
        <v>2023</v>
      </c>
      <c r="R374" s="56">
        <f>MONTH(DataSales[[#This Row],[Ngày Xuất]])</f>
        <v>10</v>
      </c>
      <c r="S374" s="56" t="s">
        <v>772</v>
      </c>
    </row>
    <row r="375" spans="1:19" x14ac:dyDescent="0.3">
      <c r="A375" s="35">
        <v>443</v>
      </c>
      <c r="B375" s="8" t="s">
        <v>45</v>
      </c>
      <c r="C375" s="8" t="s">
        <v>46</v>
      </c>
      <c r="D375" s="8" t="s">
        <v>47</v>
      </c>
      <c r="E375" s="9">
        <v>120756</v>
      </c>
      <c r="F375" s="7">
        <v>0</v>
      </c>
      <c r="G375" s="7">
        <v>2</v>
      </c>
      <c r="H375" s="9">
        <v>108000</v>
      </c>
      <c r="I375" s="9">
        <f t="shared" si="10"/>
        <v>108000</v>
      </c>
      <c r="J375" s="10">
        <v>45227</v>
      </c>
      <c r="K375" s="8" t="s">
        <v>458</v>
      </c>
      <c r="L375" s="8" t="str">
        <f>VLOOKUP(DataSales[[#This Row],[Khách hàng]],'RFM Table'!$A:$I,9,FALSE)</f>
        <v>Khách hàng Tiềm năng</v>
      </c>
      <c r="M375" s="9">
        <f t="shared" si="11"/>
        <v>-12756</v>
      </c>
      <c r="N375" s="11">
        <v>-0.1181111111111111</v>
      </c>
      <c r="O375" s="7">
        <v>2</v>
      </c>
      <c r="P375" s="11">
        <v>0</v>
      </c>
      <c r="Q375" s="37">
        <v>2023</v>
      </c>
      <c r="R375" s="56">
        <f>MONTH(DataSales[[#This Row],[Ngày Xuất]])</f>
        <v>10</v>
      </c>
      <c r="S375" s="56" t="s">
        <v>776</v>
      </c>
    </row>
    <row r="376" spans="1:19" x14ac:dyDescent="0.3">
      <c r="A376" s="34">
        <v>444</v>
      </c>
      <c r="B376" s="3" t="s">
        <v>57</v>
      </c>
      <c r="C376" s="3" t="s">
        <v>58</v>
      </c>
      <c r="D376" s="3" t="s">
        <v>18</v>
      </c>
      <c r="E376" s="4">
        <v>231000</v>
      </c>
      <c r="F376" s="2">
        <v>0</v>
      </c>
      <c r="G376" s="2">
        <v>30</v>
      </c>
      <c r="H376" s="4">
        <v>300000</v>
      </c>
      <c r="I376" s="4">
        <f t="shared" si="10"/>
        <v>300000</v>
      </c>
      <c r="J376" s="5">
        <v>45227</v>
      </c>
      <c r="K376" s="3" t="s">
        <v>204</v>
      </c>
      <c r="L376" s="3" t="str">
        <f>VLOOKUP(DataSales[[#This Row],[Khách hàng]],'RFM Table'!$A:$I,9,FALSE)</f>
        <v>Khách hàng VIP</v>
      </c>
      <c r="M376" s="4">
        <f t="shared" si="11"/>
        <v>69000</v>
      </c>
      <c r="N376" s="6">
        <v>0.23</v>
      </c>
      <c r="O376" s="2">
        <v>30</v>
      </c>
      <c r="P376" s="6">
        <v>0</v>
      </c>
      <c r="Q376" s="36">
        <v>2023</v>
      </c>
      <c r="R376" s="56">
        <f>MONTH(DataSales[[#This Row],[Ngày Xuất]])</f>
        <v>10</v>
      </c>
      <c r="S376" s="56" t="s">
        <v>775</v>
      </c>
    </row>
    <row r="377" spans="1:19" x14ac:dyDescent="0.3">
      <c r="A377" s="35">
        <v>445</v>
      </c>
      <c r="B377" s="8" t="s">
        <v>30</v>
      </c>
      <c r="C377" s="8" t="s">
        <v>31</v>
      </c>
      <c r="D377" s="8" t="s">
        <v>32</v>
      </c>
      <c r="E377" s="9">
        <v>46800</v>
      </c>
      <c r="F377" s="7">
        <v>0</v>
      </c>
      <c r="G377" s="7">
        <v>6</v>
      </c>
      <c r="H377" s="9">
        <v>66000</v>
      </c>
      <c r="I377" s="9">
        <f t="shared" si="10"/>
        <v>66000</v>
      </c>
      <c r="J377" s="10">
        <v>45227</v>
      </c>
      <c r="K377" s="8" t="s">
        <v>265</v>
      </c>
      <c r="L377" s="8" t="str">
        <f>VLOOKUP(DataSales[[#This Row],[Khách hàng]],'RFM Table'!$A:$I,9,FALSE)</f>
        <v>Khách hàng VIP</v>
      </c>
      <c r="M377" s="9">
        <f t="shared" si="11"/>
        <v>19200</v>
      </c>
      <c r="N377" s="11">
        <v>0.29090909090909089</v>
      </c>
      <c r="O377" s="7">
        <v>6</v>
      </c>
      <c r="P377" s="11">
        <v>0</v>
      </c>
      <c r="Q377" s="37">
        <v>2023</v>
      </c>
      <c r="R377" s="56">
        <f>MONTH(DataSales[[#This Row],[Ngày Xuất]])</f>
        <v>10</v>
      </c>
      <c r="S377" s="56" t="s">
        <v>774</v>
      </c>
    </row>
    <row r="378" spans="1:19" x14ac:dyDescent="0.3">
      <c r="A378" s="34">
        <v>446</v>
      </c>
      <c r="B378" s="3" t="s">
        <v>34</v>
      </c>
      <c r="C378" s="3" t="s">
        <v>35</v>
      </c>
      <c r="D378" s="3" t="s">
        <v>32</v>
      </c>
      <c r="E378" s="4">
        <v>46800</v>
      </c>
      <c r="F378" s="2">
        <v>0</v>
      </c>
      <c r="G378" s="2">
        <v>6</v>
      </c>
      <c r="H378" s="4">
        <v>66000</v>
      </c>
      <c r="I378" s="4">
        <f t="shared" si="10"/>
        <v>66000</v>
      </c>
      <c r="J378" s="5">
        <v>45227</v>
      </c>
      <c r="K378" s="3" t="s">
        <v>265</v>
      </c>
      <c r="L378" s="3" t="str">
        <f>VLOOKUP(DataSales[[#This Row],[Khách hàng]],'RFM Table'!$A:$I,9,FALSE)</f>
        <v>Khách hàng VIP</v>
      </c>
      <c r="M378" s="4">
        <f t="shared" si="11"/>
        <v>19200</v>
      </c>
      <c r="N378" s="6">
        <v>0.29090909090909089</v>
      </c>
      <c r="O378" s="2">
        <v>6</v>
      </c>
      <c r="P378" s="6">
        <v>0</v>
      </c>
      <c r="Q378" s="36">
        <v>2023</v>
      </c>
      <c r="R378" s="56">
        <f>MONTH(DataSales[[#This Row],[Ngày Xuất]])</f>
        <v>10</v>
      </c>
      <c r="S378" s="56" t="s">
        <v>774</v>
      </c>
    </row>
    <row r="379" spans="1:19" x14ac:dyDescent="0.3">
      <c r="A379" s="35">
        <v>447</v>
      </c>
      <c r="B379" s="8" t="s">
        <v>36</v>
      </c>
      <c r="C379" s="8" t="s">
        <v>37</v>
      </c>
      <c r="D379" s="8" t="s">
        <v>32</v>
      </c>
      <c r="E379" s="9">
        <v>46800</v>
      </c>
      <c r="F379" s="7">
        <v>0</v>
      </c>
      <c r="G379" s="7">
        <v>6</v>
      </c>
      <c r="H379" s="9">
        <v>66000</v>
      </c>
      <c r="I379" s="9">
        <f t="shared" si="10"/>
        <v>66000</v>
      </c>
      <c r="J379" s="10">
        <v>45227</v>
      </c>
      <c r="K379" s="8" t="s">
        <v>265</v>
      </c>
      <c r="L379" s="8" t="str">
        <f>VLOOKUP(DataSales[[#This Row],[Khách hàng]],'RFM Table'!$A:$I,9,FALSE)</f>
        <v>Khách hàng VIP</v>
      </c>
      <c r="M379" s="9">
        <f t="shared" si="11"/>
        <v>19200</v>
      </c>
      <c r="N379" s="11">
        <v>0.29090909090909089</v>
      </c>
      <c r="O379" s="7">
        <v>6</v>
      </c>
      <c r="P379" s="11">
        <v>0</v>
      </c>
      <c r="Q379" s="37">
        <v>2023</v>
      </c>
      <c r="R379" s="56">
        <f>MONTH(DataSales[[#This Row],[Ngày Xuất]])</f>
        <v>10</v>
      </c>
      <c r="S379" s="56" t="s">
        <v>774</v>
      </c>
    </row>
    <row r="380" spans="1:19" x14ac:dyDescent="0.3">
      <c r="A380" s="34">
        <v>448</v>
      </c>
      <c r="B380" s="3" t="s">
        <v>45</v>
      </c>
      <c r="C380" s="3" t="s">
        <v>46</v>
      </c>
      <c r="D380" s="3" t="s">
        <v>47</v>
      </c>
      <c r="E380" s="4">
        <v>120756</v>
      </c>
      <c r="F380" s="2">
        <v>0</v>
      </c>
      <c r="G380" s="2">
        <v>2</v>
      </c>
      <c r="H380" s="4">
        <v>104000</v>
      </c>
      <c r="I380" s="4">
        <f t="shared" si="10"/>
        <v>104000</v>
      </c>
      <c r="J380" s="5">
        <v>45227</v>
      </c>
      <c r="K380" s="3" t="s">
        <v>459</v>
      </c>
      <c r="L380" s="3" t="str">
        <f>VLOOKUP(DataSales[[#This Row],[Khách hàng]],'RFM Table'!$A:$I,9,FALSE)</f>
        <v>Khách hàng Trung thành</v>
      </c>
      <c r="M380" s="4">
        <f t="shared" si="11"/>
        <v>-16756</v>
      </c>
      <c r="N380" s="6">
        <v>-0.1611153846153846</v>
      </c>
      <c r="O380" s="2">
        <v>2</v>
      </c>
      <c r="P380" s="6">
        <v>0</v>
      </c>
      <c r="Q380" s="36">
        <v>2023</v>
      </c>
      <c r="R380" s="56">
        <f>MONTH(DataSales[[#This Row],[Ngày Xuất]])</f>
        <v>10</v>
      </c>
      <c r="S380" s="56" t="s">
        <v>776</v>
      </c>
    </row>
    <row r="381" spans="1:19" x14ac:dyDescent="0.3">
      <c r="A381" s="35">
        <v>449</v>
      </c>
      <c r="B381" s="8" t="s">
        <v>460</v>
      </c>
      <c r="C381" s="8" t="s">
        <v>461</v>
      </c>
      <c r="D381" s="8" t="s">
        <v>32</v>
      </c>
      <c r="E381" s="9">
        <v>170200</v>
      </c>
      <c r="F381" s="7">
        <v>0</v>
      </c>
      <c r="G381" s="7">
        <v>5</v>
      </c>
      <c r="H381" s="9">
        <v>150000</v>
      </c>
      <c r="I381" s="9">
        <f t="shared" si="10"/>
        <v>150000</v>
      </c>
      <c r="J381" s="10">
        <v>45227</v>
      </c>
      <c r="K381" s="8" t="s">
        <v>459</v>
      </c>
      <c r="L381" s="8" t="str">
        <f>VLOOKUP(DataSales[[#This Row],[Khách hàng]],'RFM Table'!$A:$I,9,FALSE)</f>
        <v>Khách hàng Trung thành</v>
      </c>
      <c r="M381" s="9">
        <f t="shared" si="11"/>
        <v>-20200</v>
      </c>
      <c r="N381" s="11">
        <v>-0.13466666666666671</v>
      </c>
      <c r="O381" s="7">
        <v>5</v>
      </c>
      <c r="P381" s="11">
        <v>0</v>
      </c>
      <c r="Q381" s="37">
        <v>2023</v>
      </c>
      <c r="R381" s="56">
        <f>MONTH(DataSales[[#This Row],[Ngày Xuất]])</f>
        <v>10</v>
      </c>
      <c r="S381" s="56" t="s">
        <v>774</v>
      </c>
    </row>
    <row r="382" spans="1:19" x14ac:dyDescent="0.3">
      <c r="A382" s="34">
        <v>450</v>
      </c>
      <c r="B382" s="3" t="s">
        <v>462</v>
      </c>
      <c r="C382" s="3" t="s">
        <v>463</v>
      </c>
      <c r="D382" s="3" t="s">
        <v>32</v>
      </c>
      <c r="E382" s="4">
        <v>212500</v>
      </c>
      <c r="F382" s="2">
        <v>0</v>
      </c>
      <c r="G382" s="2">
        <v>5</v>
      </c>
      <c r="H382" s="4">
        <v>150000</v>
      </c>
      <c r="I382" s="4">
        <f t="shared" si="10"/>
        <v>150000</v>
      </c>
      <c r="J382" s="5">
        <v>45227</v>
      </c>
      <c r="K382" s="3" t="s">
        <v>459</v>
      </c>
      <c r="L382" s="3" t="str">
        <f>VLOOKUP(DataSales[[#This Row],[Khách hàng]],'RFM Table'!$A:$I,9,FALSE)</f>
        <v>Khách hàng Trung thành</v>
      </c>
      <c r="M382" s="4">
        <f t="shared" si="11"/>
        <v>-62500</v>
      </c>
      <c r="N382" s="6">
        <v>-0.41666666666666669</v>
      </c>
      <c r="O382" s="2">
        <v>5</v>
      </c>
      <c r="P382" s="6">
        <v>0</v>
      </c>
      <c r="Q382" s="36">
        <v>2023</v>
      </c>
      <c r="R382" s="56">
        <f>MONTH(DataSales[[#This Row],[Ngày Xuất]])</f>
        <v>10</v>
      </c>
      <c r="S382" s="56" t="s">
        <v>774</v>
      </c>
    </row>
    <row r="383" spans="1:19" x14ac:dyDescent="0.3">
      <c r="A383" s="35">
        <v>451</v>
      </c>
      <c r="B383" s="8" t="s">
        <v>464</v>
      </c>
      <c r="C383" s="8" t="s">
        <v>465</v>
      </c>
      <c r="D383" s="8" t="s">
        <v>32</v>
      </c>
      <c r="E383" s="9">
        <v>275000</v>
      </c>
      <c r="F383" s="7">
        <v>0</v>
      </c>
      <c r="G383" s="7">
        <v>50</v>
      </c>
      <c r="H383" s="9">
        <v>400000</v>
      </c>
      <c r="I383" s="9">
        <f t="shared" si="10"/>
        <v>400000</v>
      </c>
      <c r="J383" s="10">
        <v>45227</v>
      </c>
      <c r="K383" s="8" t="s">
        <v>459</v>
      </c>
      <c r="L383" s="8" t="str">
        <f>VLOOKUP(DataSales[[#This Row],[Khách hàng]],'RFM Table'!$A:$I,9,FALSE)</f>
        <v>Khách hàng Trung thành</v>
      </c>
      <c r="M383" s="9">
        <f t="shared" si="11"/>
        <v>125000</v>
      </c>
      <c r="N383" s="11">
        <v>0.3125</v>
      </c>
      <c r="O383" s="7">
        <v>50</v>
      </c>
      <c r="P383" s="11">
        <v>0</v>
      </c>
      <c r="Q383" s="37">
        <v>2023</v>
      </c>
      <c r="R383" s="56">
        <f>MONTH(DataSales[[#This Row],[Ngày Xuất]])</f>
        <v>10</v>
      </c>
      <c r="S383" s="56" t="s">
        <v>774</v>
      </c>
    </row>
    <row r="384" spans="1:19" x14ac:dyDescent="0.3">
      <c r="A384" s="34">
        <v>452</v>
      </c>
      <c r="B384" s="3" t="s">
        <v>327</v>
      </c>
      <c r="C384" s="3" t="s">
        <v>328</v>
      </c>
      <c r="D384" s="3" t="s">
        <v>32</v>
      </c>
      <c r="E384" s="4">
        <v>240000</v>
      </c>
      <c r="F384" s="2">
        <v>0</v>
      </c>
      <c r="G384" s="2">
        <v>5</v>
      </c>
      <c r="H384" s="4">
        <v>150000</v>
      </c>
      <c r="I384" s="4">
        <f t="shared" si="10"/>
        <v>150000</v>
      </c>
      <c r="J384" s="5">
        <v>45227</v>
      </c>
      <c r="K384" s="3" t="s">
        <v>459</v>
      </c>
      <c r="L384" s="3" t="str">
        <f>VLOOKUP(DataSales[[#This Row],[Khách hàng]],'RFM Table'!$A:$I,9,FALSE)</f>
        <v>Khách hàng Trung thành</v>
      </c>
      <c r="M384" s="4">
        <f t="shared" si="11"/>
        <v>-90000</v>
      </c>
      <c r="N384" s="6">
        <v>-0.6</v>
      </c>
      <c r="O384" s="2">
        <v>5</v>
      </c>
      <c r="P384" s="6">
        <v>0</v>
      </c>
      <c r="Q384" s="36">
        <v>2023</v>
      </c>
      <c r="R384" s="56">
        <f>MONTH(DataSales[[#This Row],[Ngày Xuất]])</f>
        <v>10</v>
      </c>
      <c r="S384" s="56" t="s">
        <v>774</v>
      </c>
    </row>
    <row r="385" spans="1:19" x14ac:dyDescent="0.3">
      <c r="A385" s="35">
        <v>454</v>
      </c>
      <c r="B385" s="8" t="s">
        <v>112</v>
      </c>
      <c r="C385" s="8" t="s">
        <v>113</v>
      </c>
      <c r="D385" s="8" t="s">
        <v>47</v>
      </c>
      <c r="E385" s="9">
        <v>178500</v>
      </c>
      <c r="F385" s="7">
        <v>0</v>
      </c>
      <c r="G385" s="7">
        <v>12</v>
      </c>
      <c r="H385" s="9">
        <v>192000</v>
      </c>
      <c r="I385" s="9">
        <f t="shared" si="10"/>
        <v>192000</v>
      </c>
      <c r="J385" s="10">
        <v>45227</v>
      </c>
      <c r="K385" s="8" t="s">
        <v>459</v>
      </c>
      <c r="L385" s="8" t="str">
        <f>VLOOKUP(DataSales[[#This Row],[Khách hàng]],'RFM Table'!$A:$I,9,FALSE)</f>
        <v>Khách hàng Trung thành</v>
      </c>
      <c r="M385" s="9">
        <f t="shared" si="11"/>
        <v>13500</v>
      </c>
      <c r="N385" s="11">
        <v>7.03125E-2</v>
      </c>
      <c r="O385" s="7">
        <v>12</v>
      </c>
      <c r="P385" s="11">
        <v>0</v>
      </c>
      <c r="Q385" s="37">
        <v>2023</v>
      </c>
      <c r="R385" s="56">
        <f>MONTH(DataSales[[#This Row],[Ngày Xuất]])</f>
        <v>10</v>
      </c>
      <c r="S385" s="56" t="s">
        <v>777</v>
      </c>
    </row>
    <row r="386" spans="1:19" x14ac:dyDescent="0.3">
      <c r="A386" s="34">
        <v>455</v>
      </c>
      <c r="B386" s="3" t="s">
        <v>45</v>
      </c>
      <c r="C386" s="3" t="s">
        <v>46</v>
      </c>
      <c r="D386" s="3" t="s">
        <v>47</v>
      </c>
      <c r="E386" s="4">
        <v>60378</v>
      </c>
      <c r="F386" s="2">
        <v>0</v>
      </c>
      <c r="G386" s="2">
        <v>1</v>
      </c>
      <c r="H386" s="4">
        <v>54000</v>
      </c>
      <c r="I386" s="4">
        <f t="shared" ref="I386:I449" si="12">H386</f>
        <v>54000</v>
      </c>
      <c r="J386" s="5">
        <v>45227</v>
      </c>
      <c r="K386" s="3" t="s">
        <v>466</v>
      </c>
      <c r="L386" s="3" t="str">
        <f>VLOOKUP(DataSales[[#This Row],[Khách hàng]],'RFM Table'!$A:$I,9,FALSE)</f>
        <v>Khách hàng Tiềm năng</v>
      </c>
      <c r="M386" s="4">
        <f t="shared" ref="M386:M449" si="13">I386-E386</f>
        <v>-6378</v>
      </c>
      <c r="N386" s="6">
        <v>-0.1181111111111111</v>
      </c>
      <c r="O386" s="2">
        <v>1</v>
      </c>
      <c r="P386" s="6">
        <v>0</v>
      </c>
      <c r="Q386" s="36">
        <v>2023</v>
      </c>
      <c r="R386" s="56">
        <f>MONTH(DataSales[[#This Row],[Ngày Xuất]])</f>
        <v>10</v>
      </c>
      <c r="S386" s="56" t="s">
        <v>776</v>
      </c>
    </row>
    <row r="387" spans="1:19" x14ac:dyDescent="0.3">
      <c r="A387" s="35">
        <v>456</v>
      </c>
      <c r="B387" s="8" t="s">
        <v>45</v>
      </c>
      <c r="C387" s="8" t="s">
        <v>46</v>
      </c>
      <c r="D387" s="8" t="s">
        <v>47</v>
      </c>
      <c r="E387" s="9">
        <v>181134</v>
      </c>
      <c r="F387" s="7">
        <v>0</v>
      </c>
      <c r="G387" s="7">
        <v>3</v>
      </c>
      <c r="H387" s="9">
        <v>156000</v>
      </c>
      <c r="I387" s="9">
        <f t="shared" si="12"/>
        <v>156000</v>
      </c>
      <c r="J387" s="10">
        <v>45227</v>
      </c>
      <c r="K387" s="8" t="s">
        <v>467</v>
      </c>
      <c r="L387" s="8" t="str">
        <f>VLOOKUP(DataSales[[#This Row],[Khách hàng]],'RFM Table'!$A:$I,9,FALSE)</f>
        <v>Khách hàng Tiềm năng</v>
      </c>
      <c r="M387" s="9">
        <f t="shared" si="13"/>
        <v>-25134</v>
      </c>
      <c r="N387" s="11">
        <v>-0.1611153846153846</v>
      </c>
      <c r="O387" s="7">
        <v>3</v>
      </c>
      <c r="P387" s="11">
        <v>0</v>
      </c>
      <c r="Q387" s="37">
        <v>2023</v>
      </c>
      <c r="R387" s="56">
        <f>MONTH(DataSales[[#This Row],[Ngày Xuất]])</f>
        <v>10</v>
      </c>
      <c r="S387" s="56" t="s">
        <v>776</v>
      </c>
    </row>
    <row r="388" spans="1:19" x14ac:dyDescent="0.3">
      <c r="A388" s="34">
        <v>457</v>
      </c>
      <c r="B388" s="3" t="s">
        <v>226</v>
      </c>
      <c r="C388" s="3" t="s">
        <v>227</v>
      </c>
      <c r="D388" s="3" t="s">
        <v>32</v>
      </c>
      <c r="E388" s="4">
        <v>300000</v>
      </c>
      <c r="F388" s="2">
        <v>0</v>
      </c>
      <c r="G388" s="2">
        <v>12</v>
      </c>
      <c r="H388" s="4">
        <v>444000</v>
      </c>
      <c r="I388" s="4">
        <f t="shared" si="12"/>
        <v>444000</v>
      </c>
      <c r="J388" s="5">
        <v>45227</v>
      </c>
      <c r="K388" s="3" t="s">
        <v>468</v>
      </c>
      <c r="L388" s="3" t="str">
        <f>VLOOKUP(DataSales[[#This Row],[Khách hàng]],'RFM Table'!$A:$I,9,FALSE)</f>
        <v>Khách hàng Mới</v>
      </c>
      <c r="M388" s="4">
        <f t="shared" si="13"/>
        <v>144000</v>
      </c>
      <c r="N388" s="6">
        <v>0.32432432432432429</v>
      </c>
      <c r="O388" s="2">
        <v>12</v>
      </c>
      <c r="P388" s="6">
        <v>0</v>
      </c>
      <c r="Q388" s="36">
        <v>2023</v>
      </c>
      <c r="R388" s="56">
        <f>MONTH(DataSales[[#This Row],[Ngày Xuất]])</f>
        <v>10</v>
      </c>
      <c r="S388" s="56" t="s">
        <v>779</v>
      </c>
    </row>
    <row r="389" spans="1:19" x14ac:dyDescent="0.3">
      <c r="A389" s="35">
        <v>459</v>
      </c>
      <c r="B389" s="8" t="s">
        <v>407</v>
      </c>
      <c r="C389" s="8" t="s">
        <v>408</v>
      </c>
      <c r="D389" s="8" t="s">
        <v>158</v>
      </c>
      <c r="E389" s="9">
        <v>130000</v>
      </c>
      <c r="F389" s="7">
        <v>0</v>
      </c>
      <c r="G389" s="7">
        <v>5</v>
      </c>
      <c r="H389" s="9">
        <v>120000</v>
      </c>
      <c r="I389" s="9">
        <f t="shared" si="12"/>
        <v>120000</v>
      </c>
      <c r="J389" s="10">
        <v>45227</v>
      </c>
      <c r="K389" s="8" t="s">
        <v>469</v>
      </c>
      <c r="L389" s="8" t="str">
        <f>VLOOKUP(DataSales[[#This Row],[Khách hàng]],'RFM Table'!$A:$I,9,FALSE)</f>
        <v>Khách hàng Trung thành</v>
      </c>
      <c r="M389" s="9">
        <f t="shared" si="13"/>
        <v>-10000</v>
      </c>
      <c r="N389" s="11">
        <v>-8.3333333333333329E-2</v>
      </c>
      <c r="O389" s="7">
        <v>5</v>
      </c>
      <c r="P389" s="11">
        <v>0</v>
      </c>
      <c r="Q389" s="37">
        <v>2023</v>
      </c>
      <c r="R389" s="56">
        <f>MONTH(DataSales[[#This Row],[Ngày Xuất]])</f>
        <v>10</v>
      </c>
      <c r="S389" s="56" t="s">
        <v>779</v>
      </c>
    </row>
    <row r="390" spans="1:19" x14ac:dyDescent="0.3">
      <c r="A390" s="34">
        <v>460</v>
      </c>
      <c r="B390" s="3" t="s">
        <v>226</v>
      </c>
      <c r="C390" s="3" t="s">
        <v>227</v>
      </c>
      <c r="D390" s="3" t="s">
        <v>32</v>
      </c>
      <c r="E390" s="4">
        <v>300000</v>
      </c>
      <c r="F390" s="2">
        <v>0</v>
      </c>
      <c r="G390" s="2">
        <v>12</v>
      </c>
      <c r="H390" s="4">
        <v>444000</v>
      </c>
      <c r="I390" s="4">
        <f t="shared" si="12"/>
        <v>444000</v>
      </c>
      <c r="J390" s="5">
        <v>45227</v>
      </c>
      <c r="K390" s="3" t="s">
        <v>470</v>
      </c>
      <c r="L390" s="3" t="str">
        <f>VLOOKUP(DataSales[[#This Row],[Khách hàng]],'RFM Table'!$A:$I,9,FALSE)</f>
        <v>Khách hàng Tiềm năng</v>
      </c>
      <c r="M390" s="4">
        <f t="shared" si="13"/>
        <v>144000</v>
      </c>
      <c r="N390" s="6">
        <v>0.32432432432432429</v>
      </c>
      <c r="O390" s="2">
        <v>12</v>
      </c>
      <c r="P390" s="6">
        <v>0</v>
      </c>
      <c r="Q390" s="36">
        <v>2023</v>
      </c>
      <c r="R390" s="56">
        <f>MONTH(DataSales[[#This Row],[Ngày Xuất]])</f>
        <v>10</v>
      </c>
      <c r="S390" s="56" t="s">
        <v>779</v>
      </c>
    </row>
    <row r="391" spans="1:19" x14ac:dyDescent="0.3">
      <c r="A391" s="35">
        <v>462</v>
      </c>
      <c r="B391" s="8" t="s">
        <v>57</v>
      </c>
      <c r="C391" s="8" t="s">
        <v>58</v>
      </c>
      <c r="D391" s="8" t="s">
        <v>18</v>
      </c>
      <c r="E391" s="9">
        <v>231000</v>
      </c>
      <c r="F391" s="7">
        <v>0</v>
      </c>
      <c r="G391" s="7">
        <v>30</v>
      </c>
      <c r="H391" s="9">
        <v>300000</v>
      </c>
      <c r="I391" s="9">
        <f t="shared" si="12"/>
        <v>300000</v>
      </c>
      <c r="J391" s="10">
        <v>45227</v>
      </c>
      <c r="K391" s="8" t="s">
        <v>470</v>
      </c>
      <c r="L391" s="8" t="str">
        <f>VLOOKUP(DataSales[[#This Row],[Khách hàng]],'RFM Table'!$A:$I,9,FALSE)</f>
        <v>Khách hàng Tiềm năng</v>
      </c>
      <c r="M391" s="9">
        <f t="shared" si="13"/>
        <v>69000</v>
      </c>
      <c r="N391" s="11">
        <v>0.23</v>
      </c>
      <c r="O391" s="7">
        <v>30</v>
      </c>
      <c r="P391" s="11">
        <v>0</v>
      </c>
      <c r="Q391" s="37">
        <v>2023</v>
      </c>
      <c r="R391" s="56">
        <f>MONTH(DataSales[[#This Row],[Ngày Xuất]])</f>
        <v>10</v>
      </c>
      <c r="S391" s="56" t="s">
        <v>775</v>
      </c>
    </row>
    <row r="392" spans="1:19" x14ac:dyDescent="0.3">
      <c r="A392" s="34">
        <v>464</v>
      </c>
      <c r="B392" s="3" t="s">
        <v>119</v>
      </c>
      <c r="C392" s="3" t="s">
        <v>120</v>
      </c>
      <c r="D392" s="3" t="s">
        <v>47</v>
      </c>
      <c r="E392" s="4">
        <v>600000</v>
      </c>
      <c r="F392" s="2">
        <v>0</v>
      </c>
      <c r="G392" s="2">
        <v>6</v>
      </c>
      <c r="H392" s="4">
        <v>1308000</v>
      </c>
      <c r="I392" s="4">
        <f t="shared" si="12"/>
        <v>1308000</v>
      </c>
      <c r="J392" s="5">
        <v>45227</v>
      </c>
      <c r="K392" s="3" t="s">
        <v>123</v>
      </c>
      <c r="L392" s="3" t="str">
        <f>VLOOKUP(DataSales[[#This Row],[Khách hàng]],'RFM Table'!$A:$I,9,FALSE)</f>
        <v>Khách hàng Trung thành</v>
      </c>
      <c r="M392" s="4">
        <f t="shared" si="13"/>
        <v>708000</v>
      </c>
      <c r="N392" s="6">
        <v>0.54128440366972475</v>
      </c>
      <c r="O392" s="2">
        <v>6</v>
      </c>
      <c r="P392" s="6">
        <v>0</v>
      </c>
      <c r="Q392" s="36">
        <v>2023</v>
      </c>
      <c r="R392" s="56">
        <f>MONTH(DataSales[[#This Row],[Ngày Xuất]])</f>
        <v>10</v>
      </c>
      <c r="S392" s="56" t="s">
        <v>779</v>
      </c>
    </row>
    <row r="393" spans="1:19" x14ac:dyDescent="0.3">
      <c r="A393" s="35">
        <v>466</v>
      </c>
      <c r="B393" s="8" t="s">
        <v>471</v>
      </c>
      <c r="C393" s="8" t="s">
        <v>472</v>
      </c>
      <c r="D393" s="8" t="s">
        <v>25</v>
      </c>
      <c r="E393" s="9">
        <v>170000</v>
      </c>
      <c r="F393" s="7">
        <v>0</v>
      </c>
      <c r="G393" s="7">
        <v>2</v>
      </c>
      <c r="H393" s="9">
        <v>250000</v>
      </c>
      <c r="I393" s="9">
        <f t="shared" si="12"/>
        <v>250000</v>
      </c>
      <c r="J393" s="10">
        <v>45227</v>
      </c>
      <c r="K393" s="8" t="s">
        <v>473</v>
      </c>
      <c r="L393" s="8" t="str">
        <f>VLOOKUP(DataSales[[#This Row],[Khách hàng]],'RFM Table'!$A:$I,9,FALSE)</f>
        <v>Khách hàng Trung thành</v>
      </c>
      <c r="M393" s="9">
        <f t="shared" si="13"/>
        <v>80000</v>
      </c>
      <c r="N393" s="11">
        <v>0.32</v>
      </c>
      <c r="O393" s="7">
        <v>2</v>
      </c>
      <c r="P393" s="11">
        <v>0</v>
      </c>
      <c r="Q393" s="37">
        <v>2023</v>
      </c>
      <c r="R393" s="56">
        <f>MONTH(DataSales[[#This Row],[Ngày Xuất]])</f>
        <v>10</v>
      </c>
      <c r="S393" s="56" t="s">
        <v>773</v>
      </c>
    </row>
    <row r="394" spans="1:19" x14ac:dyDescent="0.3">
      <c r="A394" s="34">
        <v>467</v>
      </c>
      <c r="B394" s="3" t="s">
        <v>474</v>
      </c>
      <c r="C394" s="3" t="s">
        <v>475</v>
      </c>
      <c r="D394" s="3" t="s">
        <v>25</v>
      </c>
      <c r="E394" s="4">
        <v>85000</v>
      </c>
      <c r="F394" s="2">
        <v>0</v>
      </c>
      <c r="G394" s="2">
        <v>1</v>
      </c>
      <c r="H394" s="4">
        <v>125000</v>
      </c>
      <c r="I394" s="4">
        <f t="shared" si="12"/>
        <v>125000</v>
      </c>
      <c r="J394" s="5">
        <v>45227</v>
      </c>
      <c r="K394" s="3" t="s">
        <v>473</v>
      </c>
      <c r="L394" s="3" t="str">
        <f>VLOOKUP(DataSales[[#This Row],[Khách hàng]],'RFM Table'!$A:$I,9,FALSE)</f>
        <v>Khách hàng Trung thành</v>
      </c>
      <c r="M394" s="4">
        <f t="shared" si="13"/>
        <v>40000</v>
      </c>
      <c r="N394" s="6">
        <v>0.32</v>
      </c>
      <c r="O394" s="2">
        <v>1</v>
      </c>
      <c r="P394" s="6">
        <v>0</v>
      </c>
      <c r="Q394" s="36">
        <v>2023</v>
      </c>
      <c r="R394" s="56">
        <f>MONTH(DataSales[[#This Row],[Ngày Xuất]])</f>
        <v>10</v>
      </c>
      <c r="S394" s="56" t="s">
        <v>773</v>
      </c>
    </row>
    <row r="395" spans="1:19" x14ac:dyDescent="0.3">
      <c r="A395" s="35">
        <v>468</v>
      </c>
      <c r="B395" s="8" t="s">
        <v>57</v>
      </c>
      <c r="C395" s="8" t="s">
        <v>58</v>
      </c>
      <c r="D395" s="8" t="s">
        <v>18</v>
      </c>
      <c r="E395" s="9">
        <v>231000</v>
      </c>
      <c r="F395" s="7">
        <v>0</v>
      </c>
      <c r="G395" s="7">
        <v>30</v>
      </c>
      <c r="H395" s="9">
        <v>300000</v>
      </c>
      <c r="I395" s="9">
        <f t="shared" si="12"/>
        <v>300000</v>
      </c>
      <c r="J395" s="10">
        <v>45227</v>
      </c>
      <c r="K395" s="8" t="s">
        <v>473</v>
      </c>
      <c r="L395" s="8" t="str">
        <f>VLOOKUP(DataSales[[#This Row],[Khách hàng]],'RFM Table'!$A:$I,9,FALSE)</f>
        <v>Khách hàng Trung thành</v>
      </c>
      <c r="M395" s="9">
        <f t="shared" si="13"/>
        <v>69000</v>
      </c>
      <c r="N395" s="11">
        <v>0.23</v>
      </c>
      <c r="O395" s="7">
        <v>30</v>
      </c>
      <c r="P395" s="11">
        <v>0</v>
      </c>
      <c r="Q395" s="37">
        <v>2023</v>
      </c>
      <c r="R395" s="56">
        <f>MONTH(DataSales[[#This Row],[Ngày Xuất]])</f>
        <v>10</v>
      </c>
      <c r="S395" s="56" t="s">
        <v>775</v>
      </c>
    </row>
    <row r="396" spans="1:19" x14ac:dyDescent="0.3">
      <c r="A396" s="34">
        <v>469</v>
      </c>
      <c r="B396" s="3" t="s">
        <v>294</v>
      </c>
      <c r="C396" s="3" t="s">
        <v>295</v>
      </c>
      <c r="D396" s="3" t="s">
        <v>18</v>
      </c>
      <c r="E396" s="4">
        <v>55000</v>
      </c>
      <c r="F396" s="2">
        <v>0</v>
      </c>
      <c r="G396" s="2">
        <v>10</v>
      </c>
      <c r="H396" s="4">
        <v>60000</v>
      </c>
      <c r="I396" s="4">
        <f t="shared" si="12"/>
        <v>60000</v>
      </c>
      <c r="J396" s="5">
        <v>45227</v>
      </c>
      <c r="K396" s="3" t="s">
        <v>473</v>
      </c>
      <c r="L396" s="3" t="str">
        <f>VLOOKUP(DataSales[[#This Row],[Khách hàng]],'RFM Table'!$A:$I,9,FALSE)</f>
        <v>Khách hàng Trung thành</v>
      </c>
      <c r="M396" s="4">
        <f t="shared" si="13"/>
        <v>5000</v>
      </c>
      <c r="N396" s="6">
        <v>8.3333333333333329E-2</v>
      </c>
      <c r="O396" s="2">
        <v>10</v>
      </c>
      <c r="P396" s="6">
        <v>0</v>
      </c>
      <c r="Q396" s="36">
        <v>2023</v>
      </c>
      <c r="R396" s="56">
        <f>MONTH(DataSales[[#This Row],[Ngày Xuất]])</f>
        <v>10</v>
      </c>
      <c r="S396" s="56" t="s">
        <v>775</v>
      </c>
    </row>
    <row r="397" spans="1:19" x14ac:dyDescent="0.3">
      <c r="A397" s="35">
        <v>470</v>
      </c>
      <c r="B397" s="8" t="s">
        <v>57</v>
      </c>
      <c r="C397" s="8" t="s">
        <v>58</v>
      </c>
      <c r="D397" s="8" t="s">
        <v>18</v>
      </c>
      <c r="E397" s="9">
        <v>231000</v>
      </c>
      <c r="F397" s="7">
        <v>0</v>
      </c>
      <c r="G397" s="7">
        <v>30</v>
      </c>
      <c r="H397" s="9">
        <v>300000</v>
      </c>
      <c r="I397" s="9">
        <f t="shared" si="12"/>
        <v>300000</v>
      </c>
      <c r="J397" s="10">
        <v>45227</v>
      </c>
      <c r="K397" s="8" t="s">
        <v>476</v>
      </c>
      <c r="L397" s="8" t="str">
        <f>VLOOKUP(DataSales[[#This Row],[Khách hàng]],'RFM Table'!$A:$I,9,FALSE)</f>
        <v>Khách hàng Trung thành</v>
      </c>
      <c r="M397" s="9">
        <f t="shared" si="13"/>
        <v>69000</v>
      </c>
      <c r="N397" s="11">
        <v>0.23</v>
      </c>
      <c r="O397" s="7">
        <v>30</v>
      </c>
      <c r="P397" s="11">
        <v>0</v>
      </c>
      <c r="Q397" s="37">
        <v>2023</v>
      </c>
      <c r="R397" s="56">
        <f>MONTH(DataSales[[#This Row],[Ngày Xuất]])</f>
        <v>10</v>
      </c>
      <c r="S397" s="56" t="s">
        <v>775</v>
      </c>
    </row>
    <row r="398" spans="1:19" x14ac:dyDescent="0.3">
      <c r="A398" s="34">
        <v>471</v>
      </c>
      <c r="B398" s="3" t="s">
        <v>294</v>
      </c>
      <c r="C398" s="3" t="s">
        <v>295</v>
      </c>
      <c r="D398" s="3" t="s">
        <v>18</v>
      </c>
      <c r="E398" s="4">
        <v>55000</v>
      </c>
      <c r="F398" s="2">
        <v>0</v>
      </c>
      <c r="G398" s="2">
        <v>10</v>
      </c>
      <c r="H398" s="4">
        <v>60000</v>
      </c>
      <c r="I398" s="4">
        <f t="shared" si="12"/>
        <v>60000</v>
      </c>
      <c r="J398" s="5">
        <v>45227</v>
      </c>
      <c r="K398" s="3" t="s">
        <v>476</v>
      </c>
      <c r="L398" s="3" t="str">
        <f>VLOOKUP(DataSales[[#This Row],[Khách hàng]],'RFM Table'!$A:$I,9,FALSE)</f>
        <v>Khách hàng Trung thành</v>
      </c>
      <c r="M398" s="4">
        <f t="shared" si="13"/>
        <v>5000</v>
      </c>
      <c r="N398" s="6">
        <v>8.3333333333333329E-2</v>
      </c>
      <c r="O398" s="2">
        <v>10</v>
      </c>
      <c r="P398" s="6">
        <v>0</v>
      </c>
      <c r="Q398" s="36">
        <v>2023</v>
      </c>
      <c r="R398" s="56">
        <f>MONTH(DataSales[[#This Row],[Ngày Xuất]])</f>
        <v>10</v>
      </c>
      <c r="S398" s="56" t="s">
        <v>775</v>
      </c>
    </row>
    <row r="399" spans="1:19" x14ac:dyDescent="0.3">
      <c r="A399" s="35">
        <v>472</v>
      </c>
      <c r="B399" s="8" t="s">
        <v>200</v>
      </c>
      <c r="C399" s="8" t="s">
        <v>201</v>
      </c>
      <c r="D399" s="8" t="s">
        <v>32</v>
      </c>
      <c r="E399" s="9">
        <v>265716</v>
      </c>
      <c r="F399" s="7">
        <v>2</v>
      </c>
      <c r="G399" s="7">
        <v>12</v>
      </c>
      <c r="H399" s="9">
        <v>345000</v>
      </c>
      <c r="I399" s="9">
        <f t="shared" si="12"/>
        <v>345000</v>
      </c>
      <c r="J399" s="10">
        <v>45227</v>
      </c>
      <c r="K399" s="8" t="s">
        <v>207</v>
      </c>
      <c r="L399" s="8" t="str">
        <f>VLOOKUP(DataSales[[#This Row],[Khách hàng]],'RFM Table'!$A:$I,9,FALSE)</f>
        <v>Khách hàng Trung thành</v>
      </c>
      <c r="M399" s="9">
        <f t="shared" si="13"/>
        <v>79284</v>
      </c>
      <c r="N399" s="11">
        <v>0.22980869565217391</v>
      </c>
      <c r="O399" s="7">
        <v>14</v>
      </c>
      <c r="P399" s="11">
        <v>0.14285714285714279</v>
      </c>
      <c r="Q399" s="37">
        <v>2023</v>
      </c>
      <c r="R399" s="56">
        <f>MONTH(DataSales[[#This Row],[Ngày Xuất]])</f>
        <v>10</v>
      </c>
      <c r="S399" s="56" t="s">
        <v>779</v>
      </c>
    </row>
    <row r="400" spans="1:19" x14ac:dyDescent="0.3">
      <c r="A400" s="34">
        <v>475</v>
      </c>
      <c r="B400" s="3" t="s">
        <v>205</v>
      </c>
      <c r="C400" s="3" t="s">
        <v>206</v>
      </c>
      <c r="D400" s="3" t="s">
        <v>47</v>
      </c>
      <c r="E400" s="4">
        <v>600000</v>
      </c>
      <c r="F400" s="2">
        <v>6</v>
      </c>
      <c r="G400" s="2">
        <v>6</v>
      </c>
      <c r="H400" s="4">
        <v>654000</v>
      </c>
      <c r="I400" s="4">
        <f t="shared" si="12"/>
        <v>654000</v>
      </c>
      <c r="J400" s="5">
        <v>45227</v>
      </c>
      <c r="K400" s="3" t="s">
        <v>477</v>
      </c>
      <c r="L400" s="3" t="str">
        <f>VLOOKUP(DataSales[[#This Row],[Khách hàng]],'RFM Table'!$A:$I,9,FALSE)</f>
        <v>Khách hàng VIP</v>
      </c>
      <c r="M400" s="4">
        <f t="shared" si="13"/>
        <v>54000</v>
      </c>
      <c r="N400" s="6">
        <v>8.2568807339449546E-2</v>
      </c>
      <c r="O400" s="2">
        <v>12</v>
      </c>
      <c r="P400" s="6">
        <v>0.5</v>
      </c>
      <c r="Q400" s="36">
        <v>2023</v>
      </c>
      <c r="R400" s="56">
        <f>MONTH(DataSales[[#This Row],[Ngày Xuất]])</f>
        <v>10</v>
      </c>
      <c r="S400" s="56" t="s">
        <v>779</v>
      </c>
    </row>
    <row r="401" spans="1:19" x14ac:dyDescent="0.3">
      <c r="A401" s="35">
        <v>476</v>
      </c>
      <c r="B401" s="8" t="s">
        <v>119</v>
      </c>
      <c r="C401" s="8" t="s">
        <v>120</v>
      </c>
      <c r="D401" s="8" t="s">
        <v>47</v>
      </c>
      <c r="E401" s="9">
        <v>600000</v>
      </c>
      <c r="F401" s="7">
        <v>6</v>
      </c>
      <c r="G401" s="7">
        <v>6</v>
      </c>
      <c r="H401" s="9">
        <v>654000</v>
      </c>
      <c r="I401" s="9">
        <f t="shared" si="12"/>
        <v>654000</v>
      </c>
      <c r="J401" s="10">
        <v>45227</v>
      </c>
      <c r="K401" s="8" t="s">
        <v>477</v>
      </c>
      <c r="L401" s="8" t="str">
        <f>VLOOKUP(DataSales[[#This Row],[Khách hàng]],'RFM Table'!$A:$I,9,FALSE)</f>
        <v>Khách hàng VIP</v>
      </c>
      <c r="M401" s="9">
        <f t="shared" si="13"/>
        <v>54000</v>
      </c>
      <c r="N401" s="11">
        <v>8.2568807339449546E-2</v>
      </c>
      <c r="O401" s="7">
        <v>12</v>
      </c>
      <c r="P401" s="11">
        <v>0.5</v>
      </c>
      <c r="Q401" s="37">
        <v>2023</v>
      </c>
      <c r="R401" s="56">
        <f>MONTH(DataSales[[#This Row],[Ngày Xuất]])</f>
        <v>10</v>
      </c>
      <c r="S401" s="56" t="s">
        <v>779</v>
      </c>
    </row>
    <row r="402" spans="1:19" x14ac:dyDescent="0.3">
      <c r="A402" s="34">
        <v>477</v>
      </c>
      <c r="B402" s="3" t="s">
        <v>121</v>
      </c>
      <c r="C402" s="3" t="s">
        <v>122</v>
      </c>
      <c r="D402" s="3" t="s">
        <v>47</v>
      </c>
      <c r="E402" s="4">
        <v>600000</v>
      </c>
      <c r="F402" s="2">
        <v>6</v>
      </c>
      <c r="G402" s="2">
        <v>6</v>
      </c>
      <c r="H402" s="4">
        <v>654000</v>
      </c>
      <c r="I402" s="4">
        <f t="shared" si="12"/>
        <v>654000</v>
      </c>
      <c r="J402" s="5">
        <v>45227</v>
      </c>
      <c r="K402" s="3" t="s">
        <v>477</v>
      </c>
      <c r="L402" s="3" t="str">
        <f>VLOOKUP(DataSales[[#This Row],[Khách hàng]],'RFM Table'!$A:$I,9,FALSE)</f>
        <v>Khách hàng VIP</v>
      </c>
      <c r="M402" s="4">
        <f t="shared" si="13"/>
        <v>54000</v>
      </c>
      <c r="N402" s="6">
        <v>8.2568807339449546E-2</v>
      </c>
      <c r="O402" s="2">
        <v>12</v>
      </c>
      <c r="P402" s="6">
        <v>0.5</v>
      </c>
      <c r="Q402" s="36">
        <v>2023</v>
      </c>
      <c r="R402" s="56">
        <f>MONTH(DataSales[[#This Row],[Ngày Xuất]])</f>
        <v>10</v>
      </c>
      <c r="S402" s="56" t="s">
        <v>779</v>
      </c>
    </row>
    <row r="403" spans="1:19" x14ac:dyDescent="0.3">
      <c r="A403" s="35">
        <v>478</v>
      </c>
      <c r="B403" s="8" t="s">
        <v>478</v>
      </c>
      <c r="C403" s="8" t="s">
        <v>479</v>
      </c>
      <c r="D403" s="8" t="s">
        <v>47</v>
      </c>
      <c r="E403" s="9">
        <v>780000</v>
      </c>
      <c r="F403" s="7">
        <v>0</v>
      </c>
      <c r="G403" s="7">
        <v>6</v>
      </c>
      <c r="H403" s="9">
        <v>1680000</v>
      </c>
      <c r="I403" s="9">
        <f t="shared" si="12"/>
        <v>1680000</v>
      </c>
      <c r="J403" s="10">
        <v>45227</v>
      </c>
      <c r="K403" s="8" t="s">
        <v>477</v>
      </c>
      <c r="L403" s="8" t="str">
        <f>VLOOKUP(DataSales[[#This Row],[Khách hàng]],'RFM Table'!$A:$I,9,FALSE)</f>
        <v>Khách hàng VIP</v>
      </c>
      <c r="M403" s="9">
        <f t="shared" si="13"/>
        <v>900000</v>
      </c>
      <c r="N403" s="11">
        <v>0.5357142857142857</v>
      </c>
      <c r="O403" s="7">
        <v>6</v>
      </c>
      <c r="P403" s="11">
        <v>0</v>
      </c>
      <c r="Q403" s="37">
        <v>2023</v>
      </c>
      <c r="R403" s="56">
        <f>MONTH(DataSales[[#This Row],[Ngày Xuất]])</f>
        <v>10</v>
      </c>
      <c r="S403" s="56" t="s">
        <v>779</v>
      </c>
    </row>
    <row r="404" spans="1:19" x14ac:dyDescent="0.3">
      <c r="A404" s="34">
        <v>479</v>
      </c>
      <c r="B404" s="3" t="s">
        <v>312</v>
      </c>
      <c r="C404" s="3" t="s">
        <v>313</v>
      </c>
      <c r="D404" s="3" t="s">
        <v>47</v>
      </c>
      <c r="E404" s="4">
        <v>780000</v>
      </c>
      <c r="F404" s="2">
        <v>0</v>
      </c>
      <c r="G404" s="2">
        <v>6</v>
      </c>
      <c r="H404" s="4">
        <v>1680000</v>
      </c>
      <c r="I404" s="4">
        <f t="shared" si="12"/>
        <v>1680000</v>
      </c>
      <c r="J404" s="5">
        <v>45227</v>
      </c>
      <c r="K404" s="3" t="s">
        <v>477</v>
      </c>
      <c r="L404" s="3" t="str">
        <f>VLOOKUP(DataSales[[#This Row],[Khách hàng]],'RFM Table'!$A:$I,9,FALSE)</f>
        <v>Khách hàng VIP</v>
      </c>
      <c r="M404" s="4">
        <f t="shared" si="13"/>
        <v>900000</v>
      </c>
      <c r="N404" s="6">
        <v>0.5357142857142857</v>
      </c>
      <c r="O404" s="2">
        <v>6</v>
      </c>
      <c r="P404" s="6">
        <v>0</v>
      </c>
      <c r="Q404" s="36">
        <v>2023</v>
      </c>
      <c r="R404" s="56">
        <f>MONTH(DataSales[[#This Row],[Ngày Xuất]])</f>
        <v>10</v>
      </c>
      <c r="S404" s="56" t="s">
        <v>779</v>
      </c>
    </row>
    <row r="405" spans="1:19" x14ac:dyDescent="0.3">
      <c r="A405" s="35">
        <v>480</v>
      </c>
      <c r="B405" s="8" t="s">
        <v>200</v>
      </c>
      <c r="C405" s="8" t="s">
        <v>201</v>
      </c>
      <c r="D405" s="8" t="s">
        <v>32</v>
      </c>
      <c r="E405" s="9">
        <v>265716</v>
      </c>
      <c r="F405" s="7">
        <v>2</v>
      </c>
      <c r="G405" s="7">
        <v>12</v>
      </c>
      <c r="H405" s="9">
        <v>345000</v>
      </c>
      <c r="I405" s="9">
        <f t="shared" si="12"/>
        <v>345000</v>
      </c>
      <c r="J405" s="10">
        <v>45227</v>
      </c>
      <c r="K405" s="8" t="s">
        <v>131</v>
      </c>
      <c r="L405" s="8" t="str">
        <f>VLOOKUP(DataSales[[#This Row],[Khách hàng]],'RFM Table'!$A:$I,9,FALSE)</f>
        <v>Khách hàng VIP</v>
      </c>
      <c r="M405" s="9">
        <f t="shared" si="13"/>
        <v>79284</v>
      </c>
      <c r="N405" s="11">
        <v>0.22980869565217391</v>
      </c>
      <c r="O405" s="7">
        <v>14</v>
      </c>
      <c r="P405" s="11">
        <v>0.14285714285714279</v>
      </c>
      <c r="Q405" s="37">
        <v>2023</v>
      </c>
      <c r="R405" s="56">
        <f>MONTH(DataSales[[#This Row],[Ngày Xuất]])</f>
        <v>10</v>
      </c>
      <c r="S405" s="56" t="s">
        <v>779</v>
      </c>
    </row>
    <row r="406" spans="1:19" x14ac:dyDescent="0.3">
      <c r="A406" s="34">
        <v>481</v>
      </c>
      <c r="B406" s="3" t="s">
        <v>336</v>
      </c>
      <c r="C406" s="3" t="s">
        <v>337</v>
      </c>
      <c r="D406" s="3" t="s">
        <v>47</v>
      </c>
      <c r="E406" s="4">
        <v>181200</v>
      </c>
      <c r="F406" s="2">
        <v>1</v>
      </c>
      <c r="G406" s="2">
        <v>4</v>
      </c>
      <c r="H406" s="4">
        <v>158000</v>
      </c>
      <c r="I406" s="4">
        <f t="shared" si="12"/>
        <v>158000</v>
      </c>
      <c r="J406" s="5">
        <v>45227</v>
      </c>
      <c r="K406" s="3" t="s">
        <v>131</v>
      </c>
      <c r="L406" s="3" t="str">
        <f>VLOOKUP(DataSales[[#This Row],[Khách hàng]],'RFM Table'!$A:$I,9,FALSE)</f>
        <v>Khách hàng VIP</v>
      </c>
      <c r="M406" s="4">
        <f t="shared" si="13"/>
        <v>-23200</v>
      </c>
      <c r="N406" s="6">
        <v>-0.14683544303797469</v>
      </c>
      <c r="O406" s="2">
        <v>5</v>
      </c>
      <c r="P406" s="6">
        <v>0.2</v>
      </c>
      <c r="Q406" s="36">
        <v>2023</v>
      </c>
      <c r="R406" s="56">
        <f>MONTH(DataSales[[#This Row],[Ngày Xuất]])</f>
        <v>10</v>
      </c>
      <c r="S406" s="56" t="s">
        <v>780</v>
      </c>
    </row>
    <row r="407" spans="1:19" x14ac:dyDescent="0.3">
      <c r="A407" s="35">
        <v>482</v>
      </c>
      <c r="B407" s="8" t="s">
        <v>349</v>
      </c>
      <c r="C407" s="8" t="s">
        <v>350</v>
      </c>
      <c r="D407" s="8" t="s">
        <v>47</v>
      </c>
      <c r="E407" s="9">
        <v>181200</v>
      </c>
      <c r="F407" s="7">
        <v>0</v>
      </c>
      <c r="G407" s="7">
        <v>4</v>
      </c>
      <c r="H407" s="9">
        <v>200000</v>
      </c>
      <c r="I407" s="9">
        <f t="shared" si="12"/>
        <v>200000</v>
      </c>
      <c r="J407" s="10">
        <v>45227</v>
      </c>
      <c r="K407" s="8" t="s">
        <v>131</v>
      </c>
      <c r="L407" s="8" t="str">
        <f>VLOOKUP(DataSales[[#This Row],[Khách hàng]],'RFM Table'!$A:$I,9,FALSE)</f>
        <v>Khách hàng VIP</v>
      </c>
      <c r="M407" s="9">
        <f t="shared" si="13"/>
        <v>18800</v>
      </c>
      <c r="N407" s="11">
        <v>9.4E-2</v>
      </c>
      <c r="O407" s="7">
        <v>4</v>
      </c>
      <c r="P407" s="11">
        <v>0</v>
      </c>
      <c r="Q407" s="37">
        <v>2023</v>
      </c>
      <c r="R407" s="56">
        <f>MONTH(DataSales[[#This Row],[Ngày Xuất]])</f>
        <v>10</v>
      </c>
      <c r="S407" s="56" t="s">
        <v>780</v>
      </c>
    </row>
    <row r="408" spans="1:19" x14ac:dyDescent="0.3">
      <c r="A408" s="34">
        <v>483</v>
      </c>
      <c r="B408" s="3" t="s">
        <v>351</v>
      </c>
      <c r="C408" s="3" t="s">
        <v>352</v>
      </c>
      <c r="D408" s="3" t="s">
        <v>47</v>
      </c>
      <c r="E408" s="4">
        <v>181200</v>
      </c>
      <c r="F408" s="2">
        <v>0</v>
      </c>
      <c r="G408" s="2">
        <v>4</v>
      </c>
      <c r="H408" s="4">
        <v>200000</v>
      </c>
      <c r="I408" s="4">
        <f t="shared" si="12"/>
        <v>200000</v>
      </c>
      <c r="J408" s="5">
        <v>45227</v>
      </c>
      <c r="K408" s="3" t="s">
        <v>131</v>
      </c>
      <c r="L408" s="3" t="str">
        <f>VLOOKUP(DataSales[[#This Row],[Khách hàng]],'RFM Table'!$A:$I,9,FALSE)</f>
        <v>Khách hàng VIP</v>
      </c>
      <c r="M408" s="4">
        <f t="shared" si="13"/>
        <v>18800</v>
      </c>
      <c r="N408" s="6">
        <v>9.4E-2</v>
      </c>
      <c r="O408" s="2">
        <v>4</v>
      </c>
      <c r="P408" s="6">
        <v>0</v>
      </c>
      <c r="Q408" s="36">
        <v>2023</v>
      </c>
      <c r="R408" s="56">
        <f>MONTH(DataSales[[#This Row],[Ngày Xuất]])</f>
        <v>10</v>
      </c>
      <c r="S408" s="56" t="s">
        <v>780</v>
      </c>
    </row>
    <row r="409" spans="1:19" x14ac:dyDescent="0.3">
      <c r="A409" s="35">
        <v>484</v>
      </c>
      <c r="B409" s="8" t="s">
        <v>423</v>
      </c>
      <c r="C409" s="8" t="s">
        <v>424</v>
      </c>
      <c r="D409" s="8" t="s">
        <v>47</v>
      </c>
      <c r="E409" s="9">
        <v>133330</v>
      </c>
      <c r="F409" s="7">
        <v>0</v>
      </c>
      <c r="G409" s="7">
        <v>10</v>
      </c>
      <c r="H409" s="9">
        <v>160000</v>
      </c>
      <c r="I409" s="9">
        <f t="shared" si="12"/>
        <v>160000</v>
      </c>
      <c r="J409" s="10">
        <v>45227</v>
      </c>
      <c r="K409" s="8" t="s">
        <v>131</v>
      </c>
      <c r="L409" s="8" t="str">
        <f>VLOOKUP(DataSales[[#This Row],[Khách hàng]],'RFM Table'!$A:$I,9,FALSE)</f>
        <v>Khách hàng VIP</v>
      </c>
      <c r="M409" s="9">
        <f t="shared" si="13"/>
        <v>26670</v>
      </c>
      <c r="N409" s="11">
        <v>0.16668749999999999</v>
      </c>
      <c r="O409" s="7">
        <v>10</v>
      </c>
      <c r="P409" s="11">
        <v>0</v>
      </c>
      <c r="Q409" s="37">
        <v>2023</v>
      </c>
      <c r="R409" s="56">
        <f>MONTH(DataSales[[#This Row],[Ngày Xuất]])</f>
        <v>10</v>
      </c>
      <c r="S409" s="56" t="s">
        <v>774</v>
      </c>
    </row>
    <row r="410" spans="1:19" x14ac:dyDescent="0.3">
      <c r="A410" s="34">
        <v>485</v>
      </c>
      <c r="B410" s="3" t="s">
        <v>425</v>
      </c>
      <c r="C410" s="3" t="s">
        <v>426</v>
      </c>
      <c r="D410" s="3" t="s">
        <v>47</v>
      </c>
      <c r="E410" s="4">
        <v>106664</v>
      </c>
      <c r="F410" s="2">
        <v>3</v>
      </c>
      <c r="G410" s="2">
        <v>8</v>
      </c>
      <c r="H410" s="4">
        <v>87000</v>
      </c>
      <c r="I410" s="4">
        <f t="shared" si="12"/>
        <v>87000</v>
      </c>
      <c r="J410" s="5">
        <v>45227</v>
      </c>
      <c r="K410" s="3" t="s">
        <v>131</v>
      </c>
      <c r="L410" s="3" t="str">
        <f>VLOOKUP(DataSales[[#This Row],[Khách hàng]],'RFM Table'!$A:$I,9,FALSE)</f>
        <v>Khách hàng VIP</v>
      </c>
      <c r="M410" s="4">
        <f t="shared" si="13"/>
        <v>-19664</v>
      </c>
      <c r="N410" s="6">
        <v>-0.22602298850574709</v>
      </c>
      <c r="O410" s="2">
        <v>11</v>
      </c>
      <c r="P410" s="6">
        <v>0.27272727272727271</v>
      </c>
      <c r="Q410" s="36">
        <v>2023</v>
      </c>
      <c r="R410" s="56">
        <f>MONTH(DataSales[[#This Row],[Ngày Xuất]])</f>
        <v>10</v>
      </c>
      <c r="S410" s="56" t="s">
        <v>774</v>
      </c>
    </row>
    <row r="411" spans="1:19" x14ac:dyDescent="0.3">
      <c r="A411" s="35">
        <v>486</v>
      </c>
      <c r="B411" s="8" t="s">
        <v>176</v>
      </c>
      <c r="C411" s="8" t="s">
        <v>177</v>
      </c>
      <c r="D411" s="8" t="s">
        <v>155</v>
      </c>
      <c r="E411" s="9">
        <v>55440</v>
      </c>
      <c r="F411" s="7">
        <v>0</v>
      </c>
      <c r="G411" s="7">
        <v>2</v>
      </c>
      <c r="H411" s="9">
        <v>64000</v>
      </c>
      <c r="I411" s="9">
        <f t="shared" si="12"/>
        <v>64000</v>
      </c>
      <c r="J411" s="10">
        <v>45227</v>
      </c>
      <c r="K411" s="8" t="s">
        <v>134</v>
      </c>
      <c r="L411" s="8" t="str">
        <f>VLOOKUP(DataSales[[#This Row],[Khách hàng]],'RFM Table'!$A:$I,9,FALSE)</f>
        <v>Khách hàng Tiềm năng</v>
      </c>
      <c r="M411" s="9">
        <f t="shared" si="13"/>
        <v>8560</v>
      </c>
      <c r="N411" s="11">
        <v>0.13375000000000001</v>
      </c>
      <c r="O411" s="7">
        <v>2</v>
      </c>
      <c r="P411" s="11">
        <v>0</v>
      </c>
      <c r="Q411" s="37">
        <v>2023</v>
      </c>
      <c r="R411" s="56">
        <f>MONTH(DataSales[[#This Row],[Ngày Xuất]])</f>
        <v>10</v>
      </c>
      <c r="S411" s="56" t="s">
        <v>780</v>
      </c>
    </row>
    <row r="412" spans="1:19" x14ac:dyDescent="0.3">
      <c r="A412" s="34">
        <v>487</v>
      </c>
      <c r="B412" s="3" t="s">
        <v>179</v>
      </c>
      <c r="C412" s="3" t="s">
        <v>180</v>
      </c>
      <c r="D412" s="3" t="s">
        <v>155</v>
      </c>
      <c r="E412" s="4">
        <v>55440</v>
      </c>
      <c r="F412" s="2">
        <v>0</v>
      </c>
      <c r="G412" s="2">
        <v>2</v>
      </c>
      <c r="H412" s="4">
        <v>64000</v>
      </c>
      <c r="I412" s="4">
        <f t="shared" si="12"/>
        <v>64000</v>
      </c>
      <c r="J412" s="5">
        <v>45227</v>
      </c>
      <c r="K412" s="3" t="s">
        <v>134</v>
      </c>
      <c r="L412" s="3" t="str">
        <f>VLOOKUP(DataSales[[#This Row],[Khách hàng]],'RFM Table'!$A:$I,9,FALSE)</f>
        <v>Khách hàng Tiềm năng</v>
      </c>
      <c r="M412" s="4">
        <f t="shared" si="13"/>
        <v>8560</v>
      </c>
      <c r="N412" s="6">
        <v>0.13375000000000001</v>
      </c>
      <c r="O412" s="2">
        <v>2</v>
      </c>
      <c r="P412" s="6">
        <v>0</v>
      </c>
      <c r="Q412" s="36">
        <v>2023</v>
      </c>
      <c r="R412" s="56">
        <f>MONTH(DataSales[[#This Row],[Ngày Xuất]])</f>
        <v>10</v>
      </c>
      <c r="S412" s="56" t="s">
        <v>780</v>
      </c>
    </row>
    <row r="413" spans="1:19" x14ac:dyDescent="0.3">
      <c r="A413" s="35">
        <v>488</v>
      </c>
      <c r="B413" s="8" t="s">
        <v>181</v>
      </c>
      <c r="C413" s="8" t="s">
        <v>182</v>
      </c>
      <c r="D413" s="8" t="s">
        <v>155</v>
      </c>
      <c r="E413" s="9">
        <v>27720</v>
      </c>
      <c r="F413" s="7">
        <v>0</v>
      </c>
      <c r="G413" s="7">
        <v>1</v>
      </c>
      <c r="H413" s="9">
        <v>32000</v>
      </c>
      <c r="I413" s="9">
        <f t="shared" si="12"/>
        <v>32000</v>
      </c>
      <c r="J413" s="10">
        <v>45227</v>
      </c>
      <c r="K413" s="8" t="s">
        <v>134</v>
      </c>
      <c r="L413" s="8" t="str">
        <f>VLOOKUP(DataSales[[#This Row],[Khách hàng]],'RFM Table'!$A:$I,9,FALSE)</f>
        <v>Khách hàng Tiềm năng</v>
      </c>
      <c r="M413" s="9">
        <f t="shared" si="13"/>
        <v>4280</v>
      </c>
      <c r="N413" s="11">
        <v>0.13375000000000001</v>
      </c>
      <c r="O413" s="7">
        <v>1</v>
      </c>
      <c r="P413" s="11">
        <v>0</v>
      </c>
      <c r="Q413" s="37">
        <v>2023</v>
      </c>
      <c r="R413" s="56">
        <f>MONTH(DataSales[[#This Row],[Ngày Xuất]])</f>
        <v>10</v>
      </c>
      <c r="S413" s="56" t="s">
        <v>780</v>
      </c>
    </row>
    <row r="414" spans="1:19" x14ac:dyDescent="0.3">
      <c r="A414" s="34">
        <v>489</v>
      </c>
      <c r="B414" s="3" t="s">
        <v>183</v>
      </c>
      <c r="C414" s="3" t="s">
        <v>184</v>
      </c>
      <c r="D414" s="3" t="s">
        <v>155</v>
      </c>
      <c r="E414" s="4">
        <v>27720</v>
      </c>
      <c r="F414" s="2">
        <v>0</v>
      </c>
      <c r="G414" s="2">
        <v>1</v>
      </c>
      <c r="H414" s="4">
        <v>32000</v>
      </c>
      <c r="I414" s="4">
        <f t="shared" si="12"/>
        <v>32000</v>
      </c>
      <c r="J414" s="5">
        <v>45227</v>
      </c>
      <c r="K414" s="3" t="s">
        <v>134</v>
      </c>
      <c r="L414" s="3" t="str">
        <f>VLOOKUP(DataSales[[#This Row],[Khách hàng]],'RFM Table'!$A:$I,9,FALSE)</f>
        <v>Khách hàng Tiềm năng</v>
      </c>
      <c r="M414" s="4">
        <f t="shared" si="13"/>
        <v>4280</v>
      </c>
      <c r="N414" s="6">
        <v>0.13375000000000001</v>
      </c>
      <c r="O414" s="2">
        <v>1</v>
      </c>
      <c r="P414" s="6">
        <v>0</v>
      </c>
      <c r="Q414" s="36">
        <v>2023</v>
      </c>
      <c r="R414" s="56">
        <f>MONTH(DataSales[[#This Row],[Ngày Xuất]])</f>
        <v>10</v>
      </c>
      <c r="S414" s="56" t="s">
        <v>780</v>
      </c>
    </row>
    <row r="415" spans="1:19" x14ac:dyDescent="0.3">
      <c r="A415" s="35">
        <v>490</v>
      </c>
      <c r="B415" s="8" t="s">
        <v>353</v>
      </c>
      <c r="C415" s="8" t="s">
        <v>354</v>
      </c>
      <c r="D415" s="8" t="s">
        <v>158</v>
      </c>
      <c r="E415" s="9">
        <v>75000</v>
      </c>
      <c r="F415" s="7">
        <v>0</v>
      </c>
      <c r="G415" s="7">
        <v>2</v>
      </c>
      <c r="H415" s="9">
        <v>82000</v>
      </c>
      <c r="I415" s="9">
        <f t="shared" si="12"/>
        <v>82000</v>
      </c>
      <c r="J415" s="10">
        <v>45227</v>
      </c>
      <c r="K415" s="8" t="s">
        <v>134</v>
      </c>
      <c r="L415" s="8" t="str">
        <f>VLOOKUP(DataSales[[#This Row],[Khách hàng]],'RFM Table'!$A:$I,9,FALSE)</f>
        <v>Khách hàng Tiềm năng</v>
      </c>
      <c r="M415" s="9">
        <f t="shared" si="13"/>
        <v>7000</v>
      </c>
      <c r="N415" s="11">
        <v>8.5365853658536592E-2</v>
      </c>
      <c r="O415" s="7">
        <v>2</v>
      </c>
      <c r="P415" s="11">
        <v>0</v>
      </c>
      <c r="Q415" s="37">
        <v>2023</v>
      </c>
      <c r="R415" s="56">
        <f>MONTH(DataSales[[#This Row],[Ngày Xuất]])</f>
        <v>10</v>
      </c>
      <c r="S415" s="56" t="s">
        <v>776</v>
      </c>
    </row>
    <row r="416" spans="1:19" x14ac:dyDescent="0.3">
      <c r="A416" s="34">
        <v>491</v>
      </c>
      <c r="B416" s="3" t="s">
        <v>132</v>
      </c>
      <c r="C416" s="3" t="s">
        <v>133</v>
      </c>
      <c r="D416" s="3" t="s">
        <v>47</v>
      </c>
      <c r="E416" s="4">
        <v>58000</v>
      </c>
      <c r="F416" s="2">
        <v>0</v>
      </c>
      <c r="G416" s="2">
        <v>4</v>
      </c>
      <c r="H416" s="4">
        <v>56000</v>
      </c>
      <c r="I416" s="4">
        <f t="shared" si="12"/>
        <v>56000</v>
      </c>
      <c r="J416" s="5">
        <v>45227</v>
      </c>
      <c r="K416" s="3" t="s">
        <v>134</v>
      </c>
      <c r="L416" s="3" t="str">
        <f>VLOOKUP(DataSales[[#This Row],[Khách hàng]],'RFM Table'!$A:$I,9,FALSE)</f>
        <v>Khách hàng Tiềm năng</v>
      </c>
      <c r="M416" s="4">
        <f t="shared" si="13"/>
        <v>-2000</v>
      </c>
      <c r="N416" s="6">
        <v>-3.5714285714285712E-2</v>
      </c>
      <c r="O416" s="2">
        <v>4</v>
      </c>
      <c r="P416" s="6">
        <v>0</v>
      </c>
      <c r="Q416" s="36">
        <v>2023</v>
      </c>
      <c r="R416" s="56">
        <f>MONTH(DataSales[[#This Row],[Ngày Xuất]])</f>
        <v>10</v>
      </c>
      <c r="S416" s="56" t="s">
        <v>776</v>
      </c>
    </row>
    <row r="417" spans="1:19" x14ac:dyDescent="0.3">
      <c r="A417" s="35">
        <v>492</v>
      </c>
      <c r="B417" s="8" t="s">
        <v>137</v>
      </c>
      <c r="C417" s="8" t="s">
        <v>138</v>
      </c>
      <c r="D417" s="8" t="s">
        <v>47</v>
      </c>
      <c r="E417" s="9">
        <v>87000</v>
      </c>
      <c r="F417" s="7">
        <v>0</v>
      </c>
      <c r="G417" s="7">
        <v>6</v>
      </c>
      <c r="H417" s="9">
        <v>84000</v>
      </c>
      <c r="I417" s="9">
        <f t="shared" si="12"/>
        <v>84000</v>
      </c>
      <c r="J417" s="10">
        <v>45227</v>
      </c>
      <c r="K417" s="8" t="s">
        <v>134</v>
      </c>
      <c r="L417" s="8" t="str">
        <f>VLOOKUP(DataSales[[#This Row],[Khách hàng]],'RFM Table'!$A:$I,9,FALSE)</f>
        <v>Khách hàng Tiềm năng</v>
      </c>
      <c r="M417" s="9">
        <f t="shared" si="13"/>
        <v>-3000</v>
      </c>
      <c r="N417" s="11">
        <v>-3.5714285714285712E-2</v>
      </c>
      <c r="O417" s="7">
        <v>6</v>
      </c>
      <c r="P417" s="11">
        <v>0</v>
      </c>
      <c r="Q417" s="37">
        <v>2023</v>
      </c>
      <c r="R417" s="56">
        <f>MONTH(DataSales[[#This Row],[Ngày Xuất]])</f>
        <v>10</v>
      </c>
      <c r="S417" s="56" t="s">
        <v>776</v>
      </c>
    </row>
    <row r="418" spans="1:19" x14ac:dyDescent="0.3">
      <c r="A418" s="34">
        <v>493</v>
      </c>
      <c r="B418" s="3" t="s">
        <v>197</v>
      </c>
      <c r="C418" s="3" t="s">
        <v>198</v>
      </c>
      <c r="D418" s="3" t="s">
        <v>32</v>
      </c>
      <c r="E418" s="4">
        <v>180000</v>
      </c>
      <c r="F418" s="2">
        <v>0</v>
      </c>
      <c r="G418" s="2">
        <v>10</v>
      </c>
      <c r="H418" s="4">
        <v>230000</v>
      </c>
      <c r="I418" s="4">
        <f t="shared" si="12"/>
        <v>230000</v>
      </c>
      <c r="J418" s="5">
        <v>45227</v>
      </c>
      <c r="K418" s="3" t="s">
        <v>480</v>
      </c>
      <c r="L418" s="3" t="str">
        <f>VLOOKUP(DataSales[[#This Row],[Khách hàng]],'RFM Table'!$A:$I,9,FALSE)</f>
        <v>Khách hàng Trung thành</v>
      </c>
      <c r="M418" s="4">
        <f t="shared" si="13"/>
        <v>50000</v>
      </c>
      <c r="N418" s="6">
        <v>0.21739130434782611</v>
      </c>
      <c r="O418" s="2">
        <v>10</v>
      </c>
      <c r="P418" s="6">
        <v>0</v>
      </c>
      <c r="Q418" s="36">
        <v>2023</v>
      </c>
      <c r="R418" s="56">
        <f>MONTH(DataSales[[#This Row],[Ngày Xuất]])</f>
        <v>10</v>
      </c>
      <c r="S418" s="56" t="s">
        <v>779</v>
      </c>
    </row>
    <row r="419" spans="1:19" x14ac:dyDescent="0.3">
      <c r="A419" s="35">
        <v>494</v>
      </c>
      <c r="B419" s="8" t="s">
        <v>205</v>
      </c>
      <c r="C419" s="8" t="s">
        <v>206</v>
      </c>
      <c r="D419" s="8" t="s">
        <v>47</v>
      </c>
      <c r="E419" s="9">
        <v>600000</v>
      </c>
      <c r="F419" s="7">
        <v>0</v>
      </c>
      <c r="G419" s="7">
        <v>6</v>
      </c>
      <c r="H419" s="9">
        <v>1308000</v>
      </c>
      <c r="I419" s="9">
        <f t="shared" si="12"/>
        <v>1308000</v>
      </c>
      <c r="J419" s="10">
        <v>45227</v>
      </c>
      <c r="K419" s="8" t="s">
        <v>480</v>
      </c>
      <c r="L419" s="8" t="str">
        <f>VLOOKUP(DataSales[[#This Row],[Khách hàng]],'RFM Table'!$A:$I,9,FALSE)</f>
        <v>Khách hàng Trung thành</v>
      </c>
      <c r="M419" s="9">
        <f t="shared" si="13"/>
        <v>708000</v>
      </c>
      <c r="N419" s="11">
        <v>0.54128440366972475</v>
      </c>
      <c r="O419" s="7">
        <v>6</v>
      </c>
      <c r="P419" s="11">
        <v>0</v>
      </c>
      <c r="Q419" s="37">
        <v>2023</v>
      </c>
      <c r="R419" s="56">
        <f>MONTH(DataSales[[#This Row],[Ngày Xuất]])</f>
        <v>10</v>
      </c>
      <c r="S419" s="56" t="s">
        <v>779</v>
      </c>
    </row>
    <row r="420" spans="1:19" x14ac:dyDescent="0.3">
      <c r="A420" s="34">
        <v>495</v>
      </c>
      <c r="B420" s="3" t="s">
        <v>119</v>
      </c>
      <c r="C420" s="3" t="s">
        <v>120</v>
      </c>
      <c r="D420" s="3" t="s">
        <v>47</v>
      </c>
      <c r="E420" s="4">
        <v>300000</v>
      </c>
      <c r="F420" s="2">
        <v>3</v>
      </c>
      <c r="G420" s="2">
        <v>3</v>
      </c>
      <c r="H420" s="4">
        <v>327000</v>
      </c>
      <c r="I420" s="4">
        <f t="shared" si="12"/>
        <v>327000</v>
      </c>
      <c r="J420" s="5">
        <v>45227</v>
      </c>
      <c r="K420" s="3" t="s">
        <v>480</v>
      </c>
      <c r="L420" s="3" t="str">
        <f>VLOOKUP(DataSales[[#This Row],[Khách hàng]],'RFM Table'!$A:$I,9,FALSE)</f>
        <v>Khách hàng Trung thành</v>
      </c>
      <c r="M420" s="4">
        <f t="shared" si="13"/>
        <v>27000</v>
      </c>
      <c r="N420" s="6">
        <v>8.2568807339449546E-2</v>
      </c>
      <c r="O420" s="2">
        <v>6</v>
      </c>
      <c r="P420" s="6">
        <v>0.5</v>
      </c>
      <c r="Q420" s="36">
        <v>2023</v>
      </c>
      <c r="R420" s="56">
        <f>MONTH(DataSales[[#This Row],[Ngày Xuất]])</f>
        <v>10</v>
      </c>
      <c r="S420" s="56" t="s">
        <v>779</v>
      </c>
    </row>
    <row r="421" spans="1:19" x14ac:dyDescent="0.3">
      <c r="A421" s="35">
        <v>497</v>
      </c>
      <c r="B421" s="8" t="s">
        <v>226</v>
      </c>
      <c r="C421" s="8" t="s">
        <v>227</v>
      </c>
      <c r="D421" s="8" t="s">
        <v>32</v>
      </c>
      <c r="E421" s="9">
        <v>300000</v>
      </c>
      <c r="F421" s="7">
        <v>0</v>
      </c>
      <c r="G421" s="7">
        <v>12</v>
      </c>
      <c r="H421" s="9">
        <v>444000</v>
      </c>
      <c r="I421" s="9">
        <f t="shared" si="12"/>
        <v>444000</v>
      </c>
      <c r="J421" s="10">
        <v>45227</v>
      </c>
      <c r="K421" s="8" t="s">
        <v>481</v>
      </c>
      <c r="L421" s="8" t="str">
        <f>VLOOKUP(DataSales[[#This Row],[Khách hàng]],'RFM Table'!$A:$I,9,FALSE)</f>
        <v>Khách hàng Tiềm năng</v>
      </c>
      <c r="M421" s="9">
        <f t="shared" si="13"/>
        <v>144000</v>
      </c>
      <c r="N421" s="11">
        <v>0.32432432432432429</v>
      </c>
      <c r="O421" s="7">
        <v>12</v>
      </c>
      <c r="P421" s="11">
        <v>0</v>
      </c>
      <c r="Q421" s="37">
        <v>2023</v>
      </c>
      <c r="R421" s="56">
        <f>MONTH(DataSales[[#This Row],[Ngày Xuất]])</f>
        <v>10</v>
      </c>
      <c r="S421" s="56" t="s">
        <v>779</v>
      </c>
    </row>
    <row r="422" spans="1:19" x14ac:dyDescent="0.3">
      <c r="A422" s="34">
        <v>499</v>
      </c>
      <c r="B422" s="3" t="s">
        <v>200</v>
      </c>
      <c r="C422" s="3" t="s">
        <v>201</v>
      </c>
      <c r="D422" s="3" t="s">
        <v>32</v>
      </c>
      <c r="E422" s="4">
        <v>66429</v>
      </c>
      <c r="F422" s="2">
        <v>0</v>
      </c>
      <c r="G422" s="2">
        <v>3</v>
      </c>
      <c r="H422" s="4">
        <v>90000</v>
      </c>
      <c r="I422" s="4">
        <f t="shared" si="12"/>
        <v>90000</v>
      </c>
      <c r="J422" s="5">
        <v>45227</v>
      </c>
      <c r="K422" s="3" t="s">
        <v>482</v>
      </c>
      <c r="L422" s="3" t="str">
        <f>VLOOKUP(DataSales[[#This Row],[Khách hàng]],'RFM Table'!$A:$I,9,FALSE)</f>
        <v>Khách hàng Tiềm năng</v>
      </c>
      <c r="M422" s="4">
        <f t="shared" si="13"/>
        <v>23571</v>
      </c>
      <c r="N422" s="6">
        <v>0.26190000000000002</v>
      </c>
      <c r="O422" s="2">
        <v>3</v>
      </c>
      <c r="P422" s="6">
        <v>0</v>
      </c>
      <c r="Q422" s="36">
        <v>2023</v>
      </c>
      <c r="R422" s="56">
        <f>MONTH(DataSales[[#This Row],[Ngày Xuất]])</f>
        <v>10</v>
      </c>
      <c r="S422" s="56" t="s">
        <v>779</v>
      </c>
    </row>
    <row r="423" spans="1:19" x14ac:dyDescent="0.3">
      <c r="A423" s="35">
        <v>500</v>
      </c>
      <c r="B423" s="8" t="s">
        <v>57</v>
      </c>
      <c r="C423" s="8" t="s">
        <v>58</v>
      </c>
      <c r="D423" s="8" t="s">
        <v>18</v>
      </c>
      <c r="E423" s="9">
        <v>38500</v>
      </c>
      <c r="F423" s="7">
        <v>0</v>
      </c>
      <c r="G423" s="7">
        <v>5</v>
      </c>
      <c r="H423" s="9">
        <v>50000</v>
      </c>
      <c r="I423" s="9">
        <f t="shared" si="12"/>
        <v>50000</v>
      </c>
      <c r="J423" s="10">
        <v>45227</v>
      </c>
      <c r="K423" s="8" t="s">
        <v>482</v>
      </c>
      <c r="L423" s="8" t="str">
        <f>VLOOKUP(DataSales[[#This Row],[Khách hàng]],'RFM Table'!$A:$I,9,FALSE)</f>
        <v>Khách hàng Tiềm năng</v>
      </c>
      <c r="M423" s="9">
        <f t="shared" si="13"/>
        <v>11500</v>
      </c>
      <c r="N423" s="11">
        <v>0.23</v>
      </c>
      <c r="O423" s="7">
        <v>5</v>
      </c>
      <c r="P423" s="11">
        <v>0</v>
      </c>
      <c r="Q423" s="37">
        <v>2023</v>
      </c>
      <c r="R423" s="56">
        <f>MONTH(DataSales[[#This Row],[Ngày Xuất]])</f>
        <v>10</v>
      </c>
      <c r="S423" s="56" t="s">
        <v>775</v>
      </c>
    </row>
    <row r="424" spans="1:19" x14ac:dyDescent="0.3">
      <c r="A424" s="34">
        <v>501</v>
      </c>
      <c r="B424" s="3" t="s">
        <v>294</v>
      </c>
      <c r="C424" s="3" t="s">
        <v>295</v>
      </c>
      <c r="D424" s="3" t="s">
        <v>18</v>
      </c>
      <c r="E424" s="4">
        <v>55000</v>
      </c>
      <c r="F424" s="2">
        <v>0</v>
      </c>
      <c r="G424" s="2">
        <v>10</v>
      </c>
      <c r="H424" s="4">
        <v>60000</v>
      </c>
      <c r="I424" s="4">
        <f t="shared" si="12"/>
        <v>60000</v>
      </c>
      <c r="J424" s="5">
        <v>45227</v>
      </c>
      <c r="K424" s="3" t="s">
        <v>482</v>
      </c>
      <c r="L424" s="3" t="str">
        <f>VLOOKUP(DataSales[[#This Row],[Khách hàng]],'RFM Table'!$A:$I,9,FALSE)</f>
        <v>Khách hàng Tiềm năng</v>
      </c>
      <c r="M424" s="4">
        <f t="shared" si="13"/>
        <v>5000</v>
      </c>
      <c r="N424" s="6">
        <v>8.3333333333333329E-2</v>
      </c>
      <c r="O424" s="2">
        <v>10</v>
      </c>
      <c r="P424" s="6">
        <v>0</v>
      </c>
      <c r="Q424" s="36">
        <v>2023</v>
      </c>
      <c r="R424" s="56">
        <f>MONTH(DataSales[[#This Row],[Ngày Xuất]])</f>
        <v>10</v>
      </c>
      <c r="S424" s="56" t="s">
        <v>775</v>
      </c>
    </row>
    <row r="425" spans="1:19" x14ac:dyDescent="0.3">
      <c r="A425" s="35">
        <v>502</v>
      </c>
      <c r="B425" s="8" t="s">
        <v>126</v>
      </c>
      <c r="C425" s="8" t="s">
        <v>127</v>
      </c>
      <c r="D425" s="8" t="s">
        <v>18</v>
      </c>
      <c r="E425" s="9">
        <v>67500</v>
      </c>
      <c r="F425" s="7">
        <v>0</v>
      </c>
      <c r="G425" s="7">
        <v>10</v>
      </c>
      <c r="H425" s="9">
        <v>75000</v>
      </c>
      <c r="I425" s="9">
        <f t="shared" si="12"/>
        <v>75000</v>
      </c>
      <c r="J425" s="10">
        <v>45227</v>
      </c>
      <c r="K425" s="8" t="s">
        <v>482</v>
      </c>
      <c r="L425" s="8" t="str">
        <f>VLOOKUP(DataSales[[#This Row],[Khách hàng]],'RFM Table'!$A:$I,9,FALSE)</f>
        <v>Khách hàng Tiềm năng</v>
      </c>
      <c r="M425" s="9">
        <f t="shared" si="13"/>
        <v>7500</v>
      </c>
      <c r="N425" s="11">
        <v>0.1</v>
      </c>
      <c r="O425" s="7">
        <v>10</v>
      </c>
      <c r="P425" s="11">
        <v>0</v>
      </c>
      <c r="Q425" s="37">
        <v>2023</v>
      </c>
      <c r="R425" s="56">
        <f>MONTH(DataSales[[#This Row],[Ngày Xuất]])</f>
        <v>10</v>
      </c>
      <c r="S425" s="56" t="s">
        <v>772</v>
      </c>
    </row>
    <row r="426" spans="1:19" x14ac:dyDescent="0.3">
      <c r="A426" s="34">
        <v>504</v>
      </c>
      <c r="B426" s="3" t="s">
        <v>483</v>
      </c>
      <c r="C426" s="3" t="s">
        <v>484</v>
      </c>
      <c r="D426" s="3" t="s">
        <v>32</v>
      </c>
      <c r="E426" s="4">
        <v>80000</v>
      </c>
      <c r="F426" s="2">
        <v>4</v>
      </c>
      <c r="G426" s="2">
        <v>20</v>
      </c>
      <c r="H426" s="4">
        <v>217000</v>
      </c>
      <c r="I426" s="4">
        <f t="shared" si="12"/>
        <v>217000</v>
      </c>
      <c r="J426" s="5">
        <v>45232</v>
      </c>
      <c r="K426" s="3" t="s">
        <v>341</v>
      </c>
      <c r="L426" s="3" t="str">
        <f>VLOOKUP(DataSales[[#This Row],[Khách hàng]],'RFM Table'!$A:$I,9,FALSE)</f>
        <v>Khách hàng VIP</v>
      </c>
      <c r="M426" s="4">
        <f t="shared" si="13"/>
        <v>137000</v>
      </c>
      <c r="N426" s="6">
        <v>0.63133640552995396</v>
      </c>
      <c r="O426" s="2">
        <v>24</v>
      </c>
      <c r="P426" s="6">
        <v>0.16666666666666671</v>
      </c>
      <c r="Q426" s="36">
        <v>2023</v>
      </c>
      <c r="R426" s="56">
        <f>MONTH(DataSales[[#This Row],[Ngày Xuất]])</f>
        <v>11</v>
      </c>
      <c r="S426" s="56" t="s">
        <v>774</v>
      </c>
    </row>
    <row r="427" spans="1:19" x14ac:dyDescent="0.3">
      <c r="A427" s="35">
        <v>505</v>
      </c>
      <c r="B427" s="8" t="s">
        <v>485</v>
      </c>
      <c r="C427" s="8" t="s">
        <v>486</v>
      </c>
      <c r="D427" s="8" t="s">
        <v>32</v>
      </c>
      <c r="E427" s="9">
        <v>75000</v>
      </c>
      <c r="F427" s="7">
        <v>4</v>
      </c>
      <c r="G427" s="7">
        <v>20</v>
      </c>
      <c r="H427" s="9">
        <v>217000</v>
      </c>
      <c r="I427" s="9">
        <f t="shared" si="12"/>
        <v>217000</v>
      </c>
      <c r="J427" s="10">
        <v>45232</v>
      </c>
      <c r="K427" s="8" t="s">
        <v>341</v>
      </c>
      <c r="L427" s="8" t="str">
        <f>VLOOKUP(DataSales[[#This Row],[Khách hàng]],'RFM Table'!$A:$I,9,FALSE)</f>
        <v>Khách hàng VIP</v>
      </c>
      <c r="M427" s="9">
        <f t="shared" si="13"/>
        <v>142000</v>
      </c>
      <c r="N427" s="11">
        <v>0.65437788018433185</v>
      </c>
      <c r="O427" s="7">
        <v>24</v>
      </c>
      <c r="P427" s="11">
        <v>0.16666666666666671</v>
      </c>
      <c r="Q427" s="37">
        <v>2023</v>
      </c>
      <c r="R427" s="56">
        <f>MONTH(DataSales[[#This Row],[Ngày Xuất]])</f>
        <v>11</v>
      </c>
      <c r="S427" s="56" t="s">
        <v>774</v>
      </c>
    </row>
    <row r="428" spans="1:19" x14ac:dyDescent="0.3">
      <c r="A428" s="34">
        <v>506</v>
      </c>
      <c r="B428" s="3" t="s">
        <v>487</v>
      </c>
      <c r="C428" s="3" t="s">
        <v>488</v>
      </c>
      <c r="D428" s="3" t="s">
        <v>369</v>
      </c>
      <c r="E428" s="4">
        <v>36000</v>
      </c>
      <c r="F428" s="2">
        <v>1</v>
      </c>
      <c r="G428" s="2">
        <v>9</v>
      </c>
      <c r="H428" s="4">
        <v>121500</v>
      </c>
      <c r="I428" s="4">
        <f t="shared" si="12"/>
        <v>121500</v>
      </c>
      <c r="J428" s="5">
        <v>45232</v>
      </c>
      <c r="K428" s="3" t="s">
        <v>341</v>
      </c>
      <c r="L428" s="3" t="str">
        <f>VLOOKUP(DataSales[[#This Row],[Khách hàng]],'RFM Table'!$A:$I,9,FALSE)</f>
        <v>Khách hàng VIP</v>
      </c>
      <c r="M428" s="4">
        <f t="shared" si="13"/>
        <v>85500</v>
      </c>
      <c r="N428" s="6">
        <v>0.70370370370370372</v>
      </c>
      <c r="O428" s="2">
        <v>10</v>
      </c>
      <c r="P428" s="6">
        <v>0.1</v>
      </c>
      <c r="Q428" s="36">
        <v>2023</v>
      </c>
      <c r="R428" s="56">
        <f>MONTH(DataSales[[#This Row],[Ngày Xuất]])</f>
        <v>11</v>
      </c>
      <c r="S428" s="56" t="s">
        <v>774</v>
      </c>
    </row>
    <row r="429" spans="1:19" x14ac:dyDescent="0.3">
      <c r="A429" s="35">
        <v>507</v>
      </c>
      <c r="B429" s="8" t="s">
        <v>489</v>
      </c>
      <c r="C429" s="8" t="s">
        <v>490</v>
      </c>
      <c r="D429" s="8" t="s">
        <v>32</v>
      </c>
      <c r="E429" s="9">
        <v>1008000</v>
      </c>
      <c r="F429" s="7">
        <v>4</v>
      </c>
      <c r="G429" s="7">
        <v>24</v>
      </c>
      <c r="H429" s="9">
        <v>762000</v>
      </c>
      <c r="I429" s="9">
        <f t="shared" si="12"/>
        <v>762000</v>
      </c>
      <c r="J429" s="10">
        <v>45232</v>
      </c>
      <c r="K429" s="8" t="s">
        <v>341</v>
      </c>
      <c r="L429" s="8" t="str">
        <f>VLOOKUP(DataSales[[#This Row],[Khách hàng]],'RFM Table'!$A:$I,9,FALSE)</f>
        <v>Khách hàng VIP</v>
      </c>
      <c r="M429" s="9">
        <f t="shared" si="13"/>
        <v>-246000</v>
      </c>
      <c r="N429" s="11">
        <v>-0.32283464566929132</v>
      </c>
      <c r="O429" s="7">
        <v>28</v>
      </c>
      <c r="P429" s="11">
        <v>0.14285714285714279</v>
      </c>
      <c r="Q429" s="37">
        <v>2023</v>
      </c>
      <c r="R429" s="56">
        <f>MONTH(DataSales[[#This Row],[Ngày Xuất]])</f>
        <v>11</v>
      </c>
      <c r="S429" s="56" t="s">
        <v>774</v>
      </c>
    </row>
    <row r="430" spans="1:19" x14ac:dyDescent="0.3">
      <c r="A430" s="34">
        <v>508</v>
      </c>
      <c r="B430" s="3" t="s">
        <v>491</v>
      </c>
      <c r="C430" s="3" t="s">
        <v>492</v>
      </c>
      <c r="D430" s="3" t="s">
        <v>32</v>
      </c>
      <c r="E430" s="4">
        <v>93336</v>
      </c>
      <c r="F430" s="2">
        <v>0</v>
      </c>
      <c r="G430" s="2">
        <v>8</v>
      </c>
      <c r="H430" s="4">
        <v>120000</v>
      </c>
      <c r="I430" s="4">
        <f t="shared" si="12"/>
        <v>120000</v>
      </c>
      <c r="J430" s="5">
        <v>45232</v>
      </c>
      <c r="K430" s="3" t="s">
        <v>341</v>
      </c>
      <c r="L430" s="3" t="str">
        <f>VLOOKUP(DataSales[[#This Row],[Khách hàng]],'RFM Table'!$A:$I,9,FALSE)</f>
        <v>Khách hàng VIP</v>
      </c>
      <c r="M430" s="4">
        <f t="shared" si="13"/>
        <v>26664</v>
      </c>
      <c r="N430" s="6">
        <v>0.22220000000000001</v>
      </c>
      <c r="O430" s="2">
        <v>8</v>
      </c>
      <c r="P430" s="6">
        <v>0</v>
      </c>
      <c r="Q430" s="36">
        <v>2023</v>
      </c>
      <c r="R430" s="56">
        <f>MONTH(DataSales[[#This Row],[Ngày Xuất]])</f>
        <v>11</v>
      </c>
      <c r="S430" s="56" t="s">
        <v>774</v>
      </c>
    </row>
    <row r="431" spans="1:19" x14ac:dyDescent="0.3">
      <c r="A431" s="35">
        <v>509</v>
      </c>
      <c r="B431" s="8" t="s">
        <v>493</v>
      </c>
      <c r="C431" s="8" t="s">
        <v>494</v>
      </c>
      <c r="D431" s="8" t="s">
        <v>32</v>
      </c>
      <c r="E431" s="9">
        <v>93336</v>
      </c>
      <c r="F431" s="7">
        <v>0</v>
      </c>
      <c r="G431" s="7">
        <v>8</v>
      </c>
      <c r="H431" s="9">
        <v>120000</v>
      </c>
      <c r="I431" s="9">
        <f t="shared" si="12"/>
        <v>120000</v>
      </c>
      <c r="J431" s="10">
        <v>45232</v>
      </c>
      <c r="K431" s="8" t="s">
        <v>341</v>
      </c>
      <c r="L431" s="8" t="str">
        <f>VLOOKUP(DataSales[[#This Row],[Khách hàng]],'RFM Table'!$A:$I,9,FALSE)</f>
        <v>Khách hàng VIP</v>
      </c>
      <c r="M431" s="9">
        <f t="shared" si="13"/>
        <v>26664</v>
      </c>
      <c r="N431" s="11">
        <v>0.22220000000000001</v>
      </c>
      <c r="O431" s="7">
        <v>8</v>
      </c>
      <c r="P431" s="11">
        <v>0</v>
      </c>
      <c r="Q431" s="37">
        <v>2023</v>
      </c>
      <c r="R431" s="56">
        <f>MONTH(DataSales[[#This Row],[Ngày Xuất]])</f>
        <v>11</v>
      </c>
      <c r="S431" s="56" t="s">
        <v>774</v>
      </c>
    </row>
    <row r="432" spans="1:19" x14ac:dyDescent="0.3">
      <c r="A432" s="34">
        <v>510</v>
      </c>
      <c r="B432" s="3" t="s">
        <v>495</v>
      </c>
      <c r="C432" s="3" t="s">
        <v>496</v>
      </c>
      <c r="D432" s="3" t="s">
        <v>32</v>
      </c>
      <c r="E432" s="4">
        <v>93336</v>
      </c>
      <c r="F432" s="2">
        <v>4</v>
      </c>
      <c r="G432" s="2">
        <v>8</v>
      </c>
      <c r="H432" s="4">
        <v>69000</v>
      </c>
      <c r="I432" s="4">
        <f t="shared" si="12"/>
        <v>69000</v>
      </c>
      <c r="J432" s="5">
        <v>45232</v>
      </c>
      <c r="K432" s="3" t="s">
        <v>341</v>
      </c>
      <c r="L432" s="3" t="str">
        <f>VLOOKUP(DataSales[[#This Row],[Khách hàng]],'RFM Table'!$A:$I,9,FALSE)</f>
        <v>Khách hàng VIP</v>
      </c>
      <c r="M432" s="4">
        <f t="shared" si="13"/>
        <v>-24336</v>
      </c>
      <c r="N432" s="6">
        <v>-0.35269565217391302</v>
      </c>
      <c r="O432" s="2">
        <v>12</v>
      </c>
      <c r="P432" s="6">
        <v>0.33333333333333331</v>
      </c>
      <c r="Q432" s="36">
        <v>2023</v>
      </c>
      <c r="R432" s="56">
        <f>MONTH(DataSales[[#This Row],[Ngày Xuất]])</f>
        <v>11</v>
      </c>
      <c r="S432" s="56" t="s">
        <v>774</v>
      </c>
    </row>
    <row r="433" spans="1:19" x14ac:dyDescent="0.3">
      <c r="A433" s="35">
        <v>511</v>
      </c>
      <c r="B433" s="8" t="s">
        <v>34</v>
      </c>
      <c r="C433" s="8" t="s">
        <v>35</v>
      </c>
      <c r="D433" s="8" t="s">
        <v>32</v>
      </c>
      <c r="E433" s="9">
        <v>93600</v>
      </c>
      <c r="F433" s="7">
        <v>0</v>
      </c>
      <c r="G433" s="7">
        <v>12</v>
      </c>
      <c r="H433" s="9">
        <v>150000</v>
      </c>
      <c r="I433" s="9">
        <f t="shared" si="12"/>
        <v>150000</v>
      </c>
      <c r="J433" s="10">
        <v>45232</v>
      </c>
      <c r="K433" s="8" t="s">
        <v>341</v>
      </c>
      <c r="L433" s="8" t="str">
        <f>VLOOKUP(DataSales[[#This Row],[Khách hàng]],'RFM Table'!$A:$I,9,FALSE)</f>
        <v>Khách hàng VIP</v>
      </c>
      <c r="M433" s="9">
        <f t="shared" si="13"/>
        <v>56400</v>
      </c>
      <c r="N433" s="11">
        <v>0.376</v>
      </c>
      <c r="O433" s="7">
        <v>12</v>
      </c>
      <c r="P433" s="11">
        <v>0</v>
      </c>
      <c r="Q433" s="37">
        <v>2023</v>
      </c>
      <c r="R433" s="56">
        <f>MONTH(DataSales[[#This Row],[Ngày Xuất]])</f>
        <v>11</v>
      </c>
      <c r="S433" s="56" t="s">
        <v>774</v>
      </c>
    </row>
    <row r="434" spans="1:19" x14ac:dyDescent="0.3">
      <c r="A434" s="34">
        <v>513</v>
      </c>
      <c r="B434" s="3" t="s">
        <v>447</v>
      </c>
      <c r="C434" s="3" t="s">
        <v>448</v>
      </c>
      <c r="D434" s="3" t="s">
        <v>47</v>
      </c>
      <c r="E434" s="4">
        <v>450000</v>
      </c>
      <c r="F434" s="2">
        <v>0</v>
      </c>
      <c r="G434" s="2">
        <v>60</v>
      </c>
      <c r="H434" s="4">
        <v>660000</v>
      </c>
      <c r="I434" s="4">
        <f t="shared" si="12"/>
        <v>660000</v>
      </c>
      <c r="J434" s="5">
        <v>45233</v>
      </c>
      <c r="K434" s="3" t="s">
        <v>409</v>
      </c>
      <c r="L434" s="3" t="str">
        <f>VLOOKUP(DataSales[[#This Row],[Khách hàng]],'RFM Table'!$A:$I,9,FALSE)</f>
        <v>Khách hàng Trung thành</v>
      </c>
      <c r="M434" s="4">
        <f t="shared" si="13"/>
        <v>210000</v>
      </c>
      <c r="N434" s="6">
        <v>0.31818181818181818</v>
      </c>
      <c r="O434" s="2">
        <v>60</v>
      </c>
      <c r="P434" s="6">
        <v>0</v>
      </c>
      <c r="Q434" s="36">
        <v>2023</v>
      </c>
      <c r="R434" s="56">
        <f>MONTH(DataSales[[#This Row],[Ngày Xuất]])</f>
        <v>11</v>
      </c>
      <c r="S434" s="56" t="s">
        <v>773</v>
      </c>
    </row>
    <row r="435" spans="1:19" x14ac:dyDescent="0.3">
      <c r="A435" s="35">
        <v>514</v>
      </c>
      <c r="B435" s="8" t="s">
        <v>65</v>
      </c>
      <c r="C435" s="8" t="s">
        <v>66</v>
      </c>
      <c r="D435" s="8" t="s">
        <v>18</v>
      </c>
      <c r="E435" s="9">
        <v>200010</v>
      </c>
      <c r="F435" s="7">
        <v>0</v>
      </c>
      <c r="G435" s="7">
        <v>30</v>
      </c>
      <c r="H435" s="9">
        <v>225000</v>
      </c>
      <c r="I435" s="9">
        <f t="shared" si="12"/>
        <v>225000</v>
      </c>
      <c r="J435" s="10">
        <v>45233</v>
      </c>
      <c r="K435" s="8" t="s">
        <v>409</v>
      </c>
      <c r="L435" s="8" t="str">
        <f>VLOOKUP(DataSales[[#This Row],[Khách hàng]],'RFM Table'!$A:$I,9,FALSE)</f>
        <v>Khách hàng Trung thành</v>
      </c>
      <c r="M435" s="9">
        <f t="shared" si="13"/>
        <v>24990</v>
      </c>
      <c r="N435" s="11">
        <v>0.1110666666666667</v>
      </c>
      <c r="O435" s="7">
        <v>30</v>
      </c>
      <c r="P435" s="11">
        <v>0</v>
      </c>
      <c r="Q435" s="37">
        <v>2023</v>
      </c>
      <c r="R435" s="56">
        <f>MONTH(DataSales[[#This Row],[Ngày Xuất]])</f>
        <v>11</v>
      </c>
      <c r="S435" s="56" t="s">
        <v>772</v>
      </c>
    </row>
    <row r="436" spans="1:19" x14ac:dyDescent="0.3">
      <c r="A436" s="34">
        <v>515</v>
      </c>
      <c r="B436" s="3" t="s">
        <v>497</v>
      </c>
      <c r="C436" s="3" t="s">
        <v>498</v>
      </c>
      <c r="D436" s="3" t="s">
        <v>22</v>
      </c>
      <c r="E436" s="4">
        <v>38335</v>
      </c>
      <c r="F436" s="2">
        <v>1</v>
      </c>
      <c r="G436" s="2">
        <v>5</v>
      </c>
      <c r="H436" s="4">
        <v>62500</v>
      </c>
      <c r="I436" s="4">
        <f t="shared" si="12"/>
        <v>62500</v>
      </c>
      <c r="J436" s="5">
        <v>45233</v>
      </c>
      <c r="K436" s="3" t="s">
        <v>409</v>
      </c>
      <c r="L436" s="3" t="str">
        <f>VLOOKUP(DataSales[[#This Row],[Khách hàng]],'RFM Table'!$A:$I,9,FALSE)</f>
        <v>Khách hàng Trung thành</v>
      </c>
      <c r="M436" s="4">
        <f t="shared" si="13"/>
        <v>24165</v>
      </c>
      <c r="N436" s="6">
        <v>0.38663999999999998</v>
      </c>
      <c r="O436" s="2">
        <v>6</v>
      </c>
      <c r="P436" s="6">
        <v>0.16666666666666671</v>
      </c>
      <c r="Q436" s="36">
        <v>2023</v>
      </c>
      <c r="R436" s="56">
        <f>MONTH(DataSales[[#This Row],[Ngày Xuất]])</f>
        <v>11</v>
      </c>
      <c r="S436" s="56" t="s">
        <v>773</v>
      </c>
    </row>
    <row r="437" spans="1:19" x14ac:dyDescent="0.3">
      <c r="A437" s="35">
        <v>516</v>
      </c>
      <c r="B437" s="8" t="s">
        <v>344</v>
      </c>
      <c r="C437" s="8" t="s">
        <v>345</v>
      </c>
      <c r="D437" s="8" t="s">
        <v>18</v>
      </c>
      <c r="E437" s="9">
        <v>52500</v>
      </c>
      <c r="F437" s="7">
        <v>0</v>
      </c>
      <c r="G437" s="7">
        <v>10</v>
      </c>
      <c r="H437" s="9">
        <v>70000</v>
      </c>
      <c r="I437" s="9">
        <f t="shared" si="12"/>
        <v>70000</v>
      </c>
      <c r="J437" s="10">
        <v>45233</v>
      </c>
      <c r="K437" s="8" t="s">
        <v>499</v>
      </c>
      <c r="L437" s="8" t="str">
        <f>VLOOKUP(DataSales[[#This Row],[Khách hàng]],'RFM Table'!$A:$I,9,FALSE)</f>
        <v>Khách hàng Tiềm năng</v>
      </c>
      <c r="M437" s="9">
        <f t="shared" si="13"/>
        <v>17500</v>
      </c>
      <c r="N437" s="11">
        <v>0.25</v>
      </c>
      <c r="O437" s="7">
        <v>10</v>
      </c>
      <c r="P437" s="11">
        <v>0</v>
      </c>
      <c r="Q437" s="37">
        <v>2023</v>
      </c>
      <c r="R437" s="56">
        <f>MONTH(DataSales[[#This Row],[Ngày Xuất]])</f>
        <v>11</v>
      </c>
      <c r="S437" s="56" t="s">
        <v>776</v>
      </c>
    </row>
    <row r="438" spans="1:19" x14ac:dyDescent="0.3">
      <c r="A438" s="34">
        <v>517</v>
      </c>
      <c r="B438" s="3" t="s">
        <v>292</v>
      </c>
      <c r="C438" s="3" t="s">
        <v>293</v>
      </c>
      <c r="D438" s="3" t="s">
        <v>18</v>
      </c>
      <c r="E438" s="4">
        <v>52500</v>
      </c>
      <c r="F438" s="2">
        <v>0</v>
      </c>
      <c r="G438" s="2">
        <v>10</v>
      </c>
      <c r="H438" s="4">
        <v>70000</v>
      </c>
      <c r="I438" s="4">
        <f t="shared" si="12"/>
        <v>70000</v>
      </c>
      <c r="J438" s="5">
        <v>45233</v>
      </c>
      <c r="K438" s="3" t="s">
        <v>499</v>
      </c>
      <c r="L438" s="3" t="str">
        <f>VLOOKUP(DataSales[[#This Row],[Khách hàng]],'RFM Table'!$A:$I,9,FALSE)</f>
        <v>Khách hàng Tiềm năng</v>
      </c>
      <c r="M438" s="4">
        <f t="shared" si="13"/>
        <v>17500</v>
      </c>
      <c r="N438" s="6">
        <v>0.25</v>
      </c>
      <c r="O438" s="2">
        <v>10</v>
      </c>
      <c r="P438" s="6">
        <v>0</v>
      </c>
      <c r="Q438" s="36">
        <v>2023</v>
      </c>
      <c r="R438" s="56">
        <f>MONTH(DataSales[[#This Row],[Ngày Xuất]])</f>
        <v>11</v>
      </c>
      <c r="S438" s="56" t="s">
        <v>776</v>
      </c>
    </row>
    <row r="439" spans="1:19" x14ac:dyDescent="0.3">
      <c r="A439" s="35">
        <v>518</v>
      </c>
      <c r="B439" s="8" t="s">
        <v>126</v>
      </c>
      <c r="C439" s="8" t="s">
        <v>127</v>
      </c>
      <c r="D439" s="8" t="s">
        <v>18</v>
      </c>
      <c r="E439" s="9">
        <v>67500</v>
      </c>
      <c r="F439" s="7">
        <v>0</v>
      </c>
      <c r="G439" s="7">
        <v>10</v>
      </c>
      <c r="H439" s="9">
        <v>75000</v>
      </c>
      <c r="I439" s="9">
        <f t="shared" si="12"/>
        <v>75000</v>
      </c>
      <c r="J439" s="10">
        <v>45233</v>
      </c>
      <c r="K439" s="8" t="s">
        <v>499</v>
      </c>
      <c r="L439" s="8" t="str">
        <f>VLOOKUP(DataSales[[#This Row],[Khách hàng]],'RFM Table'!$A:$I,9,FALSE)</f>
        <v>Khách hàng Tiềm năng</v>
      </c>
      <c r="M439" s="9">
        <f t="shared" si="13"/>
        <v>7500</v>
      </c>
      <c r="N439" s="11">
        <v>0.1</v>
      </c>
      <c r="O439" s="7">
        <v>10</v>
      </c>
      <c r="P439" s="11">
        <v>0</v>
      </c>
      <c r="Q439" s="37">
        <v>2023</v>
      </c>
      <c r="R439" s="56">
        <f>MONTH(DataSales[[#This Row],[Ngày Xuất]])</f>
        <v>11</v>
      </c>
      <c r="S439" s="56" t="s">
        <v>772</v>
      </c>
    </row>
    <row r="440" spans="1:19" x14ac:dyDescent="0.3">
      <c r="A440" s="34">
        <v>519</v>
      </c>
      <c r="B440" s="3" t="s">
        <v>145</v>
      </c>
      <c r="C440" s="3" t="s">
        <v>146</v>
      </c>
      <c r="D440" s="3" t="s">
        <v>18</v>
      </c>
      <c r="E440" s="4">
        <v>60000</v>
      </c>
      <c r="F440" s="2">
        <v>0</v>
      </c>
      <c r="G440" s="2">
        <v>10</v>
      </c>
      <c r="H440" s="4">
        <v>80000</v>
      </c>
      <c r="I440" s="4">
        <f t="shared" si="12"/>
        <v>80000</v>
      </c>
      <c r="J440" s="5">
        <v>45233</v>
      </c>
      <c r="K440" s="3" t="s">
        <v>499</v>
      </c>
      <c r="L440" s="3" t="str">
        <f>VLOOKUP(DataSales[[#This Row],[Khách hàng]],'RFM Table'!$A:$I,9,FALSE)</f>
        <v>Khách hàng Tiềm năng</v>
      </c>
      <c r="M440" s="4">
        <f t="shared" si="13"/>
        <v>20000</v>
      </c>
      <c r="N440" s="6">
        <v>0.25</v>
      </c>
      <c r="O440" s="2">
        <v>10</v>
      </c>
      <c r="P440" s="6">
        <v>0</v>
      </c>
      <c r="Q440" s="36">
        <v>2023</v>
      </c>
      <c r="R440" s="56">
        <f>MONTH(DataSales[[#This Row],[Ngày Xuất]])</f>
        <v>11</v>
      </c>
      <c r="S440" s="56" t="s">
        <v>772</v>
      </c>
    </row>
    <row r="441" spans="1:19" x14ac:dyDescent="0.3">
      <c r="A441" s="35">
        <v>521</v>
      </c>
      <c r="B441" s="8" t="s">
        <v>336</v>
      </c>
      <c r="C441" s="8" t="s">
        <v>337</v>
      </c>
      <c r="D441" s="8" t="s">
        <v>47</v>
      </c>
      <c r="E441" s="9">
        <v>181200</v>
      </c>
      <c r="F441" s="7">
        <v>1</v>
      </c>
      <c r="G441" s="7">
        <v>4</v>
      </c>
      <c r="H441" s="9">
        <v>157000</v>
      </c>
      <c r="I441" s="9">
        <f t="shared" si="12"/>
        <v>157000</v>
      </c>
      <c r="J441" s="10">
        <v>45234</v>
      </c>
      <c r="K441" s="8" t="s">
        <v>178</v>
      </c>
      <c r="L441" s="8" t="str">
        <f>VLOOKUP(DataSales[[#This Row],[Khách hàng]],'RFM Table'!$A:$I,9,FALSE)</f>
        <v>Khách hàng Trung thành</v>
      </c>
      <c r="M441" s="9">
        <f t="shared" si="13"/>
        <v>-24200</v>
      </c>
      <c r="N441" s="11">
        <v>-0.154140127388535</v>
      </c>
      <c r="O441" s="7">
        <v>5</v>
      </c>
      <c r="P441" s="11">
        <v>0.2</v>
      </c>
      <c r="Q441" s="37">
        <v>2023</v>
      </c>
      <c r="R441" s="56">
        <f>MONTH(DataSales[[#This Row],[Ngày Xuất]])</f>
        <v>11</v>
      </c>
      <c r="S441" s="56" t="s">
        <v>780</v>
      </c>
    </row>
    <row r="442" spans="1:19" x14ac:dyDescent="0.3">
      <c r="A442" s="34">
        <v>522</v>
      </c>
      <c r="B442" s="3" t="s">
        <v>349</v>
      </c>
      <c r="C442" s="3" t="s">
        <v>350</v>
      </c>
      <c r="D442" s="3" t="s">
        <v>47</v>
      </c>
      <c r="E442" s="4">
        <v>181200</v>
      </c>
      <c r="F442" s="2">
        <v>0</v>
      </c>
      <c r="G442" s="2">
        <v>4</v>
      </c>
      <c r="H442" s="4">
        <v>200000</v>
      </c>
      <c r="I442" s="4">
        <f t="shared" si="12"/>
        <v>200000</v>
      </c>
      <c r="J442" s="5">
        <v>45234</v>
      </c>
      <c r="K442" s="3" t="s">
        <v>178</v>
      </c>
      <c r="L442" s="3" t="str">
        <f>VLOOKUP(DataSales[[#This Row],[Khách hàng]],'RFM Table'!$A:$I,9,FALSE)</f>
        <v>Khách hàng Trung thành</v>
      </c>
      <c r="M442" s="4">
        <f t="shared" si="13"/>
        <v>18800</v>
      </c>
      <c r="N442" s="6">
        <v>9.4E-2</v>
      </c>
      <c r="O442" s="2">
        <v>4</v>
      </c>
      <c r="P442" s="6">
        <v>0</v>
      </c>
      <c r="Q442" s="36">
        <v>2023</v>
      </c>
      <c r="R442" s="56">
        <f>MONTH(DataSales[[#This Row],[Ngày Xuất]])</f>
        <v>11</v>
      </c>
      <c r="S442" s="56" t="s">
        <v>780</v>
      </c>
    </row>
    <row r="443" spans="1:19" x14ac:dyDescent="0.3">
      <c r="A443" s="35">
        <v>523</v>
      </c>
      <c r="B443" s="8" t="s">
        <v>351</v>
      </c>
      <c r="C443" s="8" t="s">
        <v>352</v>
      </c>
      <c r="D443" s="8" t="s">
        <v>47</v>
      </c>
      <c r="E443" s="9">
        <v>181200</v>
      </c>
      <c r="F443" s="7">
        <v>0</v>
      </c>
      <c r="G443" s="7">
        <v>4</v>
      </c>
      <c r="H443" s="9">
        <v>200000</v>
      </c>
      <c r="I443" s="9">
        <f t="shared" si="12"/>
        <v>200000</v>
      </c>
      <c r="J443" s="10">
        <v>45234</v>
      </c>
      <c r="K443" s="8" t="s">
        <v>178</v>
      </c>
      <c r="L443" s="8" t="str">
        <f>VLOOKUP(DataSales[[#This Row],[Khách hàng]],'RFM Table'!$A:$I,9,FALSE)</f>
        <v>Khách hàng Trung thành</v>
      </c>
      <c r="M443" s="9">
        <f t="shared" si="13"/>
        <v>18800</v>
      </c>
      <c r="N443" s="11">
        <v>9.4E-2</v>
      </c>
      <c r="O443" s="7">
        <v>4</v>
      </c>
      <c r="P443" s="11">
        <v>0</v>
      </c>
      <c r="Q443" s="37">
        <v>2023</v>
      </c>
      <c r="R443" s="56">
        <f>MONTH(DataSales[[#This Row],[Ngày Xuất]])</f>
        <v>11</v>
      </c>
      <c r="S443" s="56" t="s">
        <v>780</v>
      </c>
    </row>
    <row r="444" spans="1:19" x14ac:dyDescent="0.3">
      <c r="A444" s="34">
        <v>524</v>
      </c>
      <c r="B444" s="3" t="s">
        <v>86</v>
      </c>
      <c r="C444" s="3" t="s">
        <v>87</v>
      </c>
      <c r="D444" s="3" t="s">
        <v>22</v>
      </c>
      <c r="E444" s="4">
        <v>950040</v>
      </c>
      <c r="F444" s="2">
        <v>12</v>
      </c>
      <c r="G444" s="2">
        <v>60</v>
      </c>
      <c r="H444" s="4">
        <v>1325000</v>
      </c>
      <c r="I444" s="4">
        <f t="shared" si="12"/>
        <v>1325000</v>
      </c>
      <c r="J444" s="5">
        <v>45234</v>
      </c>
      <c r="K444" s="3" t="s">
        <v>85</v>
      </c>
      <c r="L444" s="3" t="str">
        <f>VLOOKUP(DataSales[[#This Row],[Khách hàng]],'RFM Table'!$A:$I,9,FALSE)</f>
        <v>Khách hàng VIP</v>
      </c>
      <c r="M444" s="4">
        <f t="shared" si="13"/>
        <v>374960</v>
      </c>
      <c r="N444" s="6">
        <v>0.28298867924528298</v>
      </c>
      <c r="O444" s="2">
        <v>72</v>
      </c>
      <c r="P444" s="6">
        <v>0.16666666666666671</v>
      </c>
      <c r="Q444" s="36">
        <v>2023</v>
      </c>
      <c r="R444" s="56">
        <f>MONTH(DataSales[[#This Row],[Ngày Xuất]])</f>
        <v>11</v>
      </c>
      <c r="S444" s="56" t="s">
        <v>773</v>
      </c>
    </row>
    <row r="445" spans="1:19" x14ac:dyDescent="0.3">
      <c r="A445" s="35">
        <v>525</v>
      </c>
      <c r="B445" s="8" t="s">
        <v>500</v>
      </c>
      <c r="C445" s="8" t="s">
        <v>501</v>
      </c>
      <c r="D445" s="8" t="s">
        <v>32</v>
      </c>
      <c r="E445" s="9">
        <v>110400</v>
      </c>
      <c r="F445" s="7">
        <v>0</v>
      </c>
      <c r="G445" s="7">
        <v>5</v>
      </c>
      <c r="H445" s="9">
        <v>105000</v>
      </c>
      <c r="I445" s="9">
        <f t="shared" si="12"/>
        <v>105000</v>
      </c>
      <c r="J445" s="10">
        <v>45234</v>
      </c>
      <c r="K445" s="8" t="s">
        <v>321</v>
      </c>
      <c r="L445" s="8" t="str">
        <f>VLOOKUP(DataSales[[#This Row],[Khách hàng]],'RFM Table'!$A:$I,9,FALSE)</f>
        <v>Khách hàng Trung thành</v>
      </c>
      <c r="M445" s="9">
        <f t="shared" si="13"/>
        <v>-5400</v>
      </c>
      <c r="N445" s="11">
        <v>-5.1428571428571428E-2</v>
      </c>
      <c r="O445" s="7">
        <v>5</v>
      </c>
      <c r="P445" s="11">
        <v>0</v>
      </c>
      <c r="Q445" s="37">
        <v>2023</v>
      </c>
      <c r="R445" s="56">
        <f>MONTH(DataSales[[#This Row],[Ngày Xuất]])</f>
        <v>11</v>
      </c>
      <c r="S445" s="56" t="s">
        <v>774</v>
      </c>
    </row>
    <row r="446" spans="1:19" x14ac:dyDescent="0.3">
      <c r="A446" s="34">
        <v>526</v>
      </c>
      <c r="B446" s="3" t="s">
        <v>502</v>
      </c>
      <c r="C446" s="3" t="s">
        <v>503</v>
      </c>
      <c r="D446" s="3" t="s">
        <v>32</v>
      </c>
      <c r="E446" s="4">
        <v>156400</v>
      </c>
      <c r="F446" s="2">
        <v>0</v>
      </c>
      <c r="G446" s="2">
        <v>10</v>
      </c>
      <c r="H446" s="4">
        <v>140000</v>
      </c>
      <c r="I446" s="4">
        <f t="shared" si="12"/>
        <v>140000</v>
      </c>
      <c r="J446" s="5">
        <v>45234</v>
      </c>
      <c r="K446" s="3" t="s">
        <v>321</v>
      </c>
      <c r="L446" s="3" t="str">
        <f>VLOOKUP(DataSales[[#This Row],[Khách hàng]],'RFM Table'!$A:$I,9,FALSE)</f>
        <v>Khách hàng Trung thành</v>
      </c>
      <c r="M446" s="4">
        <f t="shared" si="13"/>
        <v>-16400</v>
      </c>
      <c r="N446" s="6">
        <v>-0.1171428571428571</v>
      </c>
      <c r="O446" s="2">
        <v>10</v>
      </c>
      <c r="P446" s="6">
        <v>0</v>
      </c>
      <c r="Q446" s="36">
        <v>2023</v>
      </c>
      <c r="R446" s="56">
        <f>MONTH(DataSales[[#This Row],[Ngày Xuất]])</f>
        <v>11</v>
      </c>
      <c r="S446" s="56" t="s">
        <v>774</v>
      </c>
    </row>
    <row r="447" spans="1:19" x14ac:dyDescent="0.3">
      <c r="A447" s="35">
        <v>527</v>
      </c>
      <c r="B447" s="8" t="s">
        <v>504</v>
      </c>
      <c r="C447" s="8" t="s">
        <v>505</v>
      </c>
      <c r="D447" s="8" t="s">
        <v>32</v>
      </c>
      <c r="E447" s="9">
        <v>160000</v>
      </c>
      <c r="F447" s="7">
        <v>0</v>
      </c>
      <c r="G447" s="7">
        <v>5</v>
      </c>
      <c r="H447" s="9">
        <v>105000</v>
      </c>
      <c r="I447" s="9">
        <f t="shared" si="12"/>
        <v>105000</v>
      </c>
      <c r="J447" s="10">
        <v>45234</v>
      </c>
      <c r="K447" s="8" t="s">
        <v>321</v>
      </c>
      <c r="L447" s="8" t="str">
        <f>VLOOKUP(DataSales[[#This Row],[Khách hàng]],'RFM Table'!$A:$I,9,FALSE)</f>
        <v>Khách hàng Trung thành</v>
      </c>
      <c r="M447" s="9">
        <f t="shared" si="13"/>
        <v>-55000</v>
      </c>
      <c r="N447" s="11">
        <v>-0.52380952380952384</v>
      </c>
      <c r="O447" s="7">
        <v>5</v>
      </c>
      <c r="P447" s="11">
        <v>0</v>
      </c>
      <c r="Q447" s="37">
        <v>2023</v>
      </c>
      <c r="R447" s="56">
        <f>MONTH(DataSales[[#This Row],[Ngày Xuất]])</f>
        <v>11</v>
      </c>
      <c r="S447" s="56" t="s">
        <v>774</v>
      </c>
    </row>
    <row r="448" spans="1:19" x14ac:dyDescent="0.3">
      <c r="A448" s="34">
        <v>528</v>
      </c>
      <c r="B448" s="3" t="s">
        <v>454</v>
      </c>
      <c r="C448" s="3" t="s">
        <v>455</v>
      </c>
      <c r="D448" s="3" t="s">
        <v>18</v>
      </c>
      <c r="E448" s="4">
        <v>126720</v>
      </c>
      <c r="F448" s="2">
        <v>0</v>
      </c>
      <c r="G448" s="2">
        <v>6</v>
      </c>
      <c r="H448" s="4">
        <v>108000</v>
      </c>
      <c r="I448" s="4">
        <f t="shared" si="12"/>
        <v>108000</v>
      </c>
      <c r="J448" s="5">
        <v>45234</v>
      </c>
      <c r="K448" s="3" t="s">
        <v>321</v>
      </c>
      <c r="L448" s="3" t="str">
        <f>VLOOKUP(DataSales[[#This Row],[Khách hàng]],'RFM Table'!$A:$I,9,FALSE)</f>
        <v>Khách hàng Trung thành</v>
      </c>
      <c r="M448" s="4">
        <f t="shared" si="13"/>
        <v>-18720</v>
      </c>
      <c r="N448" s="6">
        <v>-0.17333333333333331</v>
      </c>
      <c r="O448" s="2">
        <v>6</v>
      </c>
      <c r="P448" s="6">
        <v>0</v>
      </c>
      <c r="Q448" s="36">
        <v>2023</v>
      </c>
      <c r="R448" s="56">
        <f>MONTH(DataSales[[#This Row],[Ngày Xuất]])</f>
        <v>11</v>
      </c>
      <c r="S448" s="56" t="s">
        <v>772</v>
      </c>
    </row>
    <row r="449" spans="1:19" x14ac:dyDescent="0.3">
      <c r="A449" s="35">
        <v>530</v>
      </c>
      <c r="B449" s="8" t="s">
        <v>237</v>
      </c>
      <c r="C449" s="8" t="s">
        <v>238</v>
      </c>
      <c r="D449" s="8" t="s">
        <v>104</v>
      </c>
      <c r="E449" s="9">
        <v>63000</v>
      </c>
      <c r="F449" s="7">
        <v>0</v>
      </c>
      <c r="G449" s="7">
        <v>1</v>
      </c>
      <c r="H449" s="9">
        <v>73000</v>
      </c>
      <c r="I449" s="9">
        <f t="shared" si="12"/>
        <v>73000</v>
      </c>
      <c r="J449" s="10">
        <v>45234</v>
      </c>
      <c r="K449" s="8" t="s">
        <v>506</v>
      </c>
      <c r="L449" s="8" t="str">
        <f>VLOOKUP(DataSales[[#This Row],[Khách hàng]],'RFM Table'!$A:$I,9,FALSE)</f>
        <v>Khách hàng Tiềm năng</v>
      </c>
      <c r="M449" s="9">
        <f t="shared" si="13"/>
        <v>10000</v>
      </c>
      <c r="N449" s="11">
        <v>0.13698630136986301</v>
      </c>
      <c r="O449" s="7">
        <v>1</v>
      </c>
      <c r="P449" s="11">
        <v>0</v>
      </c>
      <c r="Q449" s="37">
        <v>2023</v>
      </c>
      <c r="R449" s="56">
        <f>MONTH(DataSales[[#This Row],[Ngày Xuất]])</f>
        <v>11</v>
      </c>
      <c r="S449" s="56" t="s">
        <v>780</v>
      </c>
    </row>
    <row r="450" spans="1:19" x14ac:dyDescent="0.3">
      <c r="A450" s="34">
        <v>531</v>
      </c>
      <c r="B450" s="3" t="s">
        <v>148</v>
      </c>
      <c r="C450" s="3" t="s">
        <v>149</v>
      </c>
      <c r="D450" s="3" t="s">
        <v>104</v>
      </c>
      <c r="E450" s="4">
        <v>63000</v>
      </c>
      <c r="F450" s="2">
        <v>0</v>
      </c>
      <c r="G450" s="2">
        <v>1</v>
      </c>
      <c r="H450" s="4">
        <v>73000</v>
      </c>
      <c r="I450" s="4">
        <f t="shared" ref="I450:I513" si="14">H450</f>
        <v>73000</v>
      </c>
      <c r="J450" s="5">
        <v>45234</v>
      </c>
      <c r="K450" s="3" t="s">
        <v>506</v>
      </c>
      <c r="L450" s="3" t="str">
        <f>VLOOKUP(DataSales[[#This Row],[Khách hàng]],'RFM Table'!$A:$I,9,FALSE)</f>
        <v>Khách hàng Tiềm năng</v>
      </c>
      <c r="M450" s="4">
        <f t="shared" ref="M450:M513" si="15">I450-E450</f>
        <v>10000</v>
      </c>
      <c r="N450" s="6">
        <v>0.13698630136986301</v>
      </c>
      <c r="O450" s="2">
        <v>1</v>
      </c>
      <c r="P450" s="6">
        <v>0</v>
      </c>
      <c r="Q450" s="36">
        <v>2023</v>
      </c>
      <c r="R450" s="56">
        <f>MONTH(DataSales[[#This Row],[Ngày Xuất]])</f>
        <v>11</v>
      </c>
      <c r="S450" s="56" t="s">
        <v>780</v>
      </c>
    </row>
    <row r="451" spans="1:19" x14ac:dyDescent="0.3">
      <c r="A451" s="35">
        <v>536</v>
      </c>
      <c r="B451" s="8" t="s">
        <v>507</v>
      </c>
      <c r="C451" s="8" t="s">
        <v>508</v>
      </c>
      <c r="D451" s="8" t="s">
        <v>18</v>
      </c>
      <c r="E451" s="9">
        <v>320004</v>
      </c>
      <c r="F451" s="7">
        <v>6</v>
      </c>
      <c r="G451" s="7">
        <v>12</v>
      </c>
      <c r="H451" s="9">
        <v>210000</v>
      </c>
      <c r="I451" s="9">
        <f t="shared" si="14"/>
        <v>210000</v>
      </c>
      <c r="J451" s="10">
        <v>45234</v>
      </c>
      <c r="K451" s="8" t="s">
        <v>96</v>
      </c>
      <c r="L451" s="8" t="str">
        <f>VLOOKUP(DataSales[[#This Row],[Khách hàng]],'RFM Table'!$A:$I,9,FALSE)</f>
        <v>Khách hàng VIP</v>
      </c>
      <c r="M451" s="9">
        <f t="shared" si="15"/>
        <v>-110004</v>
      </c>
      <c r="N451" s="11">
        <v>-0.52382857142857142</v>
      </c>
      <c r="O451" s="7">
        <v>18</v>
      </c>
      <c r="P451" s="11">
        <v>0.33333333333333331</v>
      </c>
      <c r="Q451" s="37">
        <v>2023</v>
      </c>
      <c r="R451" s="56">
        <f>MONTH(DataSales[[#This Row],[Ngày Xuất]])</f>
        <v>11</v>
      </c>
      <c r="S451" s="56" t="s">
        <v>773</v>
      </c>
    </row>
    <row r="452" spans="1:19" x14ac:dyDescent="0.3">
      <c r="A452" s="34">
        <v>537</v>
      </c>
      <c r="B452" s="3" t="s">
        <v>509</v>
      </c>
      <c r="C452" s="3" t="s">
        <v>510</v>
      </c>
      <c r="D452" s="3" t="s">
        <v>18</v>
      </c>
      <c r="E452" s="4">
        <v>1058940</v>
      </c>
      <c r="F452" s="2">
        <v>0</v>
      </c>
      <c r="G452" s="2">
        <v>9</v>
      </c>
      <c r="H452" s="4">
        <v>1431000</v>
      </c>
      <c r="I452" s="4">
        <f t="shared" si="14"/>
        <v>1431000</v>
      </c>
      <c r="J452" s="5">
        <v>45234</v>
      </c>
      <c r="K452" s="3" t="s">
        <v>96</v>
      </c>
      <c r="L452" s="3" t="str">
        <f>VLOOKUP(DataSales[[#This Row],[Khách hàng]],'RFM Table'!$A:$I,9,FALSE)</f>
        <v>Khách hàng VIP</v>
      </c>
      <c r="M452" s="4">
        <f t="shared" si="15"/>
        <v>372060</v>
      </c>
      <c r="N452" s="6">
        <v>0.26</v>
      </c>
      <c r="O452" s="2">
        <v>9</v>
      </c>
      <c r="P452" s="6">
        <v>0</v>
      </c>
      <c r="Q452" s="36">
        <v>2023</v>
      </c>
      <c r="R452" s="56">
        <f>MONTH(DataSales[[#This Row],[Ngày Xuất]])</f>
        <v>11</v>
      </c>
      <c r="S452" s="56" t="s">
        <v>773</v>
      </c>
    </row>
    <row r="453" spans="1:19" x14ac:dyDescent="0.3">
      <c r="A453" s="35">
        <v>538</v>
      </c>
      <c r="B453" s="8" t="s">
        <v>237</v>
      </c>
      <c r="C453" s="8" t="s">
        <v>238</v>
      </c>
      <c r="D453" s="8" t="s">
        <v>104</v>
      </c>
      <c r="E453" s="9">
        <v>63000</v>
      </c>
      <c r="F453" s="7">
        <v>0</v>
      </c>
      <c r="G453" s="7">
        <v>1</v>
      </c>
      <c r="H453" s="9">
        <v>73000</v>
      </c>
      <c r="I453" s="9">
        <f t="shared" si="14"/>
        <v>73000</v>
      </c>
      <c r="J453" s="10">
        <v>45234</v>
      </c>
      <c r="K453" s="8" t="s">
        <v>511</v>
      </c>
      <c r="L453" s="8" t="str">
        <f>VLOOKUP(DataSales[[#This Row],[Khách hàng]],'RFM Table'!$A:$I,9,FALSE)</f>
        <v>Khách hàng Trung thành</v>
      </c>
      <c r="M453" s="9">
        <f t="shared" si="15"/>
        <v>10000</v>
      </c>
      <c r="N453" s="11">
        <v>0.13698630136986301</v>
      </c>
      <c r="O453" s="7">
        <v>1</v>
      </c>
      <c r="P453" s="11">
        <v>0</v>
      </c>
      <c r="Q453" s="37">
        <v>2023</v>
      </c>
      <c r="R453" s="56">
        <f>MONTH(DataSales[[#This Row],[Ngày Xuất]])</f>
        <v>11</v>
      </c>
      <c r="S453" s="56" t="s">
        <v>780</v>
      </c>
    </row>
    <row r="454" spans="1:19" x14ac:dyDescent="0.3">
      <c r="A454" s="34">
        <v>539</v>
      </c>
      <c r="B454" s="3" t="s">
        <v>148</v>
      </c>
      <c r="C454" s="3" t="s">
        <v>149</v>
      </c>
      <c r="D454" s="3" t="s">
        <v>104</v>
      </c>
      <c r="E454" s="4">
        <v>63000</v>
      </c>
      <c r="F454" s="2">
        <v>0</v>
      </c>
      <c r="G454" s="2">
        <v>1</v>
      </c>
      <c r="H454" s="4">
        <v>73000</v>
      </c>
      <c r="I454" s="4">
        <f t="shared" si="14"/>
        <v>73000</v>
      </c>
      <c r="J454" s="5">
        <v>45234</v>
      </c>
      <c r="K454" s="3" t="s">
        <v>511</v>
      </c>
      <c r="L454" s="3" t="str">
        <f>VLOOKUP(DataSales[[#This Row],[Khách hàng]],'RFM Table'!$A:$I,9,FALSE)</f>
        <v>Khách hàng Trung thành</v>
      </c>
      <c r="M454" s="4">
        <f t="shared" si="15"/>
        <v>10000</v>
      </c>
      <c r="N454" s="6">
        <v>0.13698630136986301</v>
      </c>
      <c r="O454" s="2">
        <v>1</v>
      </c>
      <c r="P454" s="6">
        <v>0</v>
      </c>
      <c r="Q454" s="36">
        <v>2023</v>
      </c>
      <c r="R454" s="56">
        <f>MONTH(DataSales[[#This Row],[Ngày Xuất]])</f>
        <v>11</v>
      </c>
      <c r="S454" s="56" t="s">
        <v>780</v>
      </c>
    </row>
    <row r="455" spans="1:19" x14ac:dyDescent="0.3">
      <c r="A455" s="35">
        <v>540</v>
      </c>
      <c r="B455" s="8" t="s">
        <v>512</v>
      </c>
      <c r="C455" s="8" t="s">
        <v>513</v>
      </c>
      <c r="D455" s="8" t="s">
        <v>47</v>
      </c>
      <c r="E455" s="9">
        <v>114400</v>
      </c>
      <c r="F455" s="7">
        <v>0</v>
      </c>
      <c r="G455" s="7">
        <v>2</v>
      </c>
      <c r="H455" s="9">
        <v>134000</v>
      </c>
      <c r="I455" s="9">
        <f t="shared" si="14"/>
        <v>134000</v>
      </c>
      <c r="J455" s="10">
        <v>45234</v>
      </c>
      <c r="K455" s="8" t="s">
        <v>511</v>
      </c>
      <c r="L455" s="8" t="str">
        <f>VLOOKUP(DataSales[[#This Row],[Khách hàng]],'RFM Table'!$A:$I,9,FALSE)</f>
        <v>Khách hàng Trung thành</v>
      </c>
      <c r="M455" s="9">
        <f t="shared" si="15"/>
        <v>19600</v>
      </c>
      <c r="N455" s="11">
        <v>0.14626865671641789</v>
      </c>
      <c r="O455" s="7">
        <v>2</v>
      </c>
      <c r="P455" s="11">
        <v>0</v>
      </c>
      <c r="Q455" s="37">
        <v>2023</v>
      </c>
      <c r="R455" s="56">
        <f>MONTH(DataSales[[#This Row],[Ngày Xuất]])</f>
        <v>11</v>
      </c>
      <c r="S455" s="56" t="s">
        <v>780</v>
      </c>
    </row>
    <row r="456" spans="1:19" x14ac:dyDescent="0.3">
      <c r="A456" s="34">
        <v>541</v>
      </c>
      <c r="B456" s="3" t="s">
        <v>514</v>
      </c>
      <c r="C456" s="3" t="s">
        <v>515</v>
      </c>
      <c r="D456" s="3" t="s">
        <v>47</v>
      </c>
      <c r="E456" s="4">
        <v>114400</v>
      </c>
      <c r="F456" s="2">
        <v>0</v>
      </c>
      <c r="G456" s="2">
        <v>2</v>
      </c>
      <c r="H456" s="4">
        <v>134000</v>
      </c>
      <c r="I456" s="4">
        <f t="shared" si="14"/>
        <v>134000</v>
      </c>
      <c r="J456" s="5">
        <v>45234</v>
      </c>
      <c r="K456" s="3" t="s">
        <v>511</v>
      </c>
      <c r="L456" s="3" t="str">
        <f>VLOOKUP(DataSales[[#This Row],[Khách hàng]],'RFM Table'!$A:$I,9,FALSE)</f>
        <v>Khách hàng Trung thành</v>
      </c>
      <c r="M456" s="4">
        <f t="shared" si="15"/>
        <v>19600</v>
      </c>
      <c r="N456" s="6">
        <v>0.14626865671641789</v>
      </c>
      <c r="O456" s="2">
        <v>2</v>
      </c>
      <c r="P456" s="6">
        <v>0</v>
      </c>
      <c r="Q456" s="36">
        <v>2023</v>
      </c>
      <c r="R456" s="56">
        <f>MONTH(DataSales[[#This Row],[Ngày Xuất]])</f>
        <v>11</v>
      </c>
      <c r="S456" s="56" t="s">
        <v>780</v>
      </c>
    </row>
    <row r="457" spans="1:19" x14ac:dyDescent="0.3">
      <c r="A457" s="35">
        <v>542</v>
      </c>
      <c r="B457" s="8" t="s">
        <v>516</v>
      </c>
      <c r="C457" s="8" t="s">
        <v>517</v>
      </c>
      <c r="D457" s="8" t="s">
        <v>47</v>
      </c>
      <c r="E457" s="9">
        <v>114400</v>
      </c>
      <c r="F457" s="7">
        <v>0</v>
      </c>
      <c r="G457" s="7">
        <v>2</v>
      </c>
      <c r="H457" s="9">
        <v>134000</v>
      </c>
      <c r="I457" s="9">
        <f t="shared" si="14"/>
        <v>134000</v>
      </c>
      <c r="J457" s="10">
        <v>45234</v>
      </c>
      <c r="K457" s="8" t="s">
        <v>511</v>
      </c>
      <c r="L457" s="8" t="str">
        <f>VLOOKUP(DataSales[[#This Row],[Khách hàng]],'RFM Table'!$A:$I,9,FALSE)</f>
        <v>Khách hàng Trung thành</v>
      </c>
      <c r="M457" s="9">
        <f t="shared" si="15"/>
        <v>19600</v>
      </c>
      <c r="N457" s="11">
        <v>0.14626865671641789</v>
      </c>
      <c r="O457" s="7">
        <v>2</v>
      </c>
      <c r="P457" s="11">
        <v>0</v>
      </c>
      <c r="Q457" s="37">
        <v>2023</v>
      </c>
      <c r="R457" s="56">
        <f>MONTH(DataSales[[#This Row],[Ngày Xuất]])</f>
        <v>11</v>
      </c>
      <c r="S457" s="56" t="s">
        <v>780</v>
      </c>
    </row>
    <row r="458" spans="1:19" x14ac:dyDescent="0.3">
      <c r="A458" s="34">
        <v>543</v>
      </c>
      <c r="B458" s="3" t="s">
        <v>421</v>
      </c>
      <c r="C458" s="3" t="s">
        <v>422</v>
      </c>
      <c r="D458" s="3" t="s">
        <v>18</v>
      </c>
      <c r="E458" s="4">
        <v>122000</v>
      </c>
      <c r="F458" s="2">
        <v>0</v>
      </c>
      <c r="G458" s="2">
        <v>10</v>
      </c>
      <c r="H458" s="4">
        <v>140000</v>
      </c>
      <c r="I458" s="4">
        <f t="shared" si="14"/>
        <v>140000</v>
      </c>
      <c r="J458" s="5">
        <v>45234</v>
      </c>
      <c r="K458" s="3" t="s">
        <v>511</v>
      </c>
      <c r="L458" s="3" t="str">
        <f>VLOOKUP(DataSales[[#This Row],[Khách hàng]],'RFM Table'!$A:$I,9,FALSE)</f>
        <v>Khách hàng Trung thành</v>
      </c>
      <c r="M458" s="4">
        <f t="shared" si="15"/>
        <v>18000</v>
      </c>
      <c r="N458" s="6">
        <v>0.12857142857142859</v>
      </c>
      <c r="O458" s="2">
        <v>10</v>
      </c>
      <c r="P458" s="6">
        <v>0</v>
      </c>
      <c r="Q458" s="36">
        <v>2023</v>
      </c>
      <c r="R458" s="56">
        <f>MONTH(DataSales[[#This Row],[Ngày Xuất]])</f>
        <v>11</v>
      </c>
      <c r="S458" s="56" t="s">
        <v>776</v>
      </c>
    </row>
    <row r="459" spans="1:19" x14ac:dyDescent="0.3">
      <c r="A459" s="35">
        <v>544</v>
      </c>
      <c r="B459" s="8" t="s">
        <v>512</v>
      </c>
      <c r="C459" s="8" t="s">
        <v>513</v>
      </c>
      <c r="D459" s="8" t="s">
        <v>47</v>
      </c>
      <c r="E459" s="9">
        <v>114400</v>
      </c>
      <c r="F459" s="7">
        <v>0</v>
      </c>
      <c r="G459" s="7">
        <v>2</v>
      </c>
      <c r="H459" s="9">
        <v>134000</v>
      </c>
      <c r="I459" s="9">
        <f t="shared" si="14"/>
        <v>134000</v>
      </c>
      <c r="J459" s="10">
        <v>45234</v>
      </c>
      <c r="K459" s="8" t="s">
        <v>518</v>
      </c>
      <c r="L459" s="8" t="str">
        <f>VLOOKUP(DataSales[[#This Row],[Khách hàng]],'RFM Table'!$A:$I,9,FALSE)</f>
        <v>Khách hàng Trung thành</v>
      </c>
      <c r="M459" s="9">
        <f t="shared" si="15"/>
        <v>19600</v>
      </c>
      <c r="N459" s="11">
        <v>0.14626865671641789</v>
      </c>
      <c r="O459" s="7">
        <v>2</v>
      </c>
      <c r="P459" s="11">
        <v>0</v>
      </c>
      <c r="Q459" s="37">
        <v>2023</v>
      </c>
      <c r="R459" s="56">
        <f>MONTH(DataSales[[#This Row],[Ngày Xuất]])</f>
        <v>11</v>
      </c>
      <c r="S459" s="56" t="s">
        <v>780</v>
      </c>
    </row>
    <row r="460" spans="1:19" x14ac:dyDescent="0.3">
      <c r="A460" s="34">
        <v>545</v>
      </c>
      <c r="B460" s="3" t="s">
        <v>514</v>
      </c>
      <c r="C460" s="3" t="s">
        <v>515</v>
      </c>
      <c r="D460" s="3" t="s">
        <v>47</v>
      </c>
      <c r="E460" s="4">
        <v>114400</v>
      </c>
      <c r="F460" s="2">
        <v>0</v>
      </c>
      <c r="G460" s="2">
        <v>2</v>
      </c>
      <c r="H460" s="4">
        <v>134000</v>
      </c>
      <c r="I460" s="4">
        <f t="shared" si="14"/>
        <v>134000</v>
      </c>
      <c r="J460" s="5">
        <v>45234</v>
      </c>
      <c r="K460" s="3" t="s">
        <v>518</v>
      </c>
      <c r="L460" s="3" t="str">
        <f>VLOOKUP(DataSales[[#This Row],[Khách hàng]],'RFM Table'!$A:$I,9,FALSE)</f>
        <v>Khách hàng Trung thành</v>
      </c>
      <c r="M460" s="4">
        <f t="shared" si="15"/>
        <v>19600</v>
      </c>
      <c r="N460" s="6">
        <v>0.14626865671641789</v>
      </c>
      <c r="O460" s="2">
        <v>2</v>
      </c>
      <c r="P460" s="6">
        <v>0</v>
      </c>
      <c r="Q460" s="36">
        <v>2023</v>
      </c>
      <c r="R460" s="56">
        <f>MONTH(DataSales[[#This Row],[Ngày Xuất]])</f>
        <v>11</v>
      </c>
      <c r="S460" s="56" t="s">
        <v>780</v>
      </c>
    </row>
    <row r="461" spans="1:19" x14ac:dyDescent="0.3">
      <c r="A461" s="35">
        <v>546</v>
      </c>
      <c r="B461" s="8" t="s">
        <v>516</v>
      </c>
      <c r="C461" s="8" t="s">
        <v>517</v>
      </c>
      <c r="D461" s="8" t="s">
        <v>47</v>
      </c>
      <c r="E461" s="9">
        <v>114400</v>
      </c>
      <c r="F461" s="7">
        <v>0</v>
      </c>
      <c r="G461" s="7">
        <v>2</v>
      </c>
      <c r="H461" s="9">
        <v>134000</v>
      </c>
      <c r="I461" s="9">
        <f t="shared" si="14"/>
        <v>134000</v>
      </c>
      <c r="J461" s="10">
        <v>45234</v>
      </c>
      <c r="K461" s="8" t="s">
        <v>518</v>
      </c>
      <c r="L461" s="8" t="str">
        <f>VLOOKUP(DataSales[[#This Row],[Khách hàng]],'RFM Table'!$A:$I,9,FALSE)</f>
        <v>Khách hàng Trung thành</v>
      </c>
      <c r="M461" s="9">
        <f t="shared" si="15"/>
        <v>19600</v>
      </c>
      <c r="N461" s="11">
        <v>0.14626865671641789</v>
      </c>
      <c r="O461" s="7">
        <v>2</v>
      </c>
      <c r="P461" s="11">
        <v>0</v>
      </c>
      <c r="Q461" s="37">
        <v>2023</v>
      </c>
      <c r="R461" s="56">
        <f>MONTH(DataSales[[#This Row],[Ngày Xuất]])</f>
        <v>11</v>
      </c>
      <c r="S461" s="56" t="s">
        <v>780</v>
      </c>
    </row>
    <row r="462" spans="1:19" x14ac:dyDescent="0.3">
      <c r="A462" s="34">
        <v>549</v>
      </c>
      <c r="B462" s="3" t="s">
        <v>336</v>
      </c>
      <c r="C462" s="3" t="s">
        <v>337</v>
      </c>
      <c r="D462" s="3" t="s">
        <v>47</v>
      </c>
      <c r="E462" s="4">
        <v>543600</v>
      </c>
      <c r="F462" s="2">
        <v>0</v>
      </c>
      <c r="G462" s="2">
        <v>12</v>
      </c>
      <c r="H462" s="4">
        <v>600000</v>
      </c>
      <c r="I462" s="4">
        <f t="shared" si="14"/>
        <v>600000</v>
      </c>
      <c r="J462" s="5">
        <v>45234</v>
      </c>
      <c r="K462" s="3" t="s">
        <v>61</v>
      </c>
      <c r="L462" s="3" t="str">
        <f>VLOOKUP(DataSales[[#This Row],[Khách hàng]],'RFM Table'!$A:$I,9,FALSE)</f>
        <v>Khách hàng Trung thành</v>
      </c>
      <c r="M462" s="4">
        <f t="shared" si="15"/>
        <v>56400</v>
      </c>
      <c r="N462" s="6">
        <v>9.4E-2</v>
      </c>
      <c r="O462" s="2">
        <v>12</v>
      </c>
      <c r="P462" s="6">
        <v>0</v>
      </c>
      <c r="Q462" s="36">
        <v>2023</v>
      </c>
      <c r="R462" s="56">
        <f>MONTH(DataSales[[#This Row],[Ngày Xuất]])</f>
        <v>11</v>
      </c>
      <c r="S462" s="56" t="s">
        <v>780</v>
      </c>
    </row>
    <row r="463" spans="1:19" x14ac:dyDescent="0.3">
      <c r="A463" s="35">
        <v>550</v>
      </c>
      <c r="B463" s="8" t="s">
        <v>349</v>
      </c>
      <c r="C463" s="8" t="s">
        <v>350</v>
      </c>
      <c r="D463" s="8" t="s">
        <v>47</v>
      </c>
      <c r="E463" s="9">
        <v>815400</v>
      </c>
      <c r="F463" s="7">
        <v>0</v>
      </c>
      <c r="G463" s="7">
        <v>18</v>
      </c>
      <c r="H463" s="9">
        <v>900000</v>
      </c>
      <c r="I463" s="9">
        <f t="shared" si="14"/>
        <v>900000</v>
      </c>
      <c r="J463" s="10">
        <v>45234</v>
      </c>
      <c r="K463" s="8" t="s">
        <v>61</v>
      </c>
      <c r="L463" s="8" t="str">
        <f>VLOOKUP(DataSales[[#This Row],[Khách hàng]],'RFM Table'!$A:$I,9,FALSE)</f>
        <v>Khách hàng Trung thành</v>
      </c>
      <c r="M463" s="9">
        <f t="shared" si="15"/>
        <v>84600</v>
      </c>
      <c r="N463" s="11">
        <v>9.4E-2</v>
      </c>
      <c r="O463" s="7">
        <v>18</v>
      </c>
      <c r="P463" s="11">
        <v>0</v>
      </c>
      <c r="Q463" s="37">
        <v>2023</v>
      </c>
      <c r="R463" s="56">
        <f>MONTH(DataSales[[#This Row],[Ngày Xuất]])</f>
        <v>11</v>
      </c>
      <c r="S463" s="56" t="s">
        <v>780</v>
      </c>
    </row>
    <row r="464" spans="1:19" x14ac:dyDescent="0.3">
      <c r="A464" s="34">
        <v>551</v>
      </c>
      <c r="B464" s="3" t="s">
        <v>351</v>
      </c>
      <c r="C464" s="3" t="s">
        <v>352</v>
      </c>
      <c r="D464" s="3" t="s">
        <v>47</v>
      </c>
      <c r="E464" s="4">
        <v>815400</v>
      </c>
      <c r="F464" s="2">
        <v>0</v>
      </c>
      <c r="G464" s="2">
        <v>18</v>
      </c>
      <c r="H464" s="4">
        <v>900000</v>
      </c>
      <c r="I464" s="4">
        <f t="shared" si="14"/>
        <v>900000</v>
      </c>
      <c r="J464" s="5">
        <v>45234</v>
      </c>
      <c r="K464" s="3" t="s">
        <v>61</v>
      </c>
      <c r="L464" s="3" t="str">
        <f>VLOOKUP(DataSales[[#This Row],[Khách hàng]],'RFM Table'!$A:$I,9,FALSE)</f>
        <v>Khách hàng Trung thành</v>
      </c>
      <c r="M464" s="4">
        <f t="shared" si="15"/>
        <v>84600</v>
      </c>
      <c r="N464" s="6">
        <v>9.4E-2</v>
      </c>
      <c r="O464" s="2">
        <v>18</v>
      </c>
      <c r="P464" s="6">
        <v>0</v>
      </c>
      <c r="Q464" s="36">
        <v>2023</v>
      </c>
      <c r="R464" s="56">
        <f>MONTH(DataSales[[#This Row],[Ngày Xuất]])</f>
        <v>11</v>
      </c>
      <c r="S464" s="56" t="s">
        <v>780</v>
      </c>
    </row>
    <row r="465" spans="1:19" x14ac:dyDescent="0.3">
      <c r="A465" s="35">
        <v>553</v>
      </c>
      <c r="B465" s="8" t="s">
        <v>519</v>
      </c>
      <c r="C465" s="8" t="s">
        <v>520</v>
      </c>
      <c r="D465" s="8" t="s">
        <v>47</v>
      </c>
      <c r="E465" s="9">
        <v>125400</v>
      </c>
      <c r="F465" s="7">
        <v>0</v>
      </c>
      <c r="G465" s="7">
        <v>3</v>
      </c>
      <c r="H465" s="9">
        <v>147000</v>
      </c>
      <c r="I465" s="9">
        <f t="shared" si="14"/>
        <v>147000</v>
      </c>
      <c r="J465" s="10">
        <v>45234</v>
      </c>
      <c r="K465" s="8" t="s">
        <v>338</v>
      </c>
      <c r="L465" s="8" t="str">
        <f>VLOOKUP(DataSales[[#This Row],[Khách hàng]],'RFM Table'!$A:$I,9,FALSE)</f>
        <v>Khách hàng Trung thành</v>
      </c>
      <c r="M465" s="9">
        <f t="shared" si="15"/>
        <v>21600</v>
      </c>
      <c r="N465" s="11">
        <v>0.14693877551020409</v>
      </c>
      <c r="O465" s="7">
        <v>3</v>
      </c>
      <c r="P465" s="11">
        <v>0</v>
      </c>
      <c r="Q465" s="37">
        <v>2023</v>
      </c>
      <c r="R465" s="56">
        <f>MONTH(DataSales[[#This Row],[Ngày Xuất]])</f>
        <v>11</v>
      </c>
      <c r="S465" s="56" t="s">
        <v>780</v>
      </c>
    </row>
    <row r="466" spans="1:19" x14ac:dyDescent="0.3">
      <c r="A466" s="34">
        <v>554</v>
      </c>
      <c r="B466" s="3" t="s">
        <v>521</v>
      </c>
      <c r="C466" s="3" t="s">
        <v>522</v>
      </c>
      <c r="D466" s="3" t="s">
        <v>47</v>
      </c>
      <c r="E466" s="4">
        <v>125400</v>
      </c>
      <c r="F466" s="2">
        <v>0</v>
      </c>
      <c r="G466" s="2">
        <v>3</v>
      </c>
      <c r="H466" s="4">
        <v>147000</v>
      </c>
      <c r="I466" s="4">
        <f t="shared" si="14"/>
        <v>147000</v>
      </c>
      <c r="J466" s="5">
        <v>45234</v>
      </c>
      <c r="K466" s="3" t="s">
        <v>338</v>
      </c>
      <c r="L466" s="3" t="str">
        <f>VLOOKUP(DataSales[[#This Row],[Khách hàng]],'RFM Table'!$A:$I,9,FALSE)</f>
        <v>Khách hàng Trung thành</v>
      </c>
      <c r="M466" s="4">
        <f t="shared" si="15"/>
        <v>21600</v>
      </c>
      <c r="N466" s="6">
        <v>0.14693877551020409</v>
      </c>
      <c r="O466" s="2">
        <v>3</v>
      </c>
      <c r="P466" s="6">
        <v>0</v>
      </c>
      <c r="Q466" s="36">
        <v>2023</v>
      </c>
      <c r="R466" s="56">
        <f>MONTH(DataSales[[#This Row],[Ngày Xuất]])</f>
        <v>11</v>
      </c>
      <c r="S466" s="56" t="s">
        <v>780</v>
      </c>
    </row>
    <row r="467" spans="1:19" x14ac:dyDescent="0.3">
      <c r="A467" s="35">
        <v>556</v>
      </c>
      <c r="B467" s="8" t="s">
        <v>119</v>
      </c>
      <c r="C467" s="8" t="s">
        <v>120</v>
      </c>
      <c r="D467" s="8" t="s">
        <v>47</v>
      </c>
      <c r="E467" s="9">
        <v>600000</v>
      </c>
      <c r="F467" s="7">
        <v>0</v>
      </c>
      <c r="G467" s="7">
        <v>6</v>
      </c>
      <c r="H467" s="9">
        <v>1308000</v>
      </c>
      <c r="I467" s="9">
        <f t="shared" si="14"/>
        <v>1308000</v>
      </c>
      <c r="J467" s="10">
        <v>45234</v>
      </c>
      <c r="K467" s="8" t="s">
        <v>523</v>
      </c>
      <c r="L467" s="8" t="str">
        <f>VLOOKUP(DataSales[[#This Row],[Khách hàng]],'RFM Table'!$A:$I,9,FALSE)</f>
        <v>Khách hàng Tiềm năng</v>
      </c>
      <c r="M467" s="9">
        <f t="shared" si="15"/>
        <v>708000</v>
      </c>
      <c r="N467" s="11">
        <v>0.54128440366972475</v>
      </c>
      <c r="O467" s="7">
        <v>6</v>
      </c>
      <c r="P467" s="11">
        <v>0</v>
      </c>
      <c r="Q467" s="37">
        <v>2023</v>
      </c>
      <c r="R467" s="56">
        <f>MONTH(DataSales[[#This Row],[Ngày Xuất]])</f>
        <v>11</v>
      </c>
      <c r="S467" s="56" t="s">
        <v>779</v>
      </c>
    </row>
    <row r="468" spans="1:19" x14ac:dyDescent="0.3">
      <c r="A468" s="34">
        <v>558</v>
      </c>
      <c r="B468" s="3" t="s">
        <v>119</v>
      </c>
      <c r="C468" s="3" t="s">
        <v>120</v>
      </c>
      <c r="D468" s="3" t="s">
        <v>47</v>
      </c>
      <c r="E468" s="4">
        <v>300000</v>
      </c>
      <c r="F468" s="2">
        <v>0</v>
      </c>
      <c r="G468" s="2">
        <v>3</v>
      </c>
      <c r="H468" s="4">
        <v>654000</v>
      </c>
      <c r="I468" s="4">
        <f t="shared" si="14"/>
        <v>654000</v>
      </c>
      <c r="J468" s="5">
        <v>45234</v>
      </c>
      <c r="K468" s="3" t="s">
        <v>524</v>
      </c>
      <c r="L468" s="3" t="str">
        <f>VLOOKUP(DataSales[[#This Row],[Khách hàng]],'RFM Table'!$A:$I,9,FALSE)</f>
        <v>Khách hàng Trung thành</v>
      </c>
      <c r="M468" s="4">
        <f t="shared" si="15"/>
        <v>354000</v>
      </c>
      <c r="N468" s="6">
        <v>0.54128440366972475</v>
      </c>
      <c r="O468" s="2">
        <v>3</v>
      </c>
      <c r="P468" s="6">
        <v>0</v>
      </c>
      <c r="Q468" s="36">
        <v>2023</v>
      </c>
      <c r="R468" s="56">
        <f>MONTH(DataSales[[#This Row],[Ngày Xuất]])</f>
        <v>11</v>
      </c>
      <c r="S468" s="56" t="s">
        <v>779</v>
      </c>
    </row>
    <row r="469" spans="1:19" x14ac:dyDescent="0.3">
      <c r="A469" s="35">
        <v>559</v>
      </c>
      <c r="B469" s="8" t="s">
        <v>353</v>
      </c>
      <c r="C469" s="8" t="s">
        <v>354</v>
      </c>
      <c r="D469" s="8" t="s">
        <v>158</v>
      </c>
      <c r="E469" s="9">
        <v>150000</v>
      </c>
      <c r="F469" s="7">
        <v>0</v>
      </c>
      <c r="G469" s="7">
        <v>4</v>
      </c>
      <c r="H469" s="9">
        <v>168000</v>
      </c>
      <c r="I469" s="9">
        <f t="shared" si="14"/>
        <v>168000</v>
      </c>
      <c r="J469" s="10">
        <v>45234</v>
      </c>
      <c r="K469" s="8" t="s">
        <v>524</v>
      </c>
      <c r="L469" s="8" t="str">
        <f>VLOOKUP(DataSales[[#This Row],[Khách hàng]],'RFM Table'!$A:$I,9,FALSE)</f>
        <v>Khách hàng Trung thành</v>
      </c>
      <c r="M469" s="9">
        <f t="shared" si="15"/>
        <v>18000</v>
      </c>
      <c r="N469" s="11">
        <v>0.1071428571428571</v>
      </c>
      <c r="O469" s="7">
        <v>4</v>
      </c>
      <c r="P469" s="11">
        <v>0</v>
      </c>
      <c r="Q469" s="37">
        <v>2023</v>
      </c>
      <c r="R469" s="56">
        <f>MONTH(DataSales[[#This Row],[Ngày Xuất]])</f>
        <v>11</v>
      </c>
      <c r="S469" s="56" t="s">
        <v>776</v>
      </c>
    </row>
    <row r="470" spans="1:19" x14ac:dyDescent="0.3">
      <c r="A470" s="34">
        <v>560</v>
      </c>
      <c r="B470" s="3" t="s">
        <v>421</v>
      </c>
      <c r="C470" s="3" t="s">
        <v>422</v>
      </c>
      <c r="D470" s="3" t="s">
        <v>18</v>
      </c>
      <c r="E470" s="4">
        <v>122000</v>
      </c>
      <c r="F470" s="2">
        <v>0</v>
      </c>
      <c r="G470" s="2">
        <v>10</v>
      </c>
      <c r="H470" s="4">
        <v>140000</v>
      </c>
      <c r="I470" s="4">
        <f t="shared" si="14"/>
        <v>140000</v>
      </c>
      <c r="J470" s="5">
        <v>45234</v>
      </c>
      <c r="K470" s="3" t="s">
        <v>524</v>
      </c>
      <c r="L470" s="3" t="str">
        <f>VLOOKUP(DataSales[[#This Row],[Khách hàng]],'RFM Table'!$A:$I,9,FALSE)</f>
        <v>Khách hàng Trung thành</v>
      </c>
      <c r="M470" s="4">
        <f t="shared" si="15"/>
        <v>18000</v>
      </c>
      <c r="N470" s="6">
        <v>0.12857142857142859</v>
      </c>
      <c r="O470" s="2">
        <v>10</v>
      </c>
      <c r="P470" s="6">
        <v>0</v>
      </c>
      <c r="Q470" s="36">
        <v>2023</v>
      </c>
      <c r="R470" s="56">
        <f>MONTH(DataSales[[#This Row],[Ngày Xuất]])</f>
        <v>11</v>
      </c>
      <c r="S470" s="56" t="s">
        <v>776</v>
      </c>
    </row>
    <row r="471" spans="1:19" x14ac:dyDescent="0.3">
      <c r="A471" s="35">
        <v>561</v>
      </c>
      <c r="B471" s="8" t="s">
        <v>237</v>
      </c>
      <c r="C471" s="8" t="s">
        <v>238</v>
      </c>
      <c r="D471" s="8" t="s">
        <v>104</v>
      </c>
      <c r="E471" s="9">
        <v>63000</v>
      </c>
      <c r="F471" s="7">
        <v>0</v>
      </c>
      <c r="G471" s="7">
        <v>1</v>
      </c>
      <c r="H471" s="9">
        <v>72000</v>
      </c>
      <c r="I471" s="9">
        <f t="shared" si="14"/>
        <v>72000</v>
      </c>
      <c r="J471" s="10">
        <v>45234</v>
      </c>
      <c r="K471" s="8" t="s">
        <v>525</v>
      </c>
      <c r="L471" s="8" t="str">
        <f>VLOOKUP(DataSales[[#This Row],[Khách hàng]],'RFM Table'!$A:$I,9,FALSE)</f>
        <v>Khách hàng Tiềm năng</v>
      </c>
      <c r="M471" s="9">
        <f t="shared" si="15"/>
        <v>9000</v>
      </c>
      <c r="N471" s="11">
        <v>0.125</v>
      </c>
      <c r="O471" s="7">
        <v>1</v>
      </c>
      <c r="P471" s="11">
        <v>0</v>
      </c>
      <c r="Q471" s="37">
        <v>2023</v>
      </c>
      <c r="R471" s="56">
        <f>MONTH(DataSales[[#This Row],[Ngày Xuất]])</f>
        <v>11</v>
      </c>
      <c r="S471" s="56" t="s">
        <v>780</v>
      </c>
    </row>
    <row r="472" spans="1:19" x14ac:dyDescent="0.3">
      <c r="A472" s="34">
        <v>562</v>
      </c>
      <c r="B472" s="3" t="s">
        <v>70</v>
      </c>
      <c r="C472" s="3" t="s">
        <v>71</v>
      </c>
      <c r="D472" s="3" t="s">
        <v>72</v>
      </c>
      <c r="E472" s="4">
        <v>165000</v>
      </c>
      <c r="F472" s="2">
        <v>0</v>
      </c>
      <c r="G472" s="2">
        <v>30</v>
      </c>
      <c r="H472" s="4">
        <v>200000</v>
      </c>
      <c r="I472" s="4">
        <f t="shared" si="14"/>
        <v>200000</v>
      </c>
      <c r="J472" s="5">
        <v>45234</v>
      </c>
      <c r="K472" s="3" t="s">
        <v>525</v>
      </c>
      <c r="L472" s="3" t="str">
        <f>VLOOKUP(DataSales[[#This Row],[Khách hàng]],'RFM Table'!$A:$I,9,FALSE)</f>
        <v>Khách hàng Tiềm năng</v>
      </c>
      <c r="M472" s="4">
        <f t="shared" si="15"/>
        <v>35000</v>
      </c>
      <c r="N472" s="6">
        <v>0.17499999999999999</v>
      </c>
      <c r="O472" s="2">
        <v>30</v>
      </c>
      <c r="P472" s="6">
        <v>0</v>
      </c>
      <c r="Q472" s="36">
        <v>2023</v>
      </c>
      <c r="R472" s="56">
        <f>MONTH(DataSales[[#This Row],[Ngày Xuất]])</f>
        <v>11</v>
      </c>
      <c r="S472" s="56" t="s">
        <v>776</v>
      </c>
    </row>
    <row r="473" spans="1:19" x14ac:dyDescent="0.3">
      <c r="A473" s="35">
        <v>563</v>
      </c>
      <c r="B473" s="8" t="s">
        <v>512</v>
      </c>
      <c r="C473" s="8" t="s">
        <v>513</v>
      </c>
      <c r="D473" s="8" t="s">
        <v>47</v>
      </c>
      <c r="E473" s="9">
        <v>114400</v>
      </c>
      <c r="F473" s="7">
        <v>0</v>
      </c>
      <c r="G473" s="7">
        <v>2</v>
      </c>
      <c r="H473" s="9">
        <v>134000</v>
      </c>
      <c r="I473" s="9">
        <f t="shared" si="14"/>
        <v>134000</v>
      </c>
      <c r="J473" s="10">
        <v>45234</v>
      </c>
      <c r="K473" s="8" t="s">
        <v>245</v>
      </c>
      <c r="L473" s="8" t="str">
        <f>VLOOKUP(DataSales[[#This Row],[Khách hàng]],'RFM Table'!$A:$I,9,FALSE)</f>
        <v>Khách hàng VIP</v>
      </c>
      <c r="M473" s="9">
        <f t="shared" si="15"/>
        <v>19600</v>
      </c>
      <c r="N473" s="11">
        <v>0.14626865671641789</v>
      </c>
      <c r="O473" s="7">
        <v>2</v>
      </c>
      <c r="P473" s="11">
        <v>0</v>
      </c>
      <c r="Q473" s="37">
        <v>2023</v>
      </c>
      <c r="R473" s="56">
        <f>MONTH(DataSales[[#This Row],[Ngày Xuất]])</f>
        <v>11</v>
      </c>
      <c r="S473" s="56" t="s">
        <v>780</v>
      </c>
    </row>
    <row r="474" spans="1:19" x14ac:dyDescent="0.3">
      <c r="A474" s="34">
        <v>564</v>
      </c>
      <c r="B474" s="3" t="s">
        <v>514</v>
      </c>
      <c r="C474" s="3" t="s">
        <v>515</v>
      </c>
      <c r="D474" s="3" t="s">
        <v>47</v>
      </c>
      <c r="E474" s="4">
        <v>114400</v>
      </c>
      <c r="F474" s="2">
        <v>0</v>
      </c>
      <c r="G474" s="2">
        <v>2</v>
      </c>
      <c r="H474" s="4">
        <v>134000</v>
      </c>
      <c r="I474" s="4">
        <f t="shared" si="14"/>
        <v>134000</v>
      </c>
      <c r="J474" s="5">
        <v>45234</v>
      </c>
      <c r="K474" s="3" t="s">
        <v>245</v>
      </c>
      <c r="L474" s="3" t="str">
        <f>VLOOKUP(DataSales[[#This Row],[Khách hàng]],'RFM Table'!$A:$I,9,FALSE)</f>
        <v>Khách hàng VIP</v>
      </c>
      <c r="M474" s="4">
        <f t="shared" si="15"/>
        <v>19600</v>
      </c>
      <c r="N474" s="6">
        <v>0.14626865671641789</v>
      </c>
      <c r="O474" s="2">
        <v>2</v>
      </c>
      <c r="P474" s="6">
        <v>0</v>
      </c>
      <c r="Q474" s="36">
        <v>2023</v>
      </c>
      <c r="R474" s="56">
        <f>MONTH(DataSales[[#This Row],[Ngày Xuất]])</f>
        <v>11</v>
      </c>
      <c r="S474" s="56" t="s">
        <v>780</v>
      </c>
    </row>
    <row r="475" spans="1:19" x14ac:dyDescent="0.3">
      <c r="A475" s="35">
        <v>565</v>
      </c>
      <c r="B475" s="8" t="s">
        <v>516</v>
      </c>
      <c r="C475" s="8" t="s">
        <v>517</v>
      </c>
      <c r="D475" s="8" t="s">
        <v>47</v>
      </c>
      <c r="E475" s="9">
        <v>57200</v>
      </c>
      <c r="F475" s="7">
        <v>0</v>
      </c>
      <c r="G475" s="7">
        <v>1</v>
      </c>
      <c r="H475" s="9">
        <v>67000</v>
      </c>
      <c r="I475" s="9">
        <f t="shared" si="14"/>
        <v>67000</v>
      </c>
      <c r="J475" s="10">
        <v>45234</v>
      </c>
      <c r="K475" s="8" t="s">
        <v>245</v>
      </c>
      <c r="L475" s="8" t="str">
        <f>VLOOKUP(DataSales[[#This Row],[Khách hàng]],'RFM Table'!$A:$I,9,FALSE)</f>
        <v>Khách hàng VIP</v>
      </c>
      <c r="M475" s="9">
        <f t="shared" si="15"/>
        <v>9800</v>
      </c>
      <c r="N475" s="11">
        <v>0.14626865671641789</v>
      </c>
      <c r="O475" s="7">
        <v>1</v>
      </c>
      <c r="P475" s="11">
        <v>0</v>
      </c>
      <c r="Q475" s="37">
        <v>2023</v>
      </c>
      <c r="R475" s="56">
        <f>MONTH(DataSales[[#This Row],[Ngày Xuất]])</f>
        <v>11</v>
      </c>
      <c r="S475" s="56" t="s">
        <v>780</v>
      </c>
    </row>
    <row r="476" spans="1:19" x14ac:dyDescent="0.3">
      <c r="A476" s="34">
        <v>567</v>
      </c>
      <c r="B476" s="3" t="s">
        <v>254</v>
      </c>
      <c r="C476" s="3" t="s">
        <v>255</v>
      </c>
      <c r="D476" s="3" t="s">
        <v>155</v>
      </c>
      <c r="E476" s="4">
        <v>2548800</v>
      </c>
      <c r="F476" s="2">
        <v>0</v>
      </c>
      <c r="G476" s="2">
        <v>12</v>
      </c>
      <c r="H476" s="4">
        <v>2865600</v>
      </c>
      <c r="I476" s="4">
        <f t="shared" si="14"/>
        <v>2865600</v>
      </c>
      <c r="J476" s="5">
        <v>45236</v>
      </c>
      <c r="K476" s="3" t="s">
        <v>82</v>
      </c>
      <c r="L476" s="3" t="str">
        <f>VLOOKUP(DataSales[[#This Row],[Khách hàng]],'RFM Table'!$A:$I,9,FALSE)</f>
        <v>Khách hàng Trung thành</v>
      </c>
      <c r="M476" s="4">
        <f t="shared" si="15"/>
        <v>316800</v>
      </c>
      <c r="N476" s="6">
        <v>0.1105527638190955</v>
      </c>
      <c r="O476" s="2">
        <v>12</v>
      </c>
      <c r="P476" s="6">
        <v>0</v>
      </c>
      <c r="Q476" s="36">
        <v>2023</v>
      </c>
      <c r="R476" s="56">
        <f>MONTH(DataSales[[#This Row],[Ngày Xuất]])</f>
        <v>11</v>
      </c>
      <c r="S476" s="56" t="s">
        <v>782</v>
      </c>
    </row>
    <row r="477" spans="1:19" x14ac:dyDescent="0.3">
      <c r="A477" s="35">
        <v>568</v>
      </c>
      <c r="B477" s="8" t="s">
        <v>359</v>
      </c>
      <c r="C477" s="8" t="s">
        <v>360</v>
      </c>
      <c r="D477" s="8" t="s">
        <v>18</v>
      </c>
      <c r="E477" s="9">
        <v>3360000</v>
      </c>
      <c r="F477" s="7">
        <v>0</v>
      </c>
      <c r="G477" s="7">
        <v>70</v>
      </c>
      <c r="H477" s="9">
        <v>2912000</v>
      </c>
      <c r="I477" s="9">
        <f t="shared" si="14"/>
        <v>2912000</v>
      </c>
      <c r="J477" s="10">
        <v>45236</v>
      </c>
      <c r="K477" s="8" t="s">
        <v>259</v>
      </c>
      <c r="L477" s="8" t="str">
        <f>VLOOKUP(DataSales[[#This Row],[Khách hàng]],'RFM Table'!$A:$I,9,FALSE)</f>
        <v>Khách hàng Trung thành</v>
      </c>
      <c r="M477" s="9">
        <f t="shared" si="15"/>
        <v>-448000</v>
      </c>
      <c r="N477" s="11">
        <v>-0.15384615384615391</v>
      </c>
      <c r="O477" s="7">
        <v>70</v>
      </c>
      <c r="P477" s="11">
        <v>0</v>
      </c>
      <c r="Q477" s="37">
        <v>2023</v>
      </c>
      <c r="R477" s="56">
        <f>MONTH(DataSales[[#This Row],[Ngày Xuất]])</f>
        <v>11</v>
      </c>
      <c r="S477" s="56" t="s">
        <v>772</v>
      </c>
    </row>
    <row r="478" spans="1:19" x14ac:dyDescent="0.3">
      <c r="A478" s="34">
        <v>569</v>
      </c>
      <c r="B478" s="3" t="s">
        <v>281</v>
      </c>
      <c r="C478" s="3" t="s">
        <v>282</v>
      </c>
      <c r="D478" s="3" t="s">
        <v>47</v>
      </c>
      <c r="E478" s="4">
        <v>42084</v>
      </c>
      <c r="F478" s="2">
        <v>0</v>
      </c>
      <c r="G478" s="2">
        <v>1</v>
      </c>
      <c r="H478" s="4">
        <v>48000</v>
      </c>
      <c r="I478" s="4">
        <f t="shared" si="14"/>
        <v>48000</v>
      </c>
      <c r="J478" s="5">
        <v>45236</v>
      </c>
      <c r="K478" s="3" t="s">
        <v>150</v>
      </c>
      <c r="L478" s="3" t="str">
        <f>VLOOKUP(DataSales[[#This Row],[Khách hàng]],'RFM Table'!$A:$I,9,FALSE)</f>
        <v>Khách hàng Trung thành</v>
      </c>
      <c r="M478" s="4">
        <f t="shared" si="15"/>
        <v>5916</v>
      </c>
      <c r="N478" s="6">
        <v>0.12325</v>
      </c>
      <c r="O478" s="2">
        <v>1</v>
      </c>
      <c r="P478" s="6">
        <v>0</v>
      </c>
      <c r="Q478" s="36">
        <v>2023</v>
      </c>
      <c r="R478" s="56">
        <f>MONTH(DataSales[[#This Row],[Ngày Xuất]])</f>
        <v>11</v>
      </c>
      <c r="S478" s="56" t="s">
        <v>780</v>
      </c>
    </row>
    <row r="479" spans="1:19" x14ac:dyDescent="0.3">
      <c r="A479" s="35">
        <v>570</v>
      </c>
      <c r="B479" s="8" t="s">
        <v>283</v>
      </c>
      <c r="C479" s="8" t="s">
        <v>284</v>
      </c>
      <c r="D479" s="8" t="s">
        <v>47</v>
      </c>
      <c r="E479" s="9">
        <v>42084</v>
      </c>
      <c r="F479" s="7">
        <v>0</v>
      </c>
      <c r="G479" s="7">
        <v>1</v>
      </c>
      <c r="H479" s="9">
        <v>48000</v>
      </c>
      <c r="I479" s="9">
        <f t="shared" si="14"/>
        <v>48000</v>
      </c>
      <c r="J479" s="10">
        <v>45236</v>
      </c>
      <c r="K479" s="8" t="s">
        <v>150</v>
      </c>
      <c r="L479" s="8" t="str">
        <f>VLOOKUP(DataSales[[#This Row],[Khách hàng]],'RFM Table'!$A:$I,9,FALSE)</f>
        <v>Khách hàng Trung thành</v>
      </c>
      <c r="M479" s="9">
        <f t="shared" si="15"/>
        <v>5916</v>
      </c>
      <c r="N479" s="11">
        <v>0.12325</v>
      </c>
      <c r="O479" s="7">
        <v>1</v>
      </c>
      <c r="P479" s="11">
        <v>0</v>
      </c>
      <c r="Q479" s="37">
        <v>2023</v>
      </c>
      <c r="R479" s="56">
        <f>MONTH(DataSales[[#This Row],[Ngày Xuất]])</f>
        <v>11</v>
      </c>
      <c r="S479" s="56" t="s">
        <v>780</v>
      </c>
    </row>
    <row r="480" spans="1:19" x14ac:dyDescent="0.3">
      <c r="A480" s="34">
        <v>572</v>
      </c>
      <c r="B480" s="3" t="s">
        <v>349</v>
      </c>
      <c r="C480" s="3" t="s">
        <v>350</v>
      </c>
      <c r="D480" s="3" t="s">
        <v>47</v>
      </c>
      <c r="E480" s="4">
        <v>271800</v>
      </c>
      <c r="F480" s="2">
        <v>0</v>
      </c>
      <c r="G480" s="2">
        <v>6</v>
      </c>
      <c r="H480" s="4">
        <v>300000</v>
      </c>
      <c r="I480" s="4">
        <f t="shared" si="14"/>
        <v>300000</v>
      </c>
      <c r="J480" s="5">
        <v>45236</v>
      </c>
      <c r="K480" s="3" t="s">
        <v>150</v>
      </c>
      <c r="L480" s="3" t="str">
        <f>VLOOKUP(DataSales[[#This Row],[Khách hàng]],'RFM Table'!$A:$I,9,FALSE)</f>
        <v>Khách hàng Trung thành</v>
      </c>
      <c r="M480" s="4">
        <f t="shared" si="15"/>
        <v>28200</v>
      </c>
      <c r="N480" s="6">
        <v>9.4E-2</v>
      </c>
      <c r="O480" s="2">
        <v>6</v>
      </c>
      <c r="P480" s="6">
        <v>0</v>
      </c>
      <c r="Q480" s="36">
        <v>2023</v>
      </c>
      <c r="R480" s="56">
        <f>MONTH(DataSales[[#This Row],[Ngày Xuất]])</f>
        <v>11</v>
      </c>
      <c r="S480" s="56" t="s">
        <v>780</v>
      </c>
    </row>
    <row r="481" spans="1:19" x14ac:dyDescent="0.3">
      <c r="A481" s="35">
        <v>573</v>
      </c>
      <c r="B481" s="8" t="s">
        <v>351</v>
      </c>
      <c r="C481" s="8" t="s">
        <v>352</v>
      </c>
      <c r="D481" s="8" t="s">
        <v>47</v>
      </c>
      <c r="E481" s="9">
        <v>271800</v>
      </c>
      <c r="F481" s="7">
        <v>1</v>
      </c>
      <c r="G481" s="7">
        <v>6</v>
      </c>
      <c r="H481" s="9">
        <v>300000</v>
      </c>
      <c r="I481" s="9">
        <f t="shared" si="14"/>
        <v>300000</v>
      </c>
      <c r="J481" s="10">
        <v>45236</v>
      </c>
      <c r="K481" s="8" t="s">
        <v>150</v>
      </c>
      <c r="L481" s="8" t="str">
        <f>VLOOKUP(DataSales[[#This Row],[Khách hàng]],'RFM Table'!$A:$I,9,FALSE)</f>
        <v>Khách hàng Trung thành</v>
      </c>
      <c r="M481" s="9">
        <f t="shared" si="15"/>
        <v>28200</v>
      </c>
      <c r="N481" s="11">
        <v>9.4E-2</v>
      </c>
      <c r="O481" s="7">
        <v>7</v>
      </c>
      <c r="P481" s="11">
        <v>0.14285714285714279</v>
      </c>
      <c r="Q481" s="37">
        <v>2023</v>
      </c>
      <c r="R481" s="56">
        <f>MONTH(DataSales[[#This Row],[Ngày Xuất]])</f>
        <v>11</v>
      </c>
      <c r="S481" s="56" t="s">
        <v>780</v>
      </c>
    </row>
    <row r="482" spans="1:19" x14ac:dyDescent="0.3">
      <c r="A482" s="34">
        <v>574</v>
      </c>
      <c r="B482" s="3" t="s">
        <v>526</v>
      </c>
      <c r="C482" s="3" t="s">
        <v>527</v>
      </c>
      <c r="D482" s="3" t="s">
        <v>18</v>
      </c>
      <c r="E482" s="4">
        <v>78320</v>
      </c>
      <c r="F482" s="2">
        <v>0</v>
      </c>
      <c r="G482" s="2">
        <v>5</v>
      </c>
      <c r="H482" s="4">
        <v>92500</v>
      </c>
      <c r="I482" s="4">
        <f t="shared" si="14"/>
        <v>92500</v>
      </c>
      <c r="J482" s="5">
        <v>45236</v>
      </c>
      <c r="K482" s="3" t="s">
        <v>150</v>
      </c>
      <c r="L482" s="3" t="str">
        <f>VLOOKUP(DataSales[[#This Row],[Khách hàng]],'RFM Table'!$A:$I,9,FALSE)</f>
        <v>Khách hàng Trung thành</v>
      </c>
      <c r="M482" s="4">
        <f t="shared" si="15"/>
        <v>14180</v>
      </c>
      <c r="N482" s="6">
        <v>0.1532972972972973</v>
      </c>
      <c r="O482" s="2">
        <v>5</v>
      </c>
      <c r="P482" s="6">
        <v>0</v>
      </c>
      <c r="Q482" s="36">
        <v>2023</v>
      </c>
      <c r="R482" s="56">
        <f>MONTH(DataSales[[#This Row],[Ngày Xuất]])</f>
        <v>11</v>
      </c>
      <c r="S482" s="56" t="s">
        <v>776</v>
      </c>
    </row>
    <row r="483" spans="1:19" x14ac:dyDescent="0.3">
      <c r="A483" s="35">
        <v>576</v>
      </c>
      <c r="B483" s="8" t="s">
        <v>344</v>
      </c>
      <c r="C483" s="8" t="s">
        <v>345</v>
      </c>
      <c r="D483" s="8" t="s">
        <v>18</v>
      </c>
      <c r="E483" s="9">
        <v>26250</v>
      </c>
      <c r="F483" s="7">
        <v>0</v>
      </c>
      <c r="G483" s="7">
        <v>5</v>
      </c>
      <c r="H483" s="9">
        <v>35000</v>
      </c>
      <c r="I483" s="9">
        <f t="shared" si="14"/>
        <v>35000</v>
      </c>
      <c r="J483" s="10">
        <v>45239</v>
      </c>
      <c r="K483" s="8" t="s">
        <v>147</v>
      </c>
      <c r="L483" s="8" t="str">
        <f>VLOOKUP(DataSales[[#This Row],[Khách hàng]],'RFM Table'!$A:$I,9,FALSE)</f>
        <v>Khách hàng Trung thành</v>
      </c>
      <c r="M483" s="9">
        <f t="shared" si="15"/>
        <v>8750</v>
      </c>
      <c r="N483" s="11">
        <v>0.25</v>
      </c>
      <c r="O483" s="7">
        <v>5</v>
      </c>
      <c r="P483" s="11">
        <v>0</v>
      </c>
      <c r="Q483" s="37">
        <v>2023</v>
      </c>
      <c r="R483" s="56">
        <f>MONTH(DataSales[[#This Row],[Ngày Xuất]])</f>
        <v>11</v>
      </c>
      <c r="S483" s="56" t="s">
        <v>776</v>
      </c>
    </row>
    <row r="484" spans="1:19" x14ac:dyDescent="0.3">
      <c r="A484" s="34">
        <v>577</v>
      </c>
      <c r="B484" s="3" t="s">
        <v>347</v>
      </c>
      <c r="C484" s="3" t="s">
        <v>348</v>
      </c>
      <c r="D484" s="3" t="s">
        <v>18</v>
      </c>
      <c r="E484" s="4">
        <v>26250</v>
      </c>
      <c r="F484" s="2">
        <v>0</v>
      </c>
      <c r="G484" s="2">
        <v>5</v>
      </c>
      <c r="H484" s="4">
        <v>35000</v>
      </c>
      <c r="I484" s="4">
        <f t="shared" si="14"/>
        <v>35000</v>
      </c>
      <c r="J484" s="5">
        <v>45239</v>
      </c>
      <c r="K484" s="3" t="s">
        <v>147</v>
      </c>
      <c r="L484" s="3" t="str">
        <f>VLOOKUP(DataSales[[#This Row],[Khách hàng]],'RFM Table'!$A:$I,9,FALSE)</f>
        <v>Khách hàng Trung thành</v>
      </c>
      <c r="M484" s="4">
        <f t="shared" si="15"/>
        <v>8750</v>
      </c>
      <c r="N484" s="6">
        <v>0.25</v>
      </c>
      <c r="O484" s="2">
        <v>5</v>
      </c>
      <c r="P484" s="6">
        <v>0</v>
      </c>
      <c r="Q484" s="36">
        <v>2023</v>
      </c>
      <c r="R484" s="56">
        <f>MONTH(DataSales[[#This Row],[Ngày Xuất]])</f>
        <v>11</v>
      </c>
      <c r="S484" s="56" t="s">
        <v>776</v>
      </c>
    </row>
    <row r="485" spans="1:19" x14ac:dyDescent="0.3">
      <c r="A485" s="35">
        <v>578</v>
      </c>
      <c r="B485" s="8" t="s">
        <v>292</v>
      </c>
      <c r="C485" s="8" t="s">
        <v>293</v>
      </c>
      <c r="D485" s="8" t="s">
        <v>18</v>
      </c>
      <c r="E485" s="9">
        <v>26250</v>
      </c>
      <c r="F485" s="7">
        <v>0</v>
      </c>
      <c r="G485" s="7">
        <v>5</v>
      </c>
      <c r="H485" s="9">
        <v>35000</v>
      </c>
      <c r="I485" s="9">
        <f t="shared" si="14"/>
        <v>35000</v>
      </c>
      <c r="J485" s="10">
        <v>45239</v>
      </c>
      <c r="K485" s="8" t="s">
        <v>147</v>
      </c>
      <c r="L485" s="8" t="str">
        <f>VLOOKUP(DataSales[[#This Row],[Khách hàng]],'RFM Table'!$A:$I,9,FALSE)</f>
        <v>Khách hàng Trung thành</v>
      </c>
      <c r="M485" s="9">
        <f t="shared" si="15"/>
        <v>8750</v>
      </c>
      <c r="N485" s="11">
        <v>0.25</v>
      </c>
      <c r="O485" s="7">
        <v>5</v>
      </c>
      <c r="P485" s="11">
        <v>0</v>
      </c>
      <c r="Q485" s="37">
        <v>2023</v>
      </c>
      <c r="R485" s="56">
        <f>MONTH(DataSales[[#This Row],[Ngày Xuất]])</f>
        <v>11</v>
      </c>
      <c r="S485" s="56" t="s">
        <v>776</v>
      </c>
    </row>
    <row r="486" spans="1:19" x14ac:dyDescent="0.3">
      <c r="A486" s="34">
        <v>579</v>
      </c>
      <c r="B486" s="3" t="s">
        <v>528</v>
      </c>
      <c r="C486" s="3" t="s">
        <v>529</v>
      </c>
      <c r="D486" s="3" t="s">
        <v>47</v>
      </c>
      <c r="E486" s="4">
        <v>82500</v>
      </c>
      <c r="F486" s="2">
        <v>0</v>
      </c>
      <c r="G486" s="2">
        <v>3</v>
      </c>
      <c r="H486" s="4">
        <v>84000</v>
      </c>
      <c r="I486" s="4">
        <f t="shared" si="14"/>
        <v>84000</v>
      </c>
      <c r="J486" s="5">
        <v>45239</v>
      </c>
      <c r="K486" s="3" t="s">
        <v>150</v>
      </c>
      <c r="L486" s="3" t="str">
        <f>VLOOKUP(DataSales[[#This Row],[Khách hàng]],'RFM Table'!$A:$I,9,FALSE)</f>
        <v>Khách hàng Trung thành</v>
      </c>
      <c r="M486" s="4">
        <f t="shared" si="15"/>
        <v>1500</v>
      </c>
      <c r="N486" s="6">
        <v>1.785714285714286E-2</v>
      </c>
      <c r="O486" s="2">
        <v>3</v>
      </c>
      <c r="P486" s="6">
        <v>0</v>
      </c>
      <c r="Q486" s="36">
        <v>2023</v>
      </c>
      <c r="R486" s="56">
        <f>MONTH(DataSales[[#This Row],[Ngày Xuất]])</f>
        <v>11</v>
      </c>
      <c r="S486" s="56" t="s">
        <v>780</v>
      </c>
    </row>
    <row r="487" spans="1:19" x14ac:dyDescent="0.3">
      <c r="A487" s="35">
        <v>580</v>
      </c>
      <c r="B487" s="8" t="s">
        <v>530</v>
      </c>
      <c r="C487" s="8" t="s">
        <v>531</v>
      </c>
      <c r="D487" s="8" t="s">
        <v>47</v>
      </c>
      <c r="E487" s="9">
        <v>82500</v>
      </c>
      <c r="F487" s="7">
        <v>0</v>
      </c>
      <c r="G487" s="7">
        <v>3</v>
      </c>
      <c r="H487" s="9">
        <v>84000</v>
      </c>
      <c r="I487" s="9">
        <f t="shared" si="14"/>
        <v>84000</v>
      </c>
      <c r="J487" s="10">
        <v>45239</v>
      </c>
      <c r="K487" s="8" t="s">
        <v>150</v>
      </c>
      <c r="L487" s="8" t="str">
        <f>VLOOKUP(DataSales[[#This Row],[Khách hàng]],'RFM Table'!$A:$I,9,FALSE)</f>
        <v>Khách hàng Trung thành</v>
      </c>
      <c r="M487" s="9">
        <f t="shared" si="15"/>
        <v>1500</v>
      </c>
      <c r="N487" s="11">
        <v>1.785714285714286E-2</v>
      </c>
      <c r="O487" s="7">
        <v>3</v>
      </c>
      <c r="P487" s="11">
        <v>0</v>
      </c>
      <c r="Q487" s="37">
        <v>2023</v>
      </c>
      <c r="R487" s="56">
        <f>MONTH(DataSales[[#This Row],[Ngày Xuất]])</f>
        <v>11</v>
      </c>
      <c r="S487" s="56" t="s">
        <v>780</v>
      </c>
    </row>
    <row r="488" spans="1:19" x14ac:dyDescent="0.3">
      <c r="A488" s="34">
        <v>581</v>
      </c>
      <c r="B488" s="3" t="s">
        <v>532</v>
      </c>
      <c r="C488" s="3" t="s">
        <v>533</v>
      </c>
      <c r="D488" s="3" t="s">
        <v>47</v>
      </c>
      <c r="E488" s="4">
        <v>82500</v>
      </c>
      <c r="F488" s="2">
        <v>0</v>
      </c>
      <c r="G488" s="2">
        <v>3</v>
      </c>
      <c r="H488" s="4">
        <v>84000</v>
      </c>
      <c r="I488" s="4">
        <f t="shared" si="14"/>
        <v>84000</v>
      </c>
      <c r="J488" s="5">
        <v>45239</v>
      </c>
      <c r="K488" s="3" t="s">
        <v>150</v>
      </c>
      <c r="L488" s="3" t="str">
        <f>VLOOKUP(DataSales[[#This Row],[Khách hàng]],'RFM Table'!$A:$I,9,FALSE)</f>
        <v>Khách hàng Trung thành</v>
      </c>
      <c r="M488" s="4">
        <f t="shared" si="15"/>
        <v>1500</v>
      </c>
      <c r="N488" s="6">
        <v>1.785714285714286E-2</v>
      </c>
      <c r="O488" s="2">
        <v>3</v>
      </c>
      <c r="P488" s="6">
        <v>0</v>
      </c>
      <c r="Q488" s="36">
        <v>2023</v>
      </c>
      <c r="R488" s="56">
        <f>MONTH(DataSales[[#This Row],[Ngày Xuất]])</f>
        <v>11</v>
      </c>
      <c r="S488" s="56" t="s">
        <v>780</v>
      </c>
    </row>
    <row r="489" spans="1:19" x14ac:dyDescent="0.3">
      <c r="A489" s="35">
        <v>582</v>
      </c>
      <c r="B489" s="8" t="s">
        <v>534</v>
      </c>
      <c r="C489" s="8" t="s">
        <v>535</v>
      </c>
      <c r="D489" s="8" t="s">
        <v>47</v>
      </c>
      <c r="E489" s="9">
        <v>82500</v>
      </c>
      <c r="F489" s="7">
        <v>0</v>
      </c>
      <c r="G489" s="7">
        <v>3</v>
      </c>
      <c r="H489" s="9">
        <v>84000</v>
      </c>
      <c r="I489" s="9">
        <f t="shared" si="14"/>
        <v>84000</v>
      </c>
      <c r="J489" s="10">
        <v>45239</v>
      </c>
      <c r="K489" s="8" t="s">
        <v>150</v>
      </c>
      <c r="L489" s="8" t="str">
        <f>VLOOKUP(DataSales[[#This Row],[Khách hàng]],'RFM Table'!$A:$I,9,FALSE)</f>
        <v>Khách hàng Trung thành</v>
      </c>
      <c r="M489" s="9">
        <f t="shared" si="15"/>
        <v>1500</v>
      </c>
      <c r="N489" s="11">
        <v>1.785714285714286E-2</v>
      </c>
      <c r="O489" s="7">
        <v>3</v>
      </c>
      <c r="P489" s="11">
        <v>0</v>
      </c>
      <c r="Q489" s="37">
        <v>2023</v>
      </c>
      <c r="R489" s="56">
        <f>MONTH(DataSales[[#This Row],[Ngày Xuất]])</f>
        <v>11</v>
      </c>
      <c r="S489" s="56" t="s">
        <v>780</v>
      </c>
    </row>
    <row r="490" spans="1:19" x14ac:dyDescent="0.3">
      <c r="A490" s="34">
        <v>583</v>
      </c>
      <c r="B490" s="3" t="s">
        <v>70</v>
      </c>
      <c r="C490" s="3" t="s">
        <v>71</v>
      </c>
      <c r="D490" s="3" t="s">
        <v>72</v>
      </c>
      <c r="E490" s="4">
        <v>165000</v>
      </c>
      <c r="F490" s="2">
        <v>0</v>
      </c>
      <c r="G490" s="2">
        <v>30</v>
      </c>
      <c r="H490" s="4">
        <v>195000</v>
      </c>
      <c r="I490" s="4">
        <f t="shared" si="14"/>
        <v>195000</v>
      </c>
      <c r="J490" s="5">
        <v>45239</v>
      </c>
      <c r="K490" s="3" t="s">
        <v>150</v>
      </c>
      <c r="L490" s="3" t="str">
        <f>VLOOKUP(DataSales[[#This Row],[Khách hàng]],'RFM Table'!$A:$I,9,FALSE)</f>
        <v>Khách hàng Trung thành</v>
      </c>
      <c r="M490" s="4">
        <f t="shared" si="15"/>
        <v>30000</v>
      </c>
      <c r="N490" s="6">
        <v>0.15384615384615391</v>
      </c>
      <c r="O490" s="2">
        <v>30</v>
      </c>
      <c r="P490" s="6">
        <v>0</v>
      </c>
      <c r="Q490" s="36">
        <v>2023</v>
      </c>
      <c r="R490" s="56">
        <f>MONTH(DataSales[[#This Row],[Ngày Xuất]])</f>
        <v>11</v>
      </c>
      <c r="S490" s="56" t="s">
        <v>776</v>
      </c>
    </row>
    <row r="491" spans="1:19" x14ac:dyDescent="0.3">
      <c r="A491" s="35">
        <v>584</v>
      </c>
      <c r="B491" s="8" t="s">
        <v>283</v>
      </c>
      <c r="C491" s="8" t="s">
        <v>284</v>
      </c>
      <c r="D491" s="8" t="s">
        <v>47</v>
      </c>
      <c r="E491" s="9">
        <v>42084</v>
      </c>
      <c r="F491" s="7">
        <v>0</v>
      </c>
      <c r="G491" s="7">
        <v>1</v>
      </c>
      <c r="H491" s="9">
        <v>48000</v>
      </c>
      <c r="I491" s="9">
        <f t="shared" si="14"/>
        <v>48000</v>
      </c>
      <c r="J491" s="10">
        <v>45239</v>
      </c>
      <c r="K491" s="8" t="s">
        <v>150</v>
      </c>
      <c r="L491" s="8" t="str">
        <f>VLOOKUP(DataSales[[#This Row],[Khách hàng]],'RFM Table'!$A:$I,9,FALSE)</f>
        <v>Khách hàng Trung thành</v>
      </c>
      <c r="M491" s="9">
        <f t="shared" si="15"/>
        <v>5916</v>
      </c>
      <c r="N491" s="11">
        <v>0.12325</v>
      </c>
      <c r="O491" s="7">
        <v>1</v>
      </c>
      <c r="P491" s="11">
        <v>0</v>
      </c>
      <c r="Q491" s="37">
        <v>2023</v>
      </c>
      <c r="R491" s="56">
        <f>MONTH(DataSales[[#This Row],[Ngày Xuất]])</f>
        <v>11</v>
      </c>
      <c r="S491" s="56" t="s">
        <v>780</v>
      </c>
    </row>
    <row r="492" spans="1:19" x14ac:dyDescent="0.3">
      <c r="A492" s="34">
        <v>585</v>
      </c>
      <c r="B492" s="3" t="s">
        <v>285</v>
      </c>
      <c r="C492" s="3" t="s">
        <v>286</v>
      </c>
      <c r="D492" s="3" t="s">
        <v>18</v>
      </c>
      <c r="E492" s="4">
        <v>90000</v>
      </c>
      <c r="F492" s="2">
        <v>0</v>
      </c>
      <c r="G492" s="2">
        <v>25</v>
      </c>
      <c r="H492" s="4">
        <v>100000</v>
      </c>
      <c r="I492" s="4">
        <f t="shared" si="14"/>
        <v>100000</v>
      </c>
      <c r="J492" s="5">
        <v>45239</v>
      </c>
      <c r="K492" s="3" t="s">
        <v>150</v>
      </c>
      <c r="L492" s="3" t="str">
        <f>VLOOKUP(DataSales[[#This Row],[Khách hàng]],'RFM Table'!$A:$I,9,FALSE)</f>
        <v>Khách hàng Trung thành</v>
      </c>
      <c r="M492" s="4">
        <f t="shared" si="15"/>
        <v>10000</v>
      </c>
      <c r="N492" s="6">
        <v>0.1</v>
      </c>
      <c r="O492" s="2">
        <v>25</v>
      </c>
      <c r="P492" s="6">
        <v>0</v>
      </c>
      <c r="Q492" s="36">
        <v>2023</v>
      </c>
      <c r="R492" s="56">
        <f>MONTH(DataSales[[#This Row],[Ngày Xuất]])</f>
        <v>11</v>
      </c>
      <c r="S492" s="56" t="s">
        <v>776</v>
      </c>
    </row>
    <row r="493" spans="1:19" x14ac:dyDescent="0.3">
      <c r="A493" s="35">
        <v>586</v>
      </c>
      <c r="B493" s="8" t="s">
        <v>94</v>
      </c>
      <c r="C493" s="8" t="s">
        <v>95</v>
      </c>
      <c r="D493" s="8" t="s">
        <v>22</v>
      </c>
      <c r="E493" s="9">
        <v>450000</v>
      </c>
      <c r="F493" s="7">
        <v>12</v>
      </c>
      <c r="G493" s="7">
        <v>60</v>
      </c>
      <c r="H493" s="9">
        <v>650000</v>
      </c>
      <c r="I493" s="9">
        <f t="shared" si="14"/>
        <v>650000</v>
      </c>
      <c r="J493" s="10">
        <v>45239</v>
      </c>
      <c r="K493" s="8" t="s">
        <v>159</v>
      </c>
      <c r="L493" s="8" t="str">
        <f>VLOOKUP(DataSales[[#This Row],[Khách hàng]],'RFM Table'!$A:$I,9,FALSE)</f>
        <v>Khách hàng Trung thành</v>
      </c>
      <c r="M493" s="9">
        <f t="shared" si="15"/>
        <v>200000</v>
      </c>
      <c r="N493" s="11">
        <v>0.30769230769230771</v>
      </c>
      <c r="O493" s="7">
        <v>72</v>
      </c>
      <c r="P493" s="11">
        <v>0.16666666666666671</v>
      </c>
      <c r="Q493" s="37">
        <v>2023</v>
      </c>
      <c r="R493" s="56">
        <f>MONTH(DataSales[[#This Row],[Ngày Xuất]])</f>
        <v>11</v>
      </c>
      <c r="S493" s="56" t="s">
        <v>773</v>
      </c>
    </row>
    <row r="494" spans="1:19" x14ac:dyDescent="0.3">
      <c r="A494" s="34">
        <v>587</v>
      </c>
      <c r="B494" s="3" t="s">
        <v>536</v>
      </c>
      <c r="C494" s="3" t="s">
        <v>537</v>
      </c>
      <c r="D494" s="3" t="s">
        <v>104</v>
      </c>
      <c r="E494" s="4">
        <v>230000</v>
      </c>
      <c r="F494" s="2">
        <v>0</v>
      </c>
      <c r="G494" s="2">
        <v>2</v>
      </c>
      <c r="H494" s="4">
        <v>390000</v>
      </c>
      <c r="I494" s="4">
        <f t="shared" si="14"/>
        <v>390000</v>
      </c>
      <c r="J494" s="5">
        <v>45239</v>
      </c>
      <c r="K494" s="3" t="s">
        <v>287</v>
      </c>
      <c r="L494" s="3" t="str">
        <f>VLOOKUP(DataSales[[#This Row],[Khách hàng]],'RFM Table'!$A:$I,9,FALSE)</f>
        <v>Khách hàng Trung thành</v>
      </c>
      <c r="M494" s="4">
        <f t="shared" si="15"/>
        <v>160000</v>
      </c>
      <c r="N494" s="6">
        <v>0.41025641025641019</v>
      </c>
      <c r="O494" s="2">
        <v>2</v>
      </c>
      <c r="P494" s="6">
        <v>0</v>
      </c>
      <c r="Q494" s="36">
        <v>2023</v>
      </c>
      <c r="R494" s="56">
        <f>MONTH(DataSales[[#This Row],[Ngày Xuất]])</f>
        <v>11</v>
      </c>
      <c r="S494" s="56" t="s">
        <v>774</v>
      </c>
    </row>
    <row r="495" spans="1:19" x14ac:dyDescent="0.3">
      <c r="A495" s="35">
        <v>588</v>
      </c>
      <c r="B495" s="8" t="s">
        <v>70</v>
      </c>
      <c r="C495" s="8" t="s">
        <v>71</v>
      </c>
      <c r="D495" s="8" t="s">
        <v>72</v>
      </c>
      <c r="E495" s="9">
        <v>165000</v>
      </c>
      <c r="F495" s="7">
        <v>0</v>
      </c>
      <c r="G495" s="7">
        <v>30</v>
      </c>
      <c r="H495" s="9">
        <v>180000</v>
      </c>
      <c r="I495" s="9">
        <f t="shared" si="14"/>
        <v>180000</v>
      </c>
      <c r="J495" s="10">
        <v>45239</v>
      </c>
      <c r="K495" s="8" t="s">
        <v>287</v>
      </c>
      <c r="L495" s="8" t="str">
        <f>VLOOKUP(DataSales[[#This Row],[Khách hàng]],'RFM Table'!$A:$I,9,FALSE)</f>
        <v>Khách hàng Trung thành</v>
      </c>
      <c r="M495" s="9">
        <f t="shared" si="15"/>
        <v>15000</v>
      </c>
      <c r="N495" s="11">
        <v>8.3333333333333329E-2</v>
      </c>
      <c r="O495" s="7">
        <v>30</v>
      </c>
      <c r="P495" s="11">
        <v>0</v>
      </c>
      <c r="Q495" s="37">
        <v>2023</v>
      </c>
      <c r="R495" s="56">
        <f>MONTH(DataSales[[#This Row],[Ngày Xuất]])</f>
        <v>11</v>
      </c>
      <c r="S495" s="56" t="s">
        <v>776</v>
      </c>
    </row>
    <row r="496" spans="1:19" x14ac:dyDescent="0.3">
      <c r="A496" s="34">
        <v>589</v>
      </c>
      <c r="B496" s="3" t="s">
        <v>353</v>
      </c>
      <c r="C496" s="3" t="s">
        <v>354</v>
      </c>
      <c r="D496" s="3" t="s">
        <v>158</v>
      </c>
      <c r="E496" s="4">
        <v>75000</v>
      </c>
      <c r="F496" s="2">
        <v>0</v>
      </c>
      <c r="G496" s="2">
        <v>2</v>
      </c>
      <c r="H496" s="4">
        <v>82000</v>
      </c>
      <c r="I496" s="4">
        <f t="shared" si="14"/>
        <v>82000</v>
      </c>
      <c r="J496" s="5">
        <v>45239</v>
      </c>
      <c r="K496" s="3" t="s">
        <v>287</v>
      </c>
      <c r="L496" s="3" t="str">
        <f>VLOOKUP(DataSales[[#This Row],[Khách hàng]],'RFM Table'!$A:$I,9,FALSE)</f>
        <v>Khách hàng Trung thành</v>
      </c>
      <c r="M496" s="4">
        <f t="shared" si="15"/>
        <v>7000</v>
      </c>
      <c r="N496" s="6">
        <v>8.5365853658536592E-2</v>
      </c>
      <c r="O496" s="2">
        <v>2</v>
      </c>
      <c r="P496" s="6">
        <v>0</v>
      </c>
      <c r="Q496" s="36">
        <v>2023</v>
      </c>
      <c r="R496" s="56">
        <f>MONTH(DataSales[[#This Row],[Ngày Xuất]])</f>
        <v>11</v>
      </c>
      <c r="S496" s="56" t="s">
        <v>776</v>
      </c>
    </row>
    <row r="497" spans="1:19" x14ac:dyDescent="0.3">
      <c r="A497" s="35">
        <v>591</v>
      </c>
      <c r="B497" s="8" t="s">
        <v>275</v>
      </c>
      <c r="C497" s="8" t="s">
        <v>276</v>
      </c>
      <c r="D497" s="8" t="s">
        <v>92</v>
      </c>
      <c r="E497" s="9">
        <v>46562</v>
      </c>
      <c r="F497" s="7">
        <v>0</v>
      </c>
      <c r="G497" s="7">
        <v>2</v>
      </c>
      <c r="H497" s="9">
        <v>63000</v>
      </c>
      <c r="I497" s="9">
        <f t="shared" si="14"/>
        <v>63000</v>
      </c>
      <c r="J497" s="10">
        <v>45239</v>
      </c>
      <c r="K497" s="8" t="s">
        <v>287</v>
      </c>
      <c r="L497" s="8" t="str">
        <f>VLOOKUP(DataSales[[#This Row],[Khách hàng]],'RFM Table'!$A:$I,9,FALSE)</f>
        <v>Khách hàng Trung thành</v>
      </c>
      <c r="M497" s="9">
        <f t="shared" si="15"/>
        <v>16438</v>
      </c>
      <c r="N497" s="11">
        <v>0.26092063492063489</v>
      </c>
      <c r="O497" s="7">
        <v>2</v>
      </c>
      <c r="P497" s="11">
        <v>0</v>
      </c>
      <c r="Q497" s="37">
        <v>2023</v>
      </c>
      <c r="R497" s="56">
        <f>MONTH(DataSales[[#This Row],[Ngày Xuất]])</f>
        <v>11</v>
      </c>
      <c r="S497" s="56" t="s">
        <v>776</v>
      </c>
    </row>
    <row r="498" spans="1:19" x14ac:dyDescent="0.3">
      <c r="A498" s="34">
        <v>592</v>
      </c>
      <c r="B498" s="3" t="s">
        <v>70</v>
      </c>
      <c r="C498" s="3" t="s">
        <v>71</v>
      </c>
      <c r="D498" s="3" t="s">
        <v>72</v>
      </c>
      <c r="E498" s="4">
        <v>82500</v>
      </c>
      <c r="F498" s="2">
        <v>0</v>
      </c>
      <c r="G498" s="2">
        <v>15</v>
      </c>
      <c r="H498" s="4">
        <v>97500</v>
      </c>
      <c r="I498" s="4">
        <f t="shared" si="14"/>
        <v>97500</v>
      </c>
      <c r="J498" s="5">
        <v>45239</v>
      </c>
      <c r="K498" s="3" t="s">
        <v>167</v>
      </c>
      <c r="L498" s="3" t="str">
        <f>VLOOKUP(DataSales[[#This Row],[Khách hàng]],'RFM Table'!$A:$I,9,FALSE)</f>
        <v>Khách hàng Trung thành</v>
      </c>
      <c r="M498" s="4">
        <f t="shared" si="15"/>
        <v>15000</v>
      </c>
      <c r="N498" s="6">
        <v>0.15384615384615391</v>
      </c>
      <c r="O498" s="2">
        <v>15</v>
      </c>
      <c r="P498" s="6">
        <v>0</v>
      </c>
      <c r="Q498" s="36">
        <v>2023</v>
      </c>
      <c r="R498" s="56">
        <f>MONTH(DataSales[[#This Row],[Ngày Xuất]])</f>
        <v>11</v>
      </c>
      <c r="S498" s="56" t="s">
        <v>776</v>
      </c>
    </row>
    <row r="499" spans="1:19" x14ac:dyDescent="0.3">
      <c r="A499" s="35">
        <v>593</v>
      </c>
      <c r="B499" s="8" t="s">
        <v>74</v>
      </c>
      <c r="C499" s="8" t="s">
        <v>75</v>
      </c>
      <c r="D499" s="8" t="s">
        <v>72</v>
      </c>
      <c r="E499" s="9">
        <v>82500</v>
      </c>
      <c r="F499" s="7">
        <v>0</v>
      </c>
      <c r="G499" s="7">
        <v>15</v>
      </c>
      <c r="H499" s="9">
        <v>97500</v>
      </c>
      <c r="I499" s="9">
        <f t="shared" si="14"/>
        <v>97500</v>
      </c>
      <c r="J499" s="10">
        <v>45239</v>
      </c>
      <c r="K499" s="8" t="s">
        <v>167</v>
      </c>
      <c r="L499" s="8" t="str">
        <f>VLOOKUP(DataSales[[#This Row],[Khách hàng]],'RFM Table'!$A:$I,9,FALSE)</f>
        <v>Khách hàng Trung thành</v>
      </c>
      <c r="M499" s="9">
        <f t="shared" si="15"/>
        <v>15000</v>
      </c>
      <c r="N499" s="11">
        <v>0.15384615384615391</v>
      </c>
      <c r="O499" s="7">
        <v>15</v>
      </c>
      <c r="P499" s="11">
        <v>0</v>
      </c>
      <c r="Q499" s="37">
        <v>2023</v>
      </c>
      <c r="R499" s="56">
        <f>MONTH(DataSales[[#This Row],[Ngày Xuất]])</f>
        <v>11</v>
      </c>
      <c r="S499" s="56" t="s">
        <v>776</v>
      </c>
    </row>
    <row r="500" spans="1:19" x14ac:dyDescent="0.3">
      <c r="A500" s="34">
        <v>594</v>
      </c>
      <c r="B500" s="3" t="s">
        <v>538</v>
      </c>
      <c r="C500" s="3" t="s">
        <v>539</v>
      </c>
      <c r="D500" s="3" t="s">
        <v>18</v>
      </c>
      <c r="E500" s="4">
        <v>57000</v>
      </c>
      <c r="F500" s="2">
        <v>0</v>
      </c>
      <c r="G500" s="2">
        <v>3</v>
      </c>
      <c r="H500" s="4">
        <v>84000</v>
      </c>
      <c r="I500" s="4">
        <f t="shared" si="14"/>
        <v>84000</v>
      </c>
      <c r="J500" s="5">
        <v>45239</v>
      </c>
      <c r="K500" s="3" t="s">
        <v>303</v>
      </c>
      <c r="L500" s="3" t="str">
        <f>VLOOKUP(DataSales[[#This Row],[Khách hàng]],'RFM Table'!$A:$I,9,FALSE)</f>
        <v>Khách hàng Trung thành</v>
      </c>
      <c r="M500" s="4">
        <f t="shared" si="15"/>
        <v>27000</v>
      </c>
      <c r="N500" s="6">
        <v>0.32142857142857151</v>
      </c>
      <c r="O500" s="2">
        <v>3</v>
      </c>
      <c r="P500" s="6">
        <v>0</v>
      </c>
      <c r="Q500" s="36">
        <v>2023</v>
      </c>
      <c r="R500" s="56">
        <f>MONTH(DataSales[[#This Row],[Ngày Xuất]])</f>
        <v>11</v>
      </c>
      <c r="S500" s="56" t="s">
        <v>772</v>
      </c>
    </row>
    <row r="501" spans="1:19" x14ac:dyDescent="0.3">
      <c r="A501" s="35">
        <v>595</v>
      </c>
      <c r="B501" s="8" t="s">
        <v>444</v>
      </c>
      <c r="C501" s="8" t="s">
        <v>445</v>
      </c>
      <c r="D501" s="8" t="s">
        <v>18</v>
      </c>
      <c r="E501" s="9">
        <v>90000</v>
      </c>
      <c r="F501" s="7">
        <v>0</v>
      </c>
      <c r="G501" s="7">
        <v>10</v>
      </c>
      <c r="H501" s="9">
        <v>130000</v>
      </c>
      <c r="I501" s="9">
        <f t="shared" si="14"/>
        <v>130000</v>
      </c>
      <c r="J501" s="10">
        <v>45239</v>
      </c>
      <c r="K501" s="8" t="s">
        <v>303</v>
      </c>
      <c r="L501" s="8" t="str">
        <f>VLOOKUP(DataSales[[#This Row],[Khách hàng]],'RFM Table'!$A:$I,9,FALSE)</f>
        <v>Khách hàng Trung thành</v>
      </c>
      <c r="M501" s="9">
        <f t="shared" si="15"/>
        <v>40000</v>
      </c>
      <c r="N501" s="11">
        <v>0.30769230769230771</v>
      </c>
      <c r="O501" s="7">
        <v>10</v>
      </c>
      <c r="P501" s="11">
        <v>0</v>
      </c>
      <c r="Q501" s="37">
        <v>2023</v>
      </c>
      <c r="R501" s="56">
        <f>MONTH(DataSales[[#This Row],[Ngày Xuất]])</f>
        <v>11</v>
      </c>
      <c r="S501" s="56" t="s">
        <v>775</v>
      </c>
    </row>
    <row r="502" spans="1:19" x14ac:dyDescent="0.3">
      <c r="A502" s="34">
        <v>596</v>
      </c>
      <c r="B502" s="3" t="s">
        <v>187</v>
      </c>
      <c r="C502" s="3" t="s">
        <v>188</v>
      </c>
      <c r="D502" s="3" t="s">
        <v>18</v>
      </c>
      <c r="E502" s="4">
        <v>75000</v>
      </c>
      <c r="F502" s="2">
        <v>0</v>
      </c>
      <c r="G502" s="2">
        <v>10</v>
      </c>
      <c r="H502" s="4">
        <v>90000</v>
      </c>
      <c r="I502" s="4">
        <f t="shared" si="14"/>
        <v>90000</v>
      </c>
      <c r="J502" s="5">
        <v>45239</v>
      </c>
      <c r="K502" s="3" t="s">
        <v>303</v>
      </c>
      <c r="L502" s="3" t="str">
        <f>VLOOKUP(DataSales[[#This Row],[Khách hàng]],'RFM Table'!$A:$I,9,FALSE)</f>
        <v>Khách hàng Trung thành</v>
      </c>
      <c r="M502" s="4">
        <f t="shared" si="15"/>
        <v>15000</v>
      </c>
      <c r="N502" s="6">
        <v>0.16666666666666671</v>
      </c>
      <c r="O502" s="2">
        <v>10</v>
      </c>
      <c r="P502" s="6">
        <v>0</v>
      </c>
      <c r="Q502" s="36">
        <v>2023</v>
      </c>
      <c r="R502" s="56">
        <f>MONTH(DataSales[[#This Row],[Ngày Xuất]])</f>
        <v>11</v>
      </c>
      <c r="S502" s="56" t="s">
        <v>772</v>
      </c>
    </row>
    <row r="503" spans="1:19" x14ac:dyDescent="0.3">
      <c r="A503" s="35">
        <v>597</v>
      </c>
      <c r="B503" s="8" t="s">
        <v>126</v>
      </c>
      <c r="C503" s="8" t="s">
        <v>127</v>
      </c>
      <c r="D503" s="8" t="s">
        <v>18</v>
      </c>
      <c r="E503" s="9">
        <v>270000</v>
      </c>
      <c r="F503" s="7">
        <v>0</v>
      </c>
      <c r="G503" s="7">
        <v>40</v>
      </c>
      <c r="H503" s="9">
        <v>300000</v>
      </c>
      <c r="I503" s="9">
        <f t="shared" si="14"/>
        <v>300000</v>
      </c>
      <c r="J503" s="10">
        <v>45239</v>
      </c>
      <c r="K503" s="8" t="s">
        <v>303</v>
      </c>
      <c r="L503" s="8" t="str">
        <f>VLOOKUP(DataSales[[#This Row],[Khách hàng]],'RFM Table'!$A:$I,9,FALSE)</f>
        <v>Khách hàng Trung thành</v>
      </c>
      <c r="M503" s="9">
        <f t="shared" si="15"/>
        <v>30000</v>
      </c>
      <c r="N503" s="11">
        <v>0.1</v>
      </c>
      <c r="O503" s="7">
        <v>40</v>
      </c>
      <c r="P503" s="11">
        <v>0</v>
      </c>
      <c r="Q503" s="37">
        <v>2023</v>
      </c>
      <c r="R503" s="56">
        <f>MONTH(DataSales[[#This Row],[Ngày Xuất]])</f>
        <v>11</v>
      </c>
      <c r="S503" s="56" t="s">
        <v>772</v>
      </c>
    </row>
    <row r="504" spans="1:19" x14ac:dyDescent="0.3">
      <c r="A504" s="34">
        <v>598</v>
      </c>
      <c r="B504" s="3" t="s">
        <v>57</v>
      </c>
      <c r="C504" s="3" t="s">
        <v>58</v>
      </c>
      <c r="D504" s="3" t="s">
        <v>18</v>
      </c>
      <c r="E504" s="4">
        <v>231000</v>
      </c>
      <c r="F504" s="2">
        <v>0</v>
      </c>
      <c r="G504" s="2">
        <v>30</v>
      </c>
      <c r="H504" s="4">
        <v>300000</v>
      </c>
      <c r="I504" s="4">
        <f t="shared" si="14"/>
        <v>300000</v>
      </c>
      <c r="J504" s="5">
        <v>45240</v>
      </c>
      <c r="K504" s="3" t="s">
        <v>540</v>
      </c>
      <c r="L504" s="3" t="str">
        <f>VLOOKUP(DataSales[[#This Row],[Khách hàng]],'RFM Table'!$A:$I,9,FALSE)</f>
        <v>Khách hàng Trung thành</v>
      </c>
      <c r="M504" s="4">
        <f t="shared" si="15"/>
        <v>69000</v>
      </c>
      <c r="N504" s="6">
        <v>0.23</v>
      </c>
      <c r="O504" s="2">
        <v>30</v>
      </c>
      <c r="P504" s="6">
        <v>0</v>
      </c>
      <c r="Q504" s="36">
        <v>2023</v>
      </c>
      <c r="R504" s="56">
        <f>MONTH(DataSales[[#This Row],[Ngày Xuất]])</f>
        <v>11</v>
      </c>
      <c r="S504" s="56" t="s">
        <v>775</v>
      </c>
    </row>
    <row r="505" spans="1:19" x14ac:dyDescent="0.3">
      <c r="A505" s="35">
        <v>600</v>
      </c>
      <c r="B505" s="8" t="s">
        <v>40</v>
      </c>
      <c r="C505" s="8" t="s">
        <v>41</v>
      </c>
      <c r="D505" s="8" t="s">
        <v>18</v>
      </c>
      <c r="E505" s="9">
        <v>264000</v>
      </c>
      <c r="F505" s="7">
        <v>0</v>
      </c>
      <c r="G505" s="7">
        <v>24</v>
      </c>
      <c r="H505" s="9">
        <v>240000</v>
      </c>
      <c r="I505" s="9">
        <f t="shared" si="14"/>
        <v>240000</v>
      </c>
      <c r="J505" s="10">
        <v>45240</v>
      </c>
      <c r="K505" s="8" t="s">
        <v>541</v>
      </c>
      <c r="L505" s="8" t="str">
        <f>VLOOKUP(DataSales[[#This Row],[Khách hàng]],'RFM Table'!$A:$I,9,FALSE)</f>
        <v>Khách hàng Trung thành</v>
      </c>
      <c r="M505" s="9">
        <f t="shared" si="15"/>
        <v>-24000</v>
      </c>
      <c r="N505" s="11">
        <v>-0.1</v>
      </c>
      <c r="O505" s="7">
        <v>24</v>
      </c>
      <c r="P505" s="11">
        <v>0</v>
      </c>
      <c r="Q505" s="37">
        <v>2023</v>
      </c>
      <c r="R505" s="56">
        <f>MONTH(DataSales[[#This Row],[Ngày Xuất]])</f>
        <v>11</v>
      </c>
      <c r="S505" s="56" t="s">
        <v>772</v>
      </c>
    </row>
    <row r="506" spans="1:19" x14ac:dyDescent="0.3">
      <c r="A506" s="34">
        <v>601</v>
      </c>
      <c r="B506" s="3" t="s">
        <v>27</v>
      </c>
      <c r="C506" s="3" t="s">
        <v>28</v>
      </c>
      <c r="D506" s="3" t="s">
        <v>18</v>
      </c>
      <c r="E506" s="4">
        <v>1296000</v>
      </c>
      <c r="F506" s="2">
        <v>0</v>
      </c>
      <c r="G506" s="2">
        <v>180</v>
      </c>
      <c r="H506" s="4">
        <v>1692000</v>
      </c>
      <c r="I506" s="4">
        <f t="shared" si="14"/>
        <v>1692000</v>
      </c>
      <c r="J506" s="5">
        <v>45240</v>
      </c>
      <c r="K506" s="3" t="s">
        <v>29</v>
      </c>
      <c r="L506" s="3" t="str">
        <f>VLOOKUP(DataSales[[#This Row],[Khách hàng]],'RFM Table'!$A:$I,9,FALSE)</f>
        <v>Khách hàng VIP</v>
      </c>
      <c r="M506" s="4">
        <f t="shared" si="15"/>
        <v>396000</v>
      </c>
      <c r="N506" s="6">
        <v>0.23404255319148939</v>
      </c>
      <c r="O506" s="2">
        <v>180</v>
      </c>
      <c r="P506" s="6">
        <v>0</v>
      </c>
      <c r="Q506" s="36">
        <v>2023</v>
      </c>
      <c r="R506" s="56">
        <f>MONTH(DataSales[[#This Row],[Ngày Xuất]])</f>
        <v>11</v>
      </c>
      <c r="S506" s="56" t="s">
        <v>772</v>
      </c>
    </row>
    <row r="507" spans="1:19" x14ac:dyDescent="0.3">
      <c r="A507" s="35">
        <v>602</v>
      </c>
      <c r="B507" s="8" t="s">
        <v>237</v>
      </c>
      <c r="C507" s="8" t="s">
        <v>238</v>
      </c>
      <c r="D507" s="8" t="s">
        <v>104</v>
      </c>
      <c r="E507" s="9">
        <v>63000</v>
      </c>
      <c r="F507" s="7">
        <v>0</v>
      </c>
      <c r="G507" s="7">
        <v>1</v>
      </c>
      <c r="H507" s="9">
        <v>73000</v>
      </c>
      <c r="I507" s="9">
        <f t="shared" si="14"/>
        <v>73000</v>
      </c>
      <c r="J507" s="10">
        <v>45240</v>
      </c>
      <c r="K507" s="8" t="s">
        <v>542</v>
      </c>
      <c r="L507" s="8" t="str">
        <f>VLOOKUP(DataSales[[#This Row],[Khách hàng]],'RFM Table'!$A:$I,9,FALSE)</f>
        <v>Khách hàng Tiềm năng</v>
      </c>
      <c r="M507" s="9">
        <f t="shared" si="15"/>
        <v>10000</v>
      </c>
      <c r="N507" s="11">
        <v>0.13698630136986301</v>
      </c>
      <c r="O507" s="7">
        <v>1</v>
      </c>
      <c r="P507" s="11">
        <v>0</v>
      </c>
      <c r="Q507" s="37">
        <v>2023</v>
      </c>
      <c r="R507" s="56">
        <f>MONTH(DataSales[[#This Row],[Ngày Xuất]])</f>
        <v>11</v>
      </c>
      <c r="S507" s="56" t="s">
        <v>780</v>
      </c>
    </row>
    <row r="508" spans="1:19" x14ac:dyDescent="0.3">
      <c r="A508" s="34">
        <v>603</v>
      </c>
      <c r="B508" s="3" t="s">
        <v>353</v>
      </c>
      <c r="C508" s="3" t="s">
        <v>354</v>
      </c>
      <c r="D508" s="3" t="s">
        <v>158</v>
      </c>
      <c r="E508" s="4">
        <v>75000</v>
      </c>
      <c r="F508" s="2">
        <v>0</v>
      </c>
      <c r="G508" s="2">
        <v>2</v>
      </c>
      <c r="H508" s="4">
        <v>84000</v>
      </c>
      <c r="I508" s="4">
        <f t="shared" si="14"/>
        <v>84000</v>
      </c>
      <c r="J508" s="5">
        <v>45240</v>
      </c>
      <c r="K508" s="3" t="s">
        <v>542</v>
      </c>
      <c r="L508" s="3" t="str">
        <f>VLOOKUP(DataSales[[#This Row],[Khách hàng]],'RFM Table'!$A:$I,9,FALSE)</f>
        <v>Khách hàng Tiềm năng</v>
      </c>
      <c r="M508" s="4">
        <f t="shared" si="15"/>
        <v>9000</v>
      </c>
      <c r="N508" s="6">
        <v>0.1071428571428571</v>
      </c>
      <c r="O508" s="2">
        <v>2</v>
      </c>
      <c r="P508" s="6">
        <v>0</v>
      </c>
      <c r="Q508" s="36">
        <v>2023</v>
      </c>
      <c r="R508" s="56">
        <f>MONTH(DataSales[[#This Row],[Ngày Xuất]])</f>
        <v>11</v>
      </c>
      <c r="S508" s="56" t="s">
        <v>776</v>
      </c>
    </row>
    <row r="509" spans="1:19" x14ac:dyDescent="0.3">
      <c r="A509" s="35">
        <v>604</v>
      </c>
      <c r="B509" s="8" t="s">
        <v>543</v>
      </c>
      <c r="C509" s="8" t="s">
        <v>544</v>
      </c>
      <c r="D509" s="8" t="s">
        <v>32</v>
      </c>
      <c r="E509" s="9">
        <v>225000</v>
      </c>
      <c r="F509" s="7">
        <v>0</v>
      </c>
      <c r="G509" s="7">
        <v>30</v>
      </c>
      <c r="H509" s="9">
        <v>285000</v>
      </c>
      <c r="I509" s="9">
        <f t="shared" si="14"/>
        <v>285000</v>
      </c>
      <c r="J509" s="10">
        <v>45240</v>
      </c>
      <c r="K509" s="8" t="s">
        <v>545</v>
      </c>
      <c r="L509" s="8" t="str">
        <f>VLOOKUP(DataSales[[#This Row],[Khách hàng]],'RFM Table'!$A:$I,9,FALSE)</f>
        <v>Khách hàng Tiềm năng</v>
      </c>
      <c r="M509" s="9">
        <f t="shared" si="15"/>
        <v>60000</v>
      </c>
      <c r="N509" s="11">
        <v>0.2105263157894737</v>
      </c>
      <c r="O509" s="7">
        <v>30</v>
      </c>
      <c r="P509" s="11">
        <v>0</v>
      </c>
      <c r="Q509" s="37">
        <v>2023</v>
      </c>
      <c r="R509" s="56">
        <f>MONTH(DataSales[[#This Row],[Ngày Xuất]])</f>
        <v>11</v>
      </c>
      <c r="S509" s="56" t="s">
        <v>772</v>
      </c>
    </row>
    <row r="510" spans="1:19" x14ac:dyDescent="0.3">
      <c r="A510" s="34">
        <v>605</v>
      </c>
      <c r="B510" s="3" t="s">
        <v>546</v>
      </c>
      <c r="C510" s="3" t="s">
        <v>547</v>
      </c>
      <c r="D510" s="3" t="s">
        <v>18</v>
      </c>
      <c r="E510" s="4">
        <v>104400</v>
      </c>
      <c r="F510" s="2">
        <v>0</v>
      </c>
      <c r="G510" s="2">
        <v>36</v>
      </c>
      <c r="H510" s="4">
        <v>144000</v>
      </c>
      <c r="I510" s="4">
        <f t="shared" si="14"/>
        <v>144000</v>
      </c>
      <c r="J510" s="5">
        <v>45240</v>
      </c>
      <c r="K510" s="3" t="s">
        <v>548</v>
      </c>
      <c r="L510" s="3" t="str">
        <f>VLOOKUP(DataSales[[#This Row],[Khách hàng]],'RFM Table'!$A:$I,9,FALSE)</f>
        <v>Khách hàng Tiềm năng</v>
      </c>
      <c r="M510" s="4">
        <f t="shared" si="15"/>
        <v>39600</v>
      </c>
      <c r="N510" s="6">
        <v>0.27500000000000002</v>
      </c>
      <c r="O510" s="2">
        <v>36</v>
      </c>
      <c r="P510" s="6">
        <v>0</v>
      </c>
      <c r="Q510" s="36">
        <v>2023</v>
      </c>
      <c r="R510" s="56">
        <f>MONTH(DataSales[[#This Row],[Ngày Xuất]])</f>
        <v>11</v>
      </c>
      <c r="S510" s="56" t="s">
        <v>775</v>
      </c>
    </row>
    <row r="511" spans="1:19" x14ac:dyDescent="0.3">
      <c r="A511" s="35">
        <v>606</v>
      </c>
      <c r="B511" s="8" t="s">
        <v>549</v>
      </c>
      <c r="C511" s="8" t="s">
        <v>550</v>
      </c>
      <c r="D511" s="8" t="s">
        <v>32</v>
      </c>
      <c r="E511" s="9">
        <v>64000</v>
      </c>
      <c r="F511" s="7">
        <v>0</v>
      </c>
      <c r="G511" s="7">
        <v>2</v>
      </c>
      <c r="H511" s="9">
        <v>80000</v>
      </c>
      <c r="I511" s="9">
        <f t="shared" si="14"/>
        <v>80000</v>
      </c>
      <c r="J511" s="10">
        <v>45240</v>
      </c>
      <c r="K511" s="8" t="s">
        <v>551</v>
      </c>
      <c r="L511" s="8" t="str">
        <f>VLOOKUP(DataSales[[#This Row],[Khách hàng]],'RFM Table'!$A:$I,9,FALSE)</f>
        <v>Khách hàng Tiềm năng</v>
      </c>
      <c r="M511" s="9">
        <f t="shared" si="15"/>
        <v>16000</v>
      </c>
      <c r="N511" s="11">
        <v>0.2</v>
      </c>
      <c r="O511" s="7">
        <v>2</v>
      </c>
      <c r="P511" s="11">
        <v>0</v>
      </c>
      <c r="Q511" s="37">
        <v>2023</v>
      </c>
      <c r="R511" s="56">
        <f>MONTH(DataSales[[#This Row],[Ngày Xuất]])</f>
        <v>11</v>
      </c>
      <c r="S511" s="56" t="s">
        <v>779</v>
      </c>
    </row>
    <row r="512" spans="1:19" x14ac:dyDescent="0.3">
      <c r="A512" s="34">
        <v>607</v>
      </c>
      <c r="B512" s="3" t="s">
        <v>189</v>
      </c>
      <c r="C512" s="3" t="s">
        <v>190</v>
      </c>
      <c r="D512" s="3" t="s">
        <v>170</v>
      </c>
      <c r="E512" s="4">
        <v>156000</v>
      </c>
      <c r="F512" s="2">
        <v>0</v>
      </c>
      <c r="G512" s="2">
        <v>2</v>
      </c>
      <c r="H512" s="4">
        <v>172000</v>
      </c>
      <c r="I512" s="4">
        <f t="shared" si="14"/>
        <v>172000</v>
      </c>
      <c r="J512" s="5">
        <v>45240</v>
      </c>
      <c r="K512" s="3" t="s">
        <v>551</v>
      </c>
      <c r="L512" s="3" t="str">
        <f>VLOOKUP(DataSales[[#This Row],[Khách hàng]],'RFM Table'!$A:$I,9,FALSE)</f>
        <v>Khách hàng Tiềm năng</v>
      </c>
      <c r="M512" s="4">
        <f t="shared" si="15"/>
        <v>16000</v>
      </c>
      <c r="N512" s="6">
        <v>9.3023255813953487E-2</v>
      </c>
      <c r="O512" s="2">
        <v>2</v>
      </c>
      <c r="P512" s="6">
        <v>0</v>
      </c>
      <c r="Q512" s="36">
        <v>2023</v>
      </c>
      <c r="R512" s="56">
        <f>MONTH(DataSales[[#This Row],[Ngày Xuất]])</f>
        <v>11</v>
      </c>
      <c r="S512" s="56" t="s">
        <v>781</v>
      </c>
    </row>
    <row r="513" spans="1:19" x14ac:dyDescent="0.3">
      <c r="A513" s="35">
        <v>608</v>
      </c>
      <c r="B513" s="8" t="s">
        <v>119</v>
      </c>
      <c r="C513" s="8" t="s">
        <v>120</v>
      </c>
      <c r="D513" s="8" t="s">
        <v>47</v>
      </c>
      <c r="E513" s="9">
        <v>600000</v>
      </c>
      <c r="F513" s="7">
        <v>0</v>
      </c>
      <c r="G513" s="7">
        <v>6</v>
      </c>
      <c r="H513" s="9">
        <v>1308000</v>
      </c>
      <c r="I513" s="9">
        <f t="shared" si="14"/>
        <v>1308000</v>
      </c>
      <c r="J513" s="10">
        <v>45241</v>
      </c>
      <c r="K513" s="8" t="s">
        <v>552</v>
      </c>
      <c r="L513" s="8" t="str">
        <f>VLOOKUP(DataSales[[#This Row],[Khách hàng]],'RFM Table'!$A:$I,9,FALSE)</f>
        <v>Khách hàng Trung thành</v>
      </c>
      <c r="M513" s="9">
        <f t="shared" si="15"/>
        <v>708000</v>
      </c>
      <c r="N513" s="11">
        <v>0.54128440366972475</v>
      </c>
      <c r="O513" s="7">
        <v>6</v>
      </c>
      <c r="P513" s="11">
        <v>0</v>
      </c>
      <c r="Q513" s="37">
        <v>2023</v>
      </c>
      <c r="R513" s="56">
        <f>MONTH(DataSales[[#This Row],[Ngày Xuất]])</f>
        <v>11</v>
      </c>
      <c r="S513" s="56" t="s">
        <v>779</v>
      </c>
    </row>
    <row r="514" spans="1:19" x14ac:dyDescent="0.3">
      <c r="A514" s="34">
        <v>610</v>
      </c>
      <c r="B514" s="3" t="s">
        <v>57</v>
      </c>
      <c r="C514" s="3" t="s">
        <v>58</v>
      </c>
      <c r="D514" s="3" t="s">
        <v>18</v>
      </c>
      <c r="E514" s="4">
        <v>231000</v>
      </c>
      <c r="F514" s="2">
        <v>0</v>
      </c>
      <c r="G514" s="2">
        <v>30</v>
      </c>
      <c r="H514" s="4">
        <v>300000</v>
      </c>
      <c r="I514" s="4">
        <f t="shared" ref="I514:I577" si="16">H514</f>
        <v>300000</v>
      </c>
      <c r="J514" s="5">
        <v>45241</v>
      </c>
      <c r="K514" s="3" t="s">
        <v>552</v>
      </c>
      <c r="L514" s="3" t="str">
        <f>VLOOKUP(DataSales[[#This Row],[Khách hàng]],'RFM Table'!$A:$I,9,FALSE)</f>
        <v>Khách hàng Trung thành</v>
      </c>
      <c r="M514" s="4">
        <f t="shared" ref="M514:M577" si="17">I514-E514</f>
        <v>69000</v>
      </c>
      <c r="N514" s="6">
        <v>0.23</v>
      </c>
      <c r="O514" s="2">
        <v>30</v>
      </c>
      <c r="P514" s="6">
        <v>0</v>
      </c>
      <c r="Q514" s="36">
        <v>2023</v>
      </c>
      <c r="R514" s="56">
        <f>MONTH(DataSales[[#This Row],[Ngày Xuất]])</f>
        <v>11</v>
      </c>
      <c r="S514" s="56" t="s">
        <v>775</v>
      </c>
    </row>
    <row r="515" spans="1:19" x14ac:dyDescent="0.3">
      <c r="A515" s="35">
        <v>611</v>
      </c>
      <c r="B515" s="8" t="s">
        <v>536</v>
      </c>
      <c r="C515" s="8" t="s">
        <v>537</v>
      </c>
      <c r="D515" s="8" t="s">
        <v>104</v>
      </c>
      <c r="E515" s="9">
        <v>115000</v>
      </c>
      <c r="F515" s="7">
        <v>0</v>
      </c>
      <c r="G515" s="7">
        <v>1</v>
      </c>
      <c r="H515" s="9">
        <v>150000</v>
      </c>
      <c r="I515" s="9">
        <f t="shared" si="16"/>
        <v>150000</v>
      </c>
      <c r="J515" s="10">
        <v>45243</v>
      </c>
      <c r="K515" s="8" t="s">
        <v>178</v>
      </c>
      <c r="L515" s="8" t="str">
        <f>VLOOKUP(DataSales[[#This Row],[Khách hàng]],'RFM Table'!$A:$I,9,FALSE)</f>
        <v>Khách hàng Trung thành</v>
      </c>
      <c r="M515" s="9">
        <f t="shared" si="17"/>
        <v>35000</v>
      </c>
      <c r="N515" s="11">
        <v>0.23333333333333331</v>
      </c>
      <c r="O515" s="7">
        <v>1</v>
      </c>
      <c r="P515" s="11">
        <v>0</v>
      </c>
      <c r="Q515" s="37">
        <v>2023</v>
      </c>
      <c r="R515" s="56">
        <f>MONTH(DataSales[[#This Row],[Ngày Xuất]])</f>
        <v>11</v>
      </c>
      <c r="S515" s="56" t="s">
        <v>774</v>
      </c>
    </row>
    <row r="516" spans="1:19" x14ac:dyDescent="0.3">
      <c r="A516" s="34">
        <v>612</v>
      </c>
      <c r="B516" s="3" t="s">
        <v>491</v>
      </c>
      <c r="C516" s="3" t="s">
        <v>492</v>
      </c>
      <c r="D516" s="3" t="s">
        <v>32</v>
      </c>
      <c r="E516" s="4">
        <v>93336</v>
      </c>
      <c r="F516" s="2">
        <v>0</v>
      </c>
      <c r="G516" s="2">
        <v>8</v>
      </c>
      <c r="H516" s="4">
        <v>112000</v>
      </c>
      <c r="I516" s="4">
        <f t="shared" si="16"/>
        <v>112000</v>
      </c>
      <c r="J516" s="5">
        <v>45243</v>
      </c>
      <c r="K516" s="3" t="s">
        <v>178</v>
      </c>
      <c r="L516" s="3" t="str">
        <f>VLOOKUP(DataSales[[#This Row],[Khách hàng]],'RFM Table'!$A:$I,9,FALSE)</f>
        <v>Khách hàng Trung thành</v>
      </c>
      <c r="M516" s="4">
        <f t="shared" si="17"/>
        <v>18664</v>
      </c>
      <c r="N516" s="6">
        <v>0.16664285714285709</v>
      </c>
      <c r="O516" s="2">
        <v>8</v>
      </c>
      <c r="P516" s="6">
        <v>0</v>
      </c>
      <c r="Q516" s="36">
        <v>2023</v>
      </c>
      <c r="R516" s="56">
        <f>MONTH(DataSales[[#This Row],[Ngày Xuất]])</f>
        <v>11</v>
      </c>
      <c r="S516" s="56" t="s">
        <v>774</v>
      </c>
    </row>
    <row r="517" spans="1:19" x14ac:dyDescent="0.3">
      <c r="A517" s="35">
        <v>613</v>
      </c>
      <c r="B517" s="8" t="s">
        <v>493</v>
      </c>
      <c r="C517" s="8" t="s">
        <v>494</v>
      </c>
      <c r="D517" s="8" t="s">
        <v>32</v>
      </c>
      <c r="E517" s="9">
        <v>93336</v>
      </c>
      <c r="F517" s="7">
        <v>0</v>
      </c>
      <c r="G517" s="7">
        <v>8</v>
      </c>
      <c r="H517" s="9">
        <v>112000</v>
      </c>
      <c r="I517" s="9">
        <f t="shared" si="16"/>
        <v>112000</v>
      </c>
      <c r="J517" s="10">
        <v>45243</v>
      </c>
      <c r="K517" s="8" t="s">
        <v>178</v>
      </c>
      <c r="L517" s="8" t="str">
        <f>VLOOKUP(DataSales[[#This Row],[Khách hàng]],'RFM Table'!$A:$I,9,FALSE)</f>
        <v>Khách hàng Trung thành</v>
      </c>
      <c r="M517" s="9">
        <f t="shared" si="17"/>
        <v>18664</v>
      </c>
      <c r="N517" s="11">
        <v>0.16664285714285709</v>
      </c>
      <c r="O517" s="7">
        <v>8</v>
      </c>
      <c r="P517" s="11">
        <v>0</v>
      </c>
      <c r="Q517" s="37">
        <v>2023</v>
      </c>
      <c r="R517" s="56">
        <f>MONTH(DataSales[[#This Row],[Ngày Xuất]])</f>
        <v>11</v>
      </c>
      <c r="S517" s="56" t="s">
        <v>774</v>
      </c>
    </row>
    <row r="518" spans="1:19" x14ac:dyDescent="0.3">
      <c r="A518" s="34">
        <v>614</v>
      </c>
      <c r="B518" s="3" t="s">
        <v>495</v>
      </c>
      <c r="C518" s="3" t="s">
        <v>496</v>
      </c>
      <c r="D518" s="3" t="s">
        <v>32</v>
      </c>
      <c r="E518" s="4">
        <v>93336</v>
      </c>
      <c r="F518" s="2">
        <v>4</v>
      </c>
      <c r="G518" s="2">
        <v>8</v>
      </c>
      <c r="H518" s="4">
        <v>64000</v>
      </c>
      <c r="I518" s="4">
        <f t="shared" si="16"/>
        <v>64000</v>
      </c>
      <c r="J518" s="5">
        <v>45243</v>
      </c>
      <c r="K518" s="3" t="s">
        <v>178</v>
      </c>
      <c r="L518" s="3" t="str">
        <f>VLOOKUP(DataSales[[#This Row],[Khách hàng]],'RFM Table'!$A:$I,9,FALSE)</f>
        <v>Khách hàng Trung thành</v>
      </c>
      <c r="M518" s="4">
        <f t="shared" si="17"/>
        <v>-29336</v>
      </c>
      <c r="N518" s="6">
        <v>-0.45837499999999998</v>
      </c>
      <c r="O518" s="2">
        <v>12</v>
      </c>
      <c r="P518" s="6">
        <v>0.33333333333333331</v>
      </c>
      <c r="Q518" s="36">
        <v>2023</v>
      </c>
      <c r="R518" s="56">
        <f>MONTH(DataSales[[#This Row],[Ngày Xuất]])</f>
        <v>11</v>
      </c>
      <c r="S518" s="56" t="s">
        <v>774</v>
      </c>
    </row>
    <row r="519" spans="1:19" x14ac:dyDescent="0.3">
      <c r="A519" s="35">
        <v>615</v>
      </c>
      <c r="B519" s="8" t="s">
        <v>423</v>
      </c>
      <c r="C519" s="8" t="s">
        <v>424</v>
      </c>
      <c r="D519" s="8" t="s">
        <v>47</v>
      </c>
      <c r="E519" s="9">
        <v>66665</v>
      </c>
      <c r="F519" s="7">
        <v>2</v>
      </c>
      <c r="G519" s="7">
        <v>5</v>
      </c>
      <c r="H519" s="9">
        <v>54000</v>
      </c>
      <c r="I519" s="9">
        <f t="shared" si="16"/>
        <v>54000</v>
      </c>
      <c r="J519" s="10">
        <v>45243</v>
      </c>
      <c r="K519" s="8" t="s">
        <v>178</v>
      </c>
      <c r="L519" s="8" t="str">
        <f>VLOOKUP(DataSales[[#This Row],[Khách hàng]],'RFM Table'!$A:$I,9,FALSE)</f>
        <v>Khách hàng Trung thành</v>
      </c>
      <c r="M519" s="9">
        <f t="shared" si="17"/>
        <v>-12665</v>
      </c>
      <c r="N519" s="11">
        <v>-0.23453703703703699</v>
      </c>
      <c r="O519" s="7">
        <v>7</v>
      </c>
      <c r="P519" s="11">
        <v>0.2857142857142857</v>
      </c>
      <c r="Q519" s="37">
        <v>2023</v>
      </c>
      <c r="R519" s="56">
        <f>MONTH(DataSales[[#This Row],[Ngày Xuất]])</f>
        <v>11</v>
      </c>
      <c r="S519" s="56" t="s">
        <v>774</v>
      </c>
    </row>
    <row r="520" spans="1:19" x14ac:dyDescent="0.3">
      <c r="A520" s="34">
        <v>616</v>
      </c>
      <c r="B520" s="3" t="s">
        <v>425</v>
      </c>
      <c r="C520" s="3" t="s">
        <v>426</v>
      </c>
      <c r="D520" s="3" t="s">
        <v>47</v>
      </c>
      <c r="E520" s="4">
        <v>66665</v>
      </c>
      <c r="F520" s="2">
        <v>0</v>
      </c>
      <c r="G520" s="2">
        <v>5</v>
      </c>
      <c r="H520" s="4">
        <v>80000</v>
      </c>
      <c r="I520" s="4">
        <f t="shared" si="16"/>
        <v>80000</v>
      </c>
      <c r="J520" s="5">
        <v>45243</v>
      </c>
      <c r="K520" s="3" t="s">
        <v>178</v>
      </c>
      <c r="L520" s="3" t="str">
        <f>VLOOKUP(DataSales[[#This Row],[Khách hàng]],'RFM Table'!$A:$I,9,FALSE)</f>
        <v>Khách hàng Trung thành</v>
      </c>
      <c r="M520" s="4">
        <f t="shared" si="17"/>
        <v>13335</v>
      </c>
      <c r="N520" s="6">
        <v>0.16668749999999999</v>
      </c>
      <c r="O520" s="2">
        <v>5</v>
      </c>
      <c r="P520" s="6">
        <v>0</v>
      </c>
      <c r="Q520" s="36">
        <v>2023</v>
      </c>
      <c r="R520" s="56">
        <f>MONTH(DataSales[[#This Row],[Ngày Xuất]])</f>
        <v>11</v>
      </c>
      <c r="S520" s="56" t="s">
        <v>774</v>
      </c>
    </row>
    <row r="521" spans="1:19" x14ac:dyDescent="0.3">
      <c r="A521" s="35">
        <v>617</v>
      </c>
      <c r="B521" s="8" t="s">
        <v>187</v>
      </c>
      <c r="C521" s="8" t="s">
        <v>188</v>
      </c>
      <c r="D521" s="8" t="s">
        <v>18</v>
      </c>
      <c r="E521" s="9">
        <v>450000</v>
      </c>
      <c r="F521" s="7">
        <v>0</v>
      </c>
      <c r="G521" s="7">
        <v>60</v>
      </c>
      <c r="H521" s="9">
        <v>480000</v>
      </c>
      <c r="I521" s="9">
        <f t="shared" si="16"/>
        <v>480000</v>
      </c>
      <c r="J521" s="10">
        <v>45243</v>
      </c>
      <c r="K521" s="8" t="s">
        <v>178</v>
      </c>
      <c r="L521" s="8" t="str">
        <f>VLOOKUP(DataSales[[#This Row],[Khách hàng]],'RFM Table'!$A:$I,9,FALSE)</f>
        <v>Khách hàng Trung thành</v>
      </c>
      <c r="M521" s="9">
        <f t="shared" si="17"/>
        <v>30000</v>
      </c>
      <c r="N521" s="11">
        <v>6.25E-2</v>
      </c>
      <c r="O521" s="7">
        <v>60</v>
      </c>
      <c r="P521" s="11">
        <v>0</v>
      </c>
      <c r="Q521" s="37">
        <v>2023</v>
      </c>
      <c r="R521" s="56">
        <f>MONTH(DataSales[[#This Row],[Ngày Xuất]])</f>
        <v>11</v>
      </c>
      <c r="S521" s="56" t="s">
        <v>772</v>
      </c>
    </row>
    <row r="522" spans="1:19" x14ac:dyDescent="0.3">
      <c r="A522" s="34">
        <v>618</v>
      </c>
      <c r="B522" s="3" t="s">
        <v>218</v>
      </c>
      <c r="C522" s="3" t="s">
        <v>219</v>
      </c>
      <c r="D522" s="3" t="s">
        <v>47</v>
      </c>
      <c r="E522" s="4">
        <v>1215000</v>
      </c>
      <c r="F522" s="2">
        <v>0</v>
      </c>
      <c r="G522" s="2">
        <v>6</v>
      </c>
      <c r="H522" s="4">
        <v>1620000</v>
      </c>
      <c r="I522" s="4">
        <f t="shared" si="16"/>
        <v>1620000</v>
      </c>
      <c r="J522" s="5">
        <v>45243</v>
      </c>
      <c r="K522" s="3" t="s">
        <v>85</v>
      </c>
      <c r="L522" s="3" t="str">
        <f>VLOOKUP(DataSales[[#This Row],[Khách hàng]],'RFM Table'!$A:$I,9,FALSE)</f>
        <v>Khách hàng VIP</v>
      </c>
      <c r="M522" s="4">
        <f t="shared" si="17"/>
        <v>405000</v>
      </c>
      <c r="N522" s="6">
        <v>0.25</v>
      </c>
      <c r="O522" s="2">
        <v>6</v>
      </c>
      <c r="P522" s="6">
        <v>0</v>
      </c>
      <c r="Q522" s="36">
        <v>2023</v>
      </c>
      <c r="R522" s="56">
        <f>MONTH(DataSales[[#This Row],[Ngày Xuất]])</f>
        <v>11</v>
      </c>
      <c r="S522" s="56" t="s">
        <v>779</v>
      </c>
    </row>
    <row r="523" spans="1:19" x14ac:dyDescent="0.3">
      <c r="A523" s="35">
        <v>619</v>
      </c>
      <c r="B523" s="8" t="s">
        <v>80</v>
      </c>
      <c r="C523" s="8" t="s">
        <v>81</v>
      </c>
      <c r="D523" s="8" t="s">
        <v>47</v>
      </c>
      <c r="E523" s="9">
        <v>1152000</v>
      </c>
      <c r="F523" s="7">
        <v>0</v>
      </c>
      <c r="G523" s="7">
        <v>6</v>
      </c>
      <c r="H523" s="9">
        <v>1440000</v>
      </c>
      <c r="I523" s="9">
        <f t="shared" si="16"/>
        <v>1440000</v>
      </c>
      <c r="J523" s="10">
        <v>45243</v>
      </c>
      <c r="K523" s="8" t="s">
        <v>85</v>
      </c>
      <c r="L523" s="8" t="str">
        <f>VLOOKUP(DataSales[[#This Row],[Khách hàng]],'RFM Table'!$A:$I,9,FALSE)</f>
        <v>Khách hàng VIP</v>
      </c>
      <c r="M523" s="9">
        <f t="shared" si="17"/>
        <v>288000</v>
      </c>
      <c r="N523" s="11">
        <v>0.2</v>
      </c>
      <c r="O523" s="7">
        <v>6</v>
      </c>
      <c r="P523" s="11">
        <v>0</v>
      </c>
      <c r="Q523" s="37">
        <v>2023</v>
      </c>
      <c r="R523" s="56">
        <f>MONTH(DataSales[[#This Row],[Ngày Xuất]])</f>
        <v>11</v>
      </c>
      <c r="S523" s="56" t="s">
        <v>779</v>
      </c>
    </row>
    <row r="524" spans="1:19" x14ac:dyDescent="0.3">
      <c r="A524" s="34">
        <v>622</v>
      </c>
      <c r="B524" s="3" t="s">
        <v>220</v>
      </c>
      <c r="C524" s="3" t="s">
        <v>221</v>
      </c>
      <c r="D524" s="3" t="s">
        <v>47</v>
      </c>
      <c r="E524" s="4">
        <v>900000</v>
      </c>
      <c r="F524" s="2">
        <v>0</v>
      </c>
      <c r="G524" s="2">
        <v>6</v>
      </c>
      <c r="H524" s="4">
        <v>1308000</v>
      </c>
      <c r="I524" s="4">
        <f t="shared" si="16"/>
        <v>1308000</v>
      </c>
      <c r="J524" s="5">
        <v>45243</v>
      </c>
      <c r="K524" s="3" t="s">
        <v>85</v>
      </c>
      <c r="L524" s="3" t="str">
        <f>VLOOKUP(DataSales[[#This Row],[Khách hàng]],'RFM Table'!$A:$I,9,FALSE)</f>
        <v>Khách hàng VIP</v>
      </c>
      <c r="M524" s="4">
        <f t="shared" si="17"/>
        <v>408000</v>
      </c>
      <c r="N524" s="6">
        <v>0.31192660550458717</v>
      </c>
      <c r="O524" s="2">
        <v>6</v>
      </c>
      <c r="P524" s="6">
        <v>0</v>
      </c>
      <c r="Q524" s="36">
        <v>2023</v>
      </c>
      <c r="R524" s="56">
        <f>MONTH(DataSales[[#This Row],[Ngày Xuất]])</f>
        <v>11</v>
      </c>
      <c r="S524" s="56" t="s">
        <v>779</v>
      </c>
    </row>
    <row r="525" spans="1:19" x14ac:dyDescent="0.3">
      <c r="A525" s="35">
        <v>623</v>
      </c>
      <c r="B525" s="8" t="s">
        <v>112</v>
      </c>
      <c r="C525" s="8" t="s">
        <v>113</v>
      </c>
      <c r="D525" s="8" t="s">
        <v>47</v>
      </c>
      <c r="E525" s="9">
        <v>535500</v>
      </c>
      <c r="F525" s="7">
        <v>6</v>
      </c>
      <c r="G525" s="7">
        <v>36</v>
      </c>
      <c r="H525" s="9">
        <v>525000</v>
      </c>
      <c r="I525" s="9">
        <f t="shared" si="16"/>
        <v>525000</v>
      </c>
      <c r="J525" s="10">
        <v>45243</v>
      </c>
      <c r="K525" s="8" t="s">
        <v>42</v>
      </c>
      <c r="L525" s="8" t="str">
        <f>VLOOKUP(DataSales[[#This Row],[Khách hàng]],'RFM Table'!$A:$I,9,FALSE)</f>
        <v>Khách hàng Trung thành</v>
      </c>
      <c r="M525" s="9">
        <f t="shared" si="17"/>
        <v>-10500</v>
      </c>
      <c r="N525" s="11">
        <v>-0.02</v>
      </c>
      <c r="O525" s="7">
        <v>42</v>
      </c>
      <c r="P525" s="11">
        <v>0.14285714285714279</v>
      </c>
      <c r="Q525" s="37">
        <v>2023</v>
      </c>
      <c r="R525" s="56">
        <f>MONTH(DataSales[[#This Row],[Ngày Xuất]])</f>
        <v>11</v>
      </c>
      <c r="S525" s="56" t="s">
        <v>777</v>
      </c>
    </row>
    <row r="526" spans="1:19" x14ac:dyDescent="0.3">
      <c r="A526" s="34">
        <v>624</v>
      </c>
      <c r="B526" s="3" t="s">
        <v>553</v>
      </c>
      <c r="C526" s="3" t="s">
        <v>554</v>
      </c>
      <c r="D526" s="3" t="s">
        <v>18</v>
      </c>
      <c r="E526" s="4">
        <v>175000</v>
      </c>
      <c r="F526" s="2">
        <v>2</v>
      </c>
      <c r="G526" s="2">
        <v>10</v>
      </c>
      <c r="H526" s="4">
        <v>167000</v>
      </c>
      <c r="I526" s="4">
        <f t="shared" si="16"/>
        <v>167000</v>
      </c>
      <c r="J526" s="5">
        <v>45243</v>
      </c>
      <c r="K526" s="3" t="s">
        <v>555</v>
      </c>
      <c r="L526" s="3" t="str">
        <f>VLOOKUP(DataSales[[#This Row],[Khách hàng]],'RFM Table'!$A:$I,9,FALSE)</f>
        <v>Khách hàng Mới</v>
      </c>
      <c r="M526" s="4">
        <f t="shared" si="17"/>
        <v>-8000</v>
      </c>
      <c r="N526" s="6">
        <v>-4.790419161676647E-2</v>
      </c>
      <c r="O526" s="2">
        <v>12</v>
      </c>
      <c r="P526" s="6">
        <v>0.16666666666666671</v>
      </c>
      <c r="Q526" s="36">
        <v>2023</v>
      </c>
      <c r="R526" s="56">
        <f>MONTH(DataSales[[#This Row],[Ngày Xuất]])</f>
        <v>11</v>
      </c>
      <c r="S526" s="56" t="s">
        <v>775</v>
      </c>
    </row>
    <row r="527" spans="1:19" x14ac:dyDescent="0.3">
      <c r="A527" s="35">
        <v>625</v>
      </c>
      <c r="B527" s="8" t="s">
        <v>281</v>
      </c>
      <c r="C527" s="8" t="s">
        <v>282</v>
      </c>
      <c r="D527" s="8" t="s">
        <v>47</v>
      </c>
      <c r="E527" s="9">
        <v>42084</v>
      </c>
      <c r="F527" s="7">
        <v>0</v>
      </c>
      <c r="G527" s="7">
        <v>1</v>
      </c>
      <c r="H527" s="9">
        <v>48000</v>
      </c>
      <c r="I527" s="9">
        <f t="shared" si="16"/>
        <v>48000</v>
      </c>
      <c r="J527" s="10">
        <v>45243</v>
      </c>
      <c r="K527" s="8" t="s">
        <v>556</v>
      </c>
      <c r="L527" s="8" t="str">
        <f>VLOOKUP(DataSales[[#This Row],[Khách hàng]],'RFM Table'!$A:$I,9,FALSE)</f>
        <v>Khách hàng Mới</v>
      </c>
      <c r="M527" s="9">
        <f t="shared" si="17"/>
        <v>5916</v>
      </c>
      <c r="N527" s="11">
        <v>0.12325</v>
      </c>
      <c r="O527" s="7">
        <v>1</v>
      </c>
      <c r="P527" s="11">
        <v>0</v>
      </c>
      <c r="Q527" s="37">
        <v>2023</v>
      </c>
      <c r="R527" s="56">
        <f>MONTH(DataSales[[#This Row],[Ngày Xuất]])</f>
        <v>11</v>
      </c>
      <c r="S527" s="56" t="s">
        <v>780</v>
      </c>
    </row>
    <row r="528" spans="1:19" x14ac:dyDescent="0.3">
      <c r="A528" s="34">
        <v>626</v>
      </c>
      <c r="B528" s="3" t="s">
        <v>126</v>
      </c>
      <c r="C528" s="3" t="s">
        <v>127</v>
      </c>
      <c r="D528" s="3" t="s">
        <v>18</v>
      </c>
      <c r="E528" s="4">
        <v>195750</v>
      </c>
      <c r="F528" s="2">
        <v>0</v>
      </c>
      <c r="G528" s="2">
        <v>29</v>
      </c>
      <c r="H528" s="4">
        <v>217500</v>
      </c>
      <c r="I528" s="4">
        <f t="shared" si="16"/>
        <v>217500</v>
      </c>
      <c r="J528" s="5">
        <v>45243</v>
      </c>
      <c r="K528" s="3" t="s">
        <v>556</v>
      </c>
      <c r="L528" s="3" t="str">
        <f>VLOOKUP(DataSales[[#This Row],[Khách hàng]],'RFM Table'!$A:$I,9,FALSE)</f>
        <v>Khách hàng Mới</v>
      </c>
      <c r="M528" s="4">
        <f t="shared" si="17"/>
        <v>21750</v>
      </c>
      <c r="N528" s="6">
        <v>0.1</v>
      </c>
      <c r="O528" s="2">
        <v>29</v>
      </c>
      <c r="P528" s="6">
        <v>0</v>
      </c>
      <c r="Q528" s="36">
        <v>2023</v>
      </c>
      <c r="R528" s="56">
        <f>MONTH(DataSales[[#This Row],[Ngày Xuất]])</f>
        <v>11</v>
      </c>
      <c r="S528" s="56" t="s">
        <v>772</v>
      </c>
    </row>
    <row r="529" spans="1:19" x14ac:dyDescent="0.3">
      <c r="A529" s="35">
        <v>627</v>
      </c>
      <c r="B529" s="8" t="s">
        <v>557</v>
      </c>
      <c r="C529" s="8" t="s">
        <v>558</v>
      </c>
      <c r="D529" s="8" t="s">
        <v>47</v>
      </c>
      <c r="E529" s="9">
        <v>692064</v>
      </c>
      <c r="F529" s="7">
        <v>0</v>
      </c>
      <c r="G529" s="7">
        <v>36</v>
      </c>
      <c r="H529" s="9">
        <v>648000</v>
      </c>
      <c r="I529" s="9">
        <f t="shared" si="16"/>
        <v>648000</v>
      </c>
      <c r="J529" s="10">
        <v>45243</v>
      </c>
      <c r="K529" s="8" t="s">
        <v>43</v>
      </c>
      <c r="L529" s="8" t="str">
        <f>VLOOKUP(DataSales[[#This Row],[Khách hàng]],'RFM Table'!$A:$I,9,FALSE)</f>
        <v>Khách hàng Trung thành</v>
      </c>
      <c r="M529" s="9">
        <f t="shared" si="17"/>
        <v>-44064</v>
      </c>
      <c r="N529" s="11">
        <v>-6.8000000000000005E-2</v>
      </c>
      <c r="O529" s="7">
        <v>36</v>
      </c>
      <c r="P529" s="11">
        <v>0</v>
      </c>
      <c r="Q529" s="37">
        <v>2023</v>
      </c>
      <c r="R529" s="56">
        <f>MONTH(DataSales[[#This Row],[Ngày Xuất]])</f>
        <v>11</v>
      </c>
      <c r="S529" s="56" t="s">
        <v>772</v>
      </c>
    </row>
    <row r="530" spans="1:19" x14ac:dyDescent="0.3">
      <c r="A530" s="34">
        <v>628</v>
      </c>
      <c r="B530" s="3" t="s">
        <v>145</v>
      </c>
      <c r="C530" s="3" t="s">
        <v>146</v>
      </c>
      <c r="D530" s="3" t="s">
        <v>18</v>
      </c>
      <c r="E530" s="4">
        <v>576000</v>
      </c>
      <c r="F530" s="2">
        <v>0</v>
      </c>
      <c r="G530" s="2">
        <v>96</v>
      </c>
      <c r="H530" s="4">
        <v>720000</v>
      </c>
      <c r="I530" s="4">
        <f t="shared" si="16"/>
        <v>720000</v>
      </c>
      <c r="J530" s="5">
        <v>45243</v>
      </c>
      <c r="K530" s="3" t="s">
        <v>204</v>
      </c>
      <c r="L530" s="3" t="str">
        <f>VLOOKUP(DataSales[[#This Row],[Khách hàng]],'RFM Table'!$A:$I,9,FALSE)</f>
        <v>Khách hàng VIP</v>
      </c>
      <c r="M530" s="4">
        <f t="shared" si="17"/>
        <v>144000</v>
      </c>
      <c r="N530" s="6">
        <v>0.2</v>
      </c>
      <c r="O530" s="2">
        <v>96</v>
      </c>
      <c r="P530" s="6">
        <v>0</v>
      </c>
      <c r="Q530" s="36">
        <v>2023</v>
      </c>
      <c r="R530" s="56">
        <f>MONTH(DataSales[[#This Row],[Ngày Xuất]])</f>
        <v>11</v>
      </c>
      <c r="S530" s="56" t="s">
        <v>772</v>
      </c>
    </row>
    <row r="531" spans="1:19" x14ac:dyDescent="0.3">
      <c r="A531" s="35">
        <v>629</v>
      </c>
      <c r="B531" s="8" t="s">
        <v>205</v>
      </c>
      <c r="C531" s="8" t="s">
        <v>206</v>
      </c>
      <c r="D531" s="8" t="s">
        <v>47</v>
      </c>
      <c r="E531" s="9">
        <v>600000</v>
      </c>
      <c r="F531" s="7">
        <v>6</v>
      </c>
      <c r="G531" s="7">
        <v>6</v>
      </c>
      <c r="H531" s="9">
        <v>654000</v>
      </c>
      <c r="I531" s="9">
        <f t="shared" si="16"/>
        <v>654000</v>
      </c>
      <c r="J531" s="10">
        <v>45243</v>
      </c>
      <c r="K531" s="8" t="s">
        <v>559</v>
      </c>
      <c r="L531" s="8" t="str">
        <f>VLOOKUP(DataSales[[#This Row],[Khách hàng]],'RFM Table'!$A:$I,9,FALSE)</f>
        <v>Khách hàng Trung thành</v>
      </c>
      <c r="M531" s="9">
        <f t="shared" si="17"/>
        <v>54000</v>
      </c>
      <c r="N531" s="11">
        <v>8.2568807339449546E-2</v>
      </c>
      <c r="O531" s="7">
        <v>12</v>
      </c>
      <c r="P531" s="11">
        <v>0.5</v>
      </c>
      <c r="Q531" s="37">
        <v>2023</v>
      </c>
      <c r="R531" s="56">
        <f>MONTH(DataSales[[#This Row],[Ngày Xuất]])</f>
        <v>11</v>
      </c>
      <c r="S531" s="56" t="s">
        <v>779</v>
      </c>
    </row>
    <row r="532" spans="1:19" x14ac:dyDescent="0.3">
      <c r="A532" s="34">
        <v>630</v>
      </c>
      <c r="B532" s="3" t="s">
        <v>119</v>
      </c>
      <c r="C532" s="3" t="s">
        <v>120</v>
      </c>
      <c r="D532" s="3" t="s">
        <v>47</v>
      </c>
      <c r="E532" s="4">
        <v>600000</v>
      </c>
      <c r="F532" s="2">
        <v>6</v>
      </c>
      <c r="G532" s="2">
        <v>6</v>
      </c>
      <c r="H532" s="4">
        <v>654000</v>
      </c>
      <c r="I532" s="4">
        <f t="shared" si="16"/>
        <v>654000</v>
      </c>
      <c r="J532" s="5">
        <v>45243</v>
      </c>
      <c r="K532" s="3" t="s">
        <v>559</v>
      </c>
      <c r="L532" s="3" t="str">
        <f>VLOOKUP(DataSales[[#This Row],[Khách hàng]],'RFM Table'!$A:$I,9,FALSE)</f>
        <v>Khách hàng Trung thành</v>
      </c>
      <c r="M532" s="4">
        <f t="shared" si="17"/>
        <v>54000</v>
      </c>
      <c r="N532" s="6">
        <v>8.2568807339449546E-2</v>
      </c>
      <c r="O532" s="2">
        <v>12</v>
      </c>
      <c r="P532" s="6">
        <v>0.5</v>
      </c>
      <c r="Q532" s="36">
        <v>2023</v>
      </c>
      <c r="R532" s="56">
        <f>MONTH(DataSales[[#This Row],[Ngày Xuất]])</f>
        <v>11</v>
      </c>
      <c r="S532" s="56" t="s">
        <v>779</v>
      </c>
    </row>
    <row r="533" spans="1:19" x14ac:dyDescent="0.3">
      <c r="A533" s="35">
        <v>631</v>
      </c>
      <c r="B533" s="8" t="s">
        <v>536</v>
      </c>
      <c r="C533" s="8" t="s">
        <v>537</v>
      </c>
      <c r="D533" s="8" t="s">
        <v>104</v>
      </c>
      <c r="E533" s="9">
        <v>230000</v>
      </c>
      <c r="F533" s="7">
        <v>0</v>
      </c>
      <c r="G533" s="7">
        <v>2</v>
      </c>
      <c r="H533" s="9">
        <v>390000</v>
      </c>
      <c r="I533" s="9">
        <f t="shared" si="16"/>
        <v>390000</v>
      </c>
      <c r="J533" s="10">
        <v>45243</v>
      </c>
      <c r="K533" s="8" t="s">
        <v>560</v>
      </c>
      <c r="L533" s="8" t="str">
        <f>VLOOKUP(DataSales[[#This Row],[Khách hàng]],'RFM Table'!$A:$I,9,FALSE)</f>
        <v>Khách hàng VIP</v>
      </c>
      <c r="M533" s="9">
        <f t="shared" si="17"/>
        <v>160000</v>
      </c>
      <c r="N533" s="11">
        <v>0.41025641025641019</v>
      </c>
      <c r="O533" s="7">
        <v>2</v>
      </c>
      <c r="P533" s="11">
        <v>0</v>
      </c>
      <c r="Q533" s="37">
        <v>2023</v>
      </c>
      <c r="R533" s="56">
        <f>MONTH(DataSales[[#This Row],[Ngày Xuất]])</f>
        <v>11</v>
      </c>
      <c r="S533" s="56" t="s">
        <v>774</v>
      </c>
    </row>
    <row r="534" spans="1:19" x14ac:dyDescent="0.3">
      <c r="A534" s="34">
        <v>633</v>
      </c>
      <c r="B534" s="3" t="s">
        <v>119</v>
      </c>
      <c r="C534" s="3" t="s">
        <v>120</v>
      </c>
      <c r="D534" s="3" t="s">
        <v>47</v>
      </c>
      <c r="E534" s="4">
        <v>600000</v>
      </c>
      <c r="F534" s="2">
        <v>3</v>
      </c>
      <c r="G534" s="2">
        <v>6</v>
      </c>
      <c r="H534" s="4">
        <v>981000</v>
      </c>
      <c r="I534" s="4">
        <f t="shared" si="16"/>
        <v>981000</v>
      </c>
      <c r="J534" s="5">
        <v>45243</v>
      </c>
      <c r="K534" s="3" t="s">
        <v>560</v>
      </c>
      <c r="L534" s="3" t="str">
        <f>VLOOKUP(DataSales[[#This Row],[Khách hàng]],'RFM Table'!$A:$I,9,FALSE)</f>
        <v>Khách hàng VIP</v>
      </c>
      <c r="M534" s="4">
        <f t="shared" si="17"/>
        <v>381000</v>
      </c>
      <c r="N534" s="6">
        <v>0.38837920489296629</v>
      </c>
      <c r="O534" s="2">
        <v>9</v>
      </c>
      <c r="P534" s="6">
        <v>0.33333333333333331</v>
      </c>
      <c r="Q534" s="36">
        <v>2023</v>
      </c>
      <c r="R534" s="56">
        <f>MONTH(DataSales[[#This Row],[Ngày Xuất]])</f>
        <v>11</v>
      </c>
      <c r="S534" s="56" t="s">
        <v>779</v>
      </c>
    </row>
    <row r="535" spans="1:19" x14ac:dyDescent="0.3">
      <c r="A535" s="35">
        <v>634</v>
      </c>
      <c r="B535" s="8" t="s">
        <v>543</v>
      </c>
      <c r="C535" s="8" t="s">
        <v>544</v>
      </c>
      <c r="D535" s="8" t="s">
        <v>32</v>
      </c>
      <c r="E535" s="9">
        <v>75000</v>
      </c>
      <c r="F535" s="7">
        <v>0</v>
      </c>
      <c r="G535" s="7">
        <v>10</v>
      </c>
      <c r="H535" s="9">
        <v>95000</v>
      </c>
      <c r="I535" s="9">
        <f t="shared" si="16"/>
        <v>95000</v>
      </c>
      <c r="J535" s="10">
        <v>45243</v>
      </c>
      <c r="K535" s="8" t="s">
        <v>560</v>
      </c>
      <c r="L535" s="8" t="str">
        <f>VLOOKUP(DataSales[[#This Row],[Khách hàng]],'RFM Table'!$A:$I,9,FALSE)</f>
        <v>Khách hàng VIP</v>
      </c>
      <c r="M535" s="9">
        <f t="shared" si="17"/>
        <v>20000</v>
      </c>
      <c r="N535" s="11">
        <v>0.2105263157894737</v>
      </c>
      <c r="O535" s="7">
        <v>10</v>
      </c>
      <c r="P535" s="11">
        <v>0</v>
      </c>
      <c r="Q535" s="37">
        <v>2023</v>
      </c>
      <c r="R535" s="56">
        <f>MONTH(DataSales[[#This Row],[Ngày Xuất]])</f>
        <v>11</v>
      </c>
      <c r="S535" s="56" t="s">
        <v>772</v>
      </c>
    </row>
    <row r="536" spans="1:19" x14ac:dyDescent="0.3">
      <c r="A536" s="34">
        <v>636</v>
      </c>
      <c r="B536" s="3" t="s">
        <v>263</v>
      </c>
      <c r="C536" s="3" t="s">
        <v>264</v>
      </c>
      <c r="D536" s="3" t="s">
        <v>32</v>
      </c>
      <c r="E536" s="4">
        <v>144000</v>
      </c>
      <c r="F536" s="2">
        <v>0</v>
      </c>
      <c r="G536" s="2">
        <v>30</v>
      </c>
      <c r="H536" s="4">
        <v>210000</v>
      </c>
      <c r="I536" s="4">
        <f t="shared" si="16"/>
        <v>210000</v>
      </c>
      <c r="J536" s="5">
        <v>45243</v>
      </c>
      <c r="K536" s="3" t="s">
        <v>96</v>
      </c>
      <c r="L536" s="3" t="str">
        <f>VLOOKUP(DataSales[[#This Row],[Khách hàng]],'RFM Table'!$A:$I,9,FALSE)</f>
        <v>Khách hàng VIP</v>
      </c>
      <c r="M536" s="4">
        <f t="shared" si="17"/>
        <v>66000</v>
      </c>
      <c r="N536" s="6">
        <v>0.31428571428571428</v>
      </c>
      <c r="O536" s="2">
        <v>30</v>
      </c>
      <c r="P536" s="6">
        <v>0</v>
      </c>
      <c r="Q536" s="36">
        <v>2023</v>
      </c>
      <c r="R536" s="56">
        <f>MONTH(DataSales[[#This Row],[Ngày Xuất]])</f>
        <v>11</v>
      </c>
      <c r="S536" s="56" t="s">
        <v>774</v>
      </c>
    </row>
    <row r="537" spans="1:19" x14ac:dyDescent="0.3">
      <c r="A537" s="35">
        <v>637</v>
      </c>
      <c r="B537" s="8" t="s">
        <v>100</v>
      </c>
      <c r="C537" s="8" t="s">
        <v>101</v>
      </c>
      <c r="D537" s="8" t="s">
        <v>32</v>
      </c>
      <c r="E537" s="9">
        <v>290000</v>
      </c>
      <c r="F537" s="7">
        <v>1</v>
      </c>
      <c r="G537" s="7">
        <v>10</v>
      </c>
      <c r="H537" s="9">
        <v>355000</v>
      </c>
      <c r="I537" s="9">
        <f t="shared" si="16"/>
        <v>355000</v>
      </c>
      <c r="J537" s="10">
        <v>45243</v>
      </c>
      <c r="K537" s="8" t="s">
        <v>561</v>
      </c>
      <c r="L537" s="8" t="str">
        <f>VLOOKUP(DataSales[[#This Row],[Khách hàng]],'RFM Table'!$A:$I,9,FALSE)</f>
        <v>Khách hàng Trung thành</v>
      </c>
      <c r="M537" s="9">
        <f t="shared" si="17"/>
        <v>65000</v>
      </c>
      <c r="N537" s="11">
        <v>0.18309859154929581</v>
      </c>
      <c r="O537" s="7">
        <v>11</v>
      </c>
      <c r="P537" s="11">
        <v>9.0909090909090912E-2</v>
      </c>
      <c r="Q537" s="37">
        <v>2023</v>
      </c>
      <c r="R537" s="56">
        <f>MONTH(DataSales[[#This Row],[Ngày Xuất]])</f>
        <v>11</v>
      </c>
      <c r="S537" s="56" t="s">
        <v>779</v>
      </c>
    </row>
    <row r="538" spans="1:19" x14ac:dyDescent="0.3">
      <c r="A538" s="34">
        <v>638</v>
      </c>
      <c r="B538" s="3" t="s">
        <v>57</v>
      </c>
      <c r="C538" s="3" t="s">
        <v>58</v>
      </c>
      <c r="D538" s="3" t="s">
        <v>18</v>
      </c>
      <c r="E538" s="4">
        <v>77000</v>
      </c>
      <c r="F538" s="2">
        <v>0</v>
      </c>
      <c r="G538" s="2">
        <v>10</v>
      </c>
      <c r="H538" s="4">
        <v>100000</v>
      </c>
      <c r="I538" s="4">
        <f t="shared" si="16"/>
        <v>100000</v>
      </c>
      <c r="J538" s="5">
        <v>45243</v>
      </c>
      <c r="K538" s="3" t="s">
        <v>561</v>
      </c>
      <c r="L538" s="3" t="str">
        <f>VLOOKUP(DataSales[[#This Row],[Khách hàng]],'RFM Table'!$A:$I,9,FALSE)</f>
        <v>Khách hàng Trung thành</v>
      </c>
      <c r="M538" s="4">
        <f t="shared" si="17"/>
        <v>23000</v>
      </c>
      <c r="N538" s="6">
        <v>0.23</v>
      </c>
      <c r="O538" s="2">
        <v>10</v>
      </c>
      <c r="P538" s="6">
        <v>0</v>
      </c>
      <c r="Q538" s="36">
        <v>2023</v>
      </c>
      <c r="R538" s="56">
        <f>MONTH(DataSales[[#This Row],[Ngày Xuất]])</f>
        <v>11</v>
      </c>
      <c r="S538" s="56" t="s">
        <v>775</v>
      </c>
    </row>
    <row r="539" spans="1:19" x14ac:dyDescent="0.3">
      <c r="A539" s="35">
        <v>639</v>
      </c>
      <c r="B539" s="8" t="s">
        <v>205</v>
      </c>
      <c r="C539" s="8" t="s">
        <v>206</v>
      </c>
      <c r="D539" s="8" t="s">
        <v>47</v>
      </c>
      <c r="E539" s="9">
        <v>1800000</v>
      </c>
      <c r="F539" s="7">
        <v>0</v>
      </c>
      <c r="G539" s="7">
        <v>18</v>
      </c>
      <c r="H539" s="9">
        <v>3924000</v>
      </c>
      <c r="I539" s="9">
        <f t="shared" si="16"/>
        <v>3924000</v>
      </c>
      <c r="J539" s="10">
        <v>45243</v>
      </c>
      <c r="K539" s="8" t="s">
        <v>562</v>
      </c>
      <c r="L539" s="8" t="str">
        <f>VLOOKUP(DataSales[[#This Row],[Khách hàng]],'RFM Table'!$A:$I,9,FALSE)</f>
        <v>Khách hàng Mới</v>
      </c>
      <c r="M539" s="9">
        <f t="shared" si="17"/>
        <v>2124000</v>
      </c>
      <c r="N539" s="11">
        <v>0.54128440366972475</v>
      </c>
      <c r="O539" s="7">
        <v>18</v>
      </c>
      <c r="P539" s="11">
        <v>0</v>
      </c>
      <c r="Q539" s="37">
        <v>2023</v>
      </c>
      <c r="R539" s="56">
        <f>MONTH(DataSales[[#This Row],[Ngày Xuất]])</f>
        <v>11</v>
      </c>
      <c r="S539" s="56" t="s">
        <v>779</v>
      </c>
    </row>
    <row r="540" spans="1:19" x14ac:dyDescent="0.3">
      <c r="A540" s="34">
        <v>641</v>
      </c>
      <c r="B540" s="3" t="s">
        <v>237</v>
      </c>
      <c r="C540" s="3" t="s">
        <v>238</v>
      </c>
      <c r="D540" s="3" t="s">
        <v>104</v>
      </c>
      <c r="E540" s="4">
        <v>63000</v>
      </c>
      <c r="F540" s="2">
        <v>0</v>
      </c>
      <c r="G540" s="2">
        <v>1</v>
      </c>
      <c r="H540" s="4">
        <v>73000</v>
      </c>
      <c r="I540" s="4">
        <f t="shared" si="16"/>
        <v>73000</v>
      </c>
      <c r="J540" s="5">
        <v>45243</v>
      </c>
      <c r="K540" s="3" t="s">
        <v>273</v>
      </c>
      <c r="L540" s="3" t="str">
        <f>VLOOKUP(DataSales[[#This Row],[Khách hàng]],'RFM Table'!$A:$I,9,FALSE)</f>
        <v>Khách hàng Trung thành</v>
      </c>
      <c r="M540" s="4">
        <f t="shared" si="17"/>
        <v>10000</v>
      </c>
      <c r="N540" s="6">
        <v>0.13698630136986301</v>
      </c>
      <c r="O540" s="2">
        <v>1</v>
      </c>
      <c r="P540" s="6">
        <v>0</v>
      </c>
      <c r="Q540" s="36">
        <v>2023</v>
      </c>
      <c r="R540" s="56">
        <f>MONTH(DataSales[[#This Row],[Ngày Xuất]])</f>
        <v>11</v>
      </c>
      <c r="S540" s="56" t="s">
        <v>780</v>
      </c>
    </row>
    <row r="541" spans="1:19" x14ac:dyDescent="0.3">
      <c r="A541" s="35">
        <v>642</v>
      </c>
      <c r="B541" s="8" t="s">
        <v>417</v>
      </c>
      <c r="C541" s="8" t="s">
        <v>418</v>
      </c>
      <c r="D541" s="8" t="s">
        <v>18</v>
      </c>
      <c r="E541" s="9">
        <v>61000</v>
      </c>
      <c r="F541" s="7">
        <v>0</v>
      </c>
      <c r="G541" s="7">
        <v>5</v>
      </c>
      <c r="H541" s="9">
        <v>70000</v>
      </c>
      <c r="I541" s="9">
        <f t="shared" si="16"/>
        <v>70000</v>
      </c>
      <c r="J541" s="10">
        <v>45243</v>
      </c>
      <c r="K541" s="8" t="s">
        <v>273</v>
      </c>
      <c r="L541" s="8" t="str">
        <f>VLOOKUP(DataSales[[#This Row],[Khách hàng]],'RFM Table'!$A:$I,9,FALSE)</f>
        <v>Khách hàng Trung thành</v>
      </c>
      <c r="M541" s="9">
        <f t="shared" si="17"/>
        <v>9000</v>
      </c>
      <c r="N541" s="11">
        <v>0.12857142857142859</v>
      </c>
      <c r="O541" s="7">
        <v>5</v>
      </c>
      <c r="P541" s="11">
        <v>0</v>
      </c>
      <c r="Q541" s="37">
        <v>2023</v>
      </c>
      <c r="R541" s="56">
        <f>MONTH(DataSales[[#This Row],[Ngày Xuất]])</f>
        <v>11</v>
      </c>
      <c r="S541" s="56" t="s">
        <v>776</v>
      </c>
    </row>
    <row r="542" spans="1:19" x14ac:dyDescent="0.3">
      <c r="A542" s="34">
        <v>643</v>
      </c>
      <c r="B542" s="3" t="s">
        <v>419</v>
      </c>
      <c r="C542" s="3" t="s">
        <v>420</v>
      </c>
      <c r="D542" s="3" t="s">
        <v>18</v>
      </c>
      <c r="E542" s="4">
        <v>61000</v>
      </c>
      <c r="F542" s="2">
        <v>0</v>
      </c>
      <c r="G542" s="2">
        <v>5</v>
      </c>
      <c r="H542" s="4">
        <v>70000</v>
      </c>
      <c r="I542" s="4">
        <f t="shared" si="16"/>
        <v>70000</v>
      </c>
      <c r="J542" s="5">
        <v>45243</v>
      </c>
      <c r="K542" s="3" t="s">
        <v>273</v>
      </c>
      <c r="L542" s="3" t="str">
        <f>VLOOKUP(DataSales[[#This Row],[Khách hàng]],'RFM Table'!$A:$I,9,FALSE)</f>
        <v>Khách hàng Trung thành</v>
      </c>
      <c r="M542" s="4">
        <f t="shared" si="17"/>
        <v>9000</v>
      </c>
      <c r="N542" s="6">
        <v>0.12857142857142859</v>
      </c>
      <c r="O542" s="2">
        <v>5</v>
      </c>
      <c r="P542" s="6">
        <v>0</v>
      </c>
      <c r="Q542" s="36">
        <v>2023</v>
      </c>
      <c r="R542" s="56">
        <f>MONTH(DataSales[[#This Row],[Ngày Xuất]])</f>
        <v>11</v>
      </c>
      <c r="S542" s="56" t="s">
        <v>776</v>
      </c>
    </row>
    <row r="543" spans="1:19" x14ac:dyDescent="0.3">
      <c r="A543" s="35">
        <v>644</v>
      </c>
      <c r="B543" s="8" t="s">
        <v>421</v>
      </c>
      <c r="C543" s="8" t="s">
        <v>422</v>
      </c>
      <c r="D543" s="8" t="s">
        <v>18</v>
      </c>
      <c r="E543" s="9">
        <v>12200</v>
      </c>
      <c r="F543" s="7">
        <v>0</v>
      </c>
      <c r="G543" s="7">
        <v>1</v>
      </c>
      <c r="H543" s="9">
        <v>14000</v>
      </c>
      <c r="I543" s="9">
        <f t="shared" si="16"/>
        <v>14000</v>
      </c>
      <c r="J543" s="10">
        <v>45243</v>
      </c>
      <c r="K543" s="8" t="s">
        <v>273</v>
      </c>
      <c r="L543" s="8" t="str">
        <f>VLOOKUP(DataSales[[#This Row],[Khách hàng]],'RFM Table'!$A:$I,9,FALSE)</f>
        <v>Khách hàng Trung thành</v>
      </c>
      <c r="M543" s="9">
        <f t="shared" si="17"/>
        <v>1800</v>
      </c>
      <c r="N543" s="11">
        <v>0.12857142857142859</v>
      </c>
      <c r="O543" s="7">
        <v>1</v>
      </c>
      <c r="P543" s="11">
        <v>0</v>
      </c>
      <c r="Q543" s="37">
        <v>2023</v>
      </c>
      <c r="R543" s="56">
        <f>MONTH(DataSales[[#This Row],[Ngày Xuất]])</f>
        <v>11</v>
      </c>
      <c r="S543" s="56" t="s">
        <v>776</v>
      </c>
    </row>
    <row r="544" spans="1:19" x14ac:dyDescent="0.3">
      <c r="A544" s="34">
        <v>645</v>
      </c>
      <c r="B544" s="3" t="s">
        <v>132</v>
      </c>
      <c r="C544" s="3" t="s">
        <v>133</v>
      </c>
      <c r="D544" s="3" t="s">
        <v>47</v>
      </c>
      <c r="E544" s="4">
        <v>174000</v>
      </c>
      <c r="F544" s="2">
        <v>0</v>
      </c>
      <c r="G544" s="2">
        <v>12</v>
      </c>
      <c r="H544" s="4">
        <v>168000</v>
      </c>
      <c r="I544" s="4">
        <f t="shared" si="16"/>
        <v>168000</v>
      </c>
      <c r="J544" s="5">
        <v>45243</v>
      </c>
      <c r="K544" s="3" t="s">
        <v>468</v>
      </c>
      <c r="L544" s="3" t="str">
        <f>VLOOKUP(DataSales[[#This Row],[Khách hàng]],'RFM Table'!$A:$I,9,FALSE)</f>
        <v>Khách hàng Mới</v>
      </c>
      <c r="M544" s="4">
        <f t="shared" si="17"/>
        <v>-6000</v>
      </c>
      <c r="N544" s="6">
        <v>-3.5714285714285712E-2</v>
      </c>
      <c r="O544" s="2">
        <v>12</v>
      </c>
      <c r="P544" s="6">
        <v>0</v>
      </c>
      <c r="Q544" s="36">
        <v>2023</v>
      </c>
      <c r="R544" s="56">
        <f>MONTH(DataSales[[#This Row],[Ngày Xuất]])</f>
        <v>11</v>
      </c>
      <c r="S544" s="56" t="s">
        <v>776</v>
      </c>
    </row>
    <row r="545" spans="1:19" x14ac:dyDescent="0.3">
      <c r="A545" s="35">
        <v>646</v>
      </c>
      <c r="B545" s="8" t="s">
        <v>407</v>
      </c>
      <c r="C545" s="8" t="s">
        <v>408</v>
      </c>
      <c r="D545" s="8" t="s">
        <v>158</v>
      </c>
      <c r="E545" s="9">
        <v>130000</v>
      </c>
      <c r="F545" s="7">
        <v>0</v>
      </c>
      <c r="G545" s="7">
        <v>5</v>
      </c>
      <c r="H545" s="9">
        <v>120000</v>
      </c>
      <c r="I545" s="9">
        <f t="shared" si="16"/>
        <v>120000</v>
      </c>
      <c r="J545" s="10">
        <v>45243</v>
      </c>
      <c r="K545" s="8" t="s">
        <v>469</v>
      </c>
      <c r="L545" s="8" t="str">
        <f>VLOOKUP(DataSales[[#This Row],[Khách hàng]],'RFM Table'!$A:$I,9,FALSE)</f>
        <v>Khách hàng Trung thành</v>
      </c>
      <c r="M545" s="9">
        <f t="shared" si="17"/>
        <v>-10000</v>
      </c>
      <c r="N545" s="11">
        <v>-8.3333333333333329E-2</v>
      </c>
      <c r="O545" s="7">
        <v>5</v>
      </c>
      <c r="P545" s="11">
        <v>0</v>
      </c>
      <c r="Q545" s="37">
        <v>2023</v>
      </c>
      <c r="R545" s="56">
        <f>MONTH(DataSales[[#This Row],[Ngày Xuất]])</f>
        <v>11</v>
      </c>
      <c r="S545" s="56" t="s">
        <v>779</v>
      </c>
    </row>
    <row r="546" spans="1:19" x14ac:dyDescent="0.3">
      <c r="A546" s="34">
        <v>647</v>
      </c>
      <c r="B546" s="3" t="s">
        <v>100</v>
      </c>
      <c r="C546" s="3" t="s">
        <v>101</v>
      </c>
      <c r="D546" s="3" t="s">
        <v>32</v>
      </c>
      <c r="E546" s="4">
        <v>174000</v>
      </c>
      <c r="F546" s="2">
        <v>0</v>
      </c>
      <c r="G546" s="2">
        <v>6</v>
      </c>
      <c r="H546" s="4">
        <v>210000</v>
      </c>
      <c r="I546" s="4">
        <f t="shared" si="16"/>
        <v>210000</v>
      </c>
      <c r="J546" s="5">
        <v>45243</v>
      </c>
      <c r="K546" s="3" t="s">
        <v>469</v>
      </c>
      <c r="L546" s="3" t="str">
        <f>VLOOKUP(DataSales[[#This Row],[Khách hàng]],'RFM Table'!$A:$I,9,FALSE)</f>
        <v>Khách hàng Trung thành</v>
      </c>
      <c r="M546" s="4">
        <f t="shared" si="17"/>
        <v>36000</v>
      </c>
      <c r="N546" s="6">
        <v>0.1714285714285714</v>
      </c>
      <c r="O546" s="2">
        <v>6</v>
      </c>
      <c r="P546" s="6">
        <v>0</v>
      </c>
      <c r="Q546" s="36">
        <v>2023</v>
      </c>
      <c r="R546" s="56">
        <f>MONTH(DataSales[[#This Row],[Ngày Xuất]])</f>
        <v>11</v>
      </c>
      <c r="S546" s="56" t="s">
        <v>779</v>
      </c>
    </row>
    <row r="547" spans="1:19" x14ac:dyDescent="0.3">
      <c r="A547" s="35">
        <v>648</v>
      </c>
      <c r="B547" s="8" t="s">
        <v>454</v>
      </c>
      <c r="C547" s="8" t="s">
        <v>455</v>
      </c>
      <c r="D547" s="8" t="s">
        <v>18</v>
      </c>
      <c r="E547" s="9">
        <v>211200</v>
      </c>
      <c r="F547" s="7">
        <v>2</v>
      </c>
      <c r="G547" s="7">
        <v>10</v>
      </c>
      <c r="H547" s="9">
        <v>180000</v>
      </c>
      <c r="I547" s="9">
        <f t="shared" si="16"/>
        <v>180000</v>
      </c>
      <c r="J547" s="10">
        <v>45243</v>
      </c>
      <c r="K547" s="8" t="s">
        <v>563</v>
      </c>
      <c r="L547" s="8" t="str">
        <f>VLOOKUP(DataSales[[#This Row],[Khách hàng]],'RFM Table'!$A:$I,9,FALSE)</f>
        <v>Khách hàng Mới</v>
      </c>
      <c r="M547" s="9">
        <f t="shared" si="17"/>
        <v>-31200</v>
      </c>
      <c r="N547" s="11">
        <v>-0.17333333333333331</v>
      </c>
      <c r="O547" s="7">
        <v>12</v>
      </c>
      <c r="P547" s="11">
        <v>0.16666666666666671</v>
      </c>
      <c r="Q547" s="37">
        <v>2023</v>
      </c>
      <c r="R547" s="56">
        <f>MONTH(DataSales[[#This Row],[Ngày Xuất]])</f>
        <v>11</v>
      </c>
      <c r="S547" s="56" t="s">
        <v>772</v>
      </c>
    </row>
    <row r="548" spans="1:19" x14ac:dyDescent="0.3">
      <c r="A548" s="34">
        <v>649</v>
      </c>
      <c r="B548" s="3" t="s">
        <v>57</v>
      </c>
      <c r="C548" s="3" t="s">
        <v>58</v>
      </c>
      <c r="D548" s="3" t="s">
        <v>18</v>
      </c>
      <c r="E548" s="4">
        <v>154000</v>
      </c>
      <c r="F548" s="2">
        <v>0</v>
      </c>
      <c r="G548" s="2">
        <v>20</v>
      </c>
      <c r="H548" s="4">
        <v>200000</v>
      </c>
      <c r="I548" s="4">
        <f t="shared" si="16"/>
        <v>200000</v>
      </c>
      <c r="J548" s="5">
        <v>45243</v>
      </c>
      <c r="K548" s="3" t="s">
        <v>564</v>
      </c>
      <c r="L548" s="3" t="str">
        <f>VLOOKUP(DataSales[[#This Row],[Khách hàng]],'RFM Table'!$A:$I,9,FALSE)</f>
        <v>Khách hàng Mới</v>
      </c>
      <c r="M548" s="4">
        <f t="shared" si="17"/>
        <v>46000</v>
      </c>
      <c r="N548" s="6">
        <v>0.23</v>
      </c>
      <c r="O548" s="2">
        <v>20</v>
      </c>
      <c r="P548" s="6">
        <v>0</v>
      </c>
      <c r="Q548" s="36">
        <v>2023</v>
      </c>
      <c r="R548" s="56">
        <f>MONTH(DataSales[[#This Row],[Ngày Xuất]])</f>
        <v>11</v>
      </c>
      <c r="S548" s="56" t="s">
        <v>775</v>
      </c>
    </row>
    <row r="549" spans="1:19" x14ac:dyDescent="0.3">
      <c r="A549" s="35">
        <v>650</v>
      </c>
      <c r="B549" s="8" t="s">
        <v>65</v>
      </c>
      <c r="C549" s="8" t="s">
        <v>66</v>
      </c>
      <c r="D549" s="8" t="s">
        <v>18</v>
      </c>
      <c r="E549" s="9">
        <v>66670</v>
      </c>
      <c r="F549" s="7">
        <v>0</v>
      </c>
      <c r="G549" s="7">
        <v>10</v>
      </c>
      <c r="H549" s="9">
        <v>75000</v>
      </c>
      <c r="I549" s="9">
        <f t="shared" si="16"/>
        <v>75000</v>
      </c>
      <c r="J549" s="10">
        <v>45243</v>
      </c>
      <c r="K549" s="8" t="s">
        <v>564</v>
      </c>
      <c r="L549" s="8" t="str">
        <f>VLOOKUP(DataSales[[#This Row],[Khách hàng]],'RFM Table'!$A:$I,9,FALSE)</f>
        <v>Khách hàng Mới</v>
      </c>
      <c r="M549" s="9">
        <f t="shared" si="17"/>
        <v>8330</v>
      </c>
      <c r="N549" s="11">
        <v>0.1110666666666667</v>
      </c>
      <c r="O549" s="7">
        <v>10</v>
      </c>
      <c r="P549" s="11">
        <v>0</v>
      </c>
      <c r="Q549" s="37">
        <v>2023</v>
      </c>
      <c r="R549" s="56">
        <f>MONTH(DataSales[[#This Row],[Ngày Xuất]])</f>
        <v>11</v>
      </c>
      <c r="S549" s="56" t="s">
        <v>772</v>
      </c>
    </row>
    <row r="550" spans="1:19" x14ac:dyDescent="0.3">
      <c r="A550" s="34">
        <v>651</v>
      </c>
      <c r="B550" s="3" t="s">
        <v>57</v>
      </c>
      <c r="C550" s="3" t="s">
        <v>58</v>
      </c>
      <c r="D550" s="3" t="s">
        <v>18</v>
      </c>
      <c r="E550" s="4">
        <v>231000</v>
      </c>
      <c r="F550" s="2">
        <v>0</v>
      </c>
      <c r="G550" s="2">
        <v>30</v>
      </c>
      <c r="H550" s="4">
        <v>330000</v>
      </c>
      <c r="I550" s="4">
        <f t="shared" si="16"/>
        <v>330000</v>
      </c>
      <c r="J550" s="5">
        <v>45243</v>
      </c>
      <c r="K550" s="3" t="s">
        <v>207</v>
      </c>
      <c r="L550" s="3" t="str">
        <f>VLOOKUP(DataSales[[#This Row],[Khách hàng]],'RFM Table'!$A:$I,9,FALSE)</f>
        <v>Khách hàng Trung thành</v>
      </c>
      <c r="M550" s="4">
        <f t="shared" si="17"/>
        <v>99000</v>
      </c>
      <c r="N550" s="6">
        <v>0.3</v>
      </c>
      <c r="O550" s="2">
        <v>30</v>
      </c>
      <c r="P550" s="6">
        <v>0</v>
      </c>
      <c r="Q550" s="36">
        <v>2023</v>
      </c>
      <c r="R550" s="56">
        <f>MONTH(DataSales[[#This Row],[Ngày Xuất]])</f>
        <v>11</v>
      </c>
      <c r="S550" s="56" t="s">
        <v>775</v>
      </c>
    </row>
    <row r="551" spans="1:19" x14ac:dyDescent="0.3">
      <c r="A551" s="35">
        <v>653</v>
      </c>
      <c r="B551" s="8" t="s">
        <v>86</v>
      </c>
      <c r="C551" s="8" t="s">
        <v>87</v>
      </c>
      <c r="D551" s="8" t="s">
        <v>22</v>
      </c>
      <c r="E551" s="9">
        <v>190008</v>
      </c>
      <c r="F551" s="7">
        <v>0</v>
      </c>
      <c r="G551" s="7">
        <v>12</v>
      </c>
      <c r="H551" s="9">
        <v>270000</v>
      </c>
      <c r="I551" s="9">
        <f t="shared" si="16"/>
        <v>270000</v>
      </c>
      <c r="J551" s="10">
        <v>45243</v>
      </c>
      <c r="K551" s="8" t="s">
        <v>207</v>
      </c>
      <c r="L551" s="8" t="str">
        <f>VLOOKUP(DataSales[[#This Row],[Khách hàng]],'RFM Table'!$A:$I,9,FALSE)</f>
        <v>Khách hàng Trung thành</v>
      </c>
      <c r="M551" s="9">
        <f t="shared" si="17"/>
        <v>79992</v>
      </c>
      <c r="N551" s="11">
        <v>0.29626666666666668</v>
      </c>
      <c r="O551" s="7">
        <v>12</v>
      </c>
      <c r="P551" s="11">
        <v>0</v>
      </c>
      <c r="Q551" s="37">
        <v>2023</v>
      </c>
      <c r="R551" s="56">
        <f>MONTH(DataSales[[#This Row],[Ngày Xuất]])</f>
        <v>11</v>
      </c>
      <c r="S551" s="56" t="s">
        <v>773</v>
      </c>
    </row>
    <row r="552" spans="1:19" x14ac:dyDescent="0.3">
      <c r="A552" s="34">
        <v>654</v>
      </c>
      <c r="B552" s="3" t="s">
        <v>410</v>
      </c>
      <c r="C552" s="3" t="s">
        <v>411</v>
      </c>
      <c r="D552" s="3" t="s">
        <v>158</v>
      </c>
      <c r="E552" s="4">
        <v>294000</v>
      </c>
      <c r="F552" s="2">
        <v>2</v>
      </c>
      <c r="G552" s="2">
        <v>12</v>
      </c>
      <c r="H552" s="4">
        <v>288000</v>
      </c>
      <c r="I552" s="4">
        <f t="shared" si="16"/>
        <v>288000</v>
      </c>
      <c r="J552" s="5">
        <v>45243</v>
      </c>
      <c r="K552" s="3" t="s">
        <v>64</v>
      </c>
      <c r="L552" s="3" t="str">
        <f>VLOOKUP(DataSales[[#This Row],[Khách hàng]],'RFM Table'!$A:$I,9,FALSE)</f>
        <v>Khách hàng Trung thành</v>
      </c>
      <c r="M552" s="4">
        <f t="shared" si="17"/>
        <v>-6000</v>
      </c>
      <c r="N552" s="6">
        <v>-2.0833333333333329E-2</v>
      </c>
      <c r="O552" s="2">
        <v>14</v>
      </c>
      <c r="P552" s="6">
        <v>0.14285714285714279</v>
      </c>
      <c r="Q552" s="36">
        <v>2023</v>
      </c>
      <c r="R552" s="56">
        <f>MONTH(DataSales[[#This Row],[Ngày Xuất]])</f>
        <v>11</v>
      </c>
      <c r="S552" s="56" t="s">
        <v>779</v>
      </c>
    </row>
    <row r="553" spans="1:19" x14ac:dyDescent="0.3">
      <c r="A553" s="35">
        <v>656</v>
      </c>
      <c r="B553" s="8" t="s">
        <v>553</v>
      </c>
      <c r="C553" s="8" t="s">
        <v>554</v>
      </c>
      <c r="D553" s="8" t="s">
        <v>18</v>
      </c>
      <c r="E553" s="9">
        <v>1575000</v>
      </c>
      <c r="F553" s="7">
        <v>0</v>
      </c>
      <c r="G553" s="7">
        <v>90</v>
      </c>
      <c r="H553" s="9">
        <v>1800000</v>
      </c>
      <c r="I553" s="9">
        <f t="shared" si="16"/>
        <v>1800000</v>
      </c>
      <c r="J553" s="10">
        <v>45243</v>
      </c>
      <c r="K553" s="8" t="s">
        <v>477</v>
      </c>
      <c r="L553" s="8" t="str">
        <f>VLOOKUP(DataSales[[#This Row],[Khách hàng]],'RFM Table'!$A:$I,9,FALSE)</f>
        <v>Khách hàng VIP</v>
      </c>
      <c r="M553" s="9">
        <f t="shared" si="17"/>
        <v>225000</v>
      </c>
      <c r="N553" s="11">
        <v>0.125</v>
      </c>
      <c r="O553" s="7">
        <v>90</v>
      </c>
      <c r="P553" s="11">
        <v>0</v>
      </c>
      <c r="Q553" s="37">
        <v>2023</v>
      </c>
      <c r="R553" s="56">
        <f>MONTH(DataSales[[#This Row],[Ngày Xuất]])</f>
        <v>11</v>
      </c>
      <c r="S553" s="56" t="s">
        <v>775</v>
      </c>
    </row>
    <row r="554" spans="1:19" x14ac:dyDescent="0.3">
      <c r="A554" s="34">
        <v>658</v>
      </c>
      <c r="B554" s="3" t="s">
        <v>86</v>
      </c>
      <c r="C554" s="3" t="s">
        <v>87</v>
      </c>
      <c r="D554" s="3" t="s">
        <v>22</v>
      </c>
      <c r="E554" s="4">
        <v>190008</v>
      </c>
      <c r="F554" s="2">
        <v>0</v>
      </c>
      <c r="G554" s="2">
        <v>12</v>
      </c>
      <c r="H554" s="4">
        <v>264000</v>
      </c>
      <c r="I554" s="4">
        <f t="shared" si="16"/>
        <v>264000</v>
      </c>
      <c r="J554" s="5">
        <v>45243</v>
      </c>
      <c r="K554" s="3" t="s">
        <v>565</v>
      </c>
      <c r="L554" s="3" t="str">
        <f>VLOOKUP(DataSales[[#This Row],[Khách hàng]],'RFM Table'!$A:$I,9,FALSE)</f>
        <v>Khách hàng Mới</v>
      </c>
      <c r="M554" s="4">
        <f t="shared" si="17"/>
        <v>73992</v>
      </c>
      <c r="N554" s="6">
        <v>0.28027272727272728</v>
      </c>
      <c r="O554" s="2">
        <v>12</v>
      </c>
      <c r="P554" s="6">
        <v>0</v>
      </c>
      <c r="Q554" s="36">
        <v>2023</v>
      </c>
      <c r="R554" s="56">
        <f>MONTH(DataSales[[#This Row],[Ngày Xuất]])</f>
        <v>11</v>
      </c>
      <c r="S554" s="56" t="s">
        <v>773</v>
      </c>
    </row>
    <row r="555" spans="1:19" x14ac:dyDescent="0.3">
      <c r="A555" s="35">
        <v>659</v>
      </c>
      <c r="B555" s="8" t="s">
        <v>100</v>
      </c>
      <c r="C555" s="8" t="s">
        <v>101</v>
      </c>
      <c r="D555" s="8" t="s">
        <v>32</v>
      </c>
      <c r="E555" s="9">
        <v>290000</v>
      </c>
      <c r="F555" s="7">
        <v>1</v>
      </c>
      <c r="G555" s="7">
        <v>10</v>
      </c>
      <c r="H555" s="9">
        <v>355000</v>
      </c>
      <c r="I555" s="9">
        <f t="shared" si="16"/>
        <v>355000</v>
      </c>
      <c r="J555" s="10">
        <v>45243</v>
      </c>
      <c r="K555" s="8" t="s">
        <v>566</v>
      </c>
      <c r="L555" s="8" t="str">
        <f>VLOOKUP(DataSales[[#This Row],[Khách hàng]],'RFM Table'!$A:$I,9,FALSE)</f>
        <v>Khách hàng Mới</v>
      </c>
      <c r="M555" s="9">
        <f t="shared" si="17"/>
        <v>65000</v>
      </c>
      <c r="N555" s="11">
        <v>0.18309859154929581</v>
      </c>
      <c r="O555" s="7">
        <v>11</v>
      </c>
      <c r="P555" s="11">
        <v>9.0909090909090912E-2</v>
      </c>
      <c r="Q555" s="37">
        <v>2023</v>
      </c>
      <c r="R555" s="56">
        <f>MONTH(DataSales[[#This Row],[Ngày Xuất]])</f>
        <v>11</v>
      </c>
      <c r="S555" s="56" t="s">
        <v>779</v>
      </c>
    </row>
    <row r="556" spans="1:19" x14ac:dyDescent="0.3">
      <c r="A556" s="34">
        <v>660</v>
      </c>
      <c r="B556" s="3" t="s">
        <v>16</v>
      </c>
      <c r="C556" s="3" t="s">
        <v>17</v>
      </c>
      <c r="D556" s="3" t="s">
        <v>18</v>
      </c>
      <c r="E556" s="4">
        <v>345600</v>
      </c>
      <c r="F556" s="2">
        <v>4</v>
      </c>
      <c r="G556" s="2">
        <v>48</v>
      </c>
      <c r="H556" s="4">
        <v>536000</v>
      </c>
      <c r="I556" s="4">
        <f t="shared" si="16"/>
        <v>536000</v>
      </c>
      <c r="J556" s="5">
        <v>45244</v>
      </c>
      <c r="K556" s="3" t="s">
        <v>42</v>
      </c>
      <c r="L556" s="3" t="str">
        <f>VLOOKUP(DataSales[[#This Row],[Khách hàng]],'RFM Table'!$A:$I,9,FALSE)</f>
        <v>Khách hàng Trung thành</v>
      </c>
      <c r="M556" s="4">
        <f t="shared" si="17"/>
        <v>190400</v>
      </c>
      <c r="N556" s="6">
        <v>0.35522388059701487</v>
      </c>
      <c r="O556" s="2">
        <v>52</v>
      </c>
      <c r="P556" s="6">
        <v>7.6923076923076927E-2</v>
      </c>
      <c r="Q556" s="36">
        <v>2023</v>
      </c>
      <c r="R556" s="56">
        <f>MONTH(DataSales[[#This Row],[Ngày Xuất]])</f>
        <v>11</v>
      </c>
      <c r="S556" s="56" t="s">
        <v>772</v>
      </c>
    </row>
    <row r="557" spans="1:19" x14ac:dyDescent="0.3">
      <c r="A557" s="35">
        <v>661</v>
      </c>
      <c r="B557" s="8" t="s">
        <v>16</v>
      </c>
      <c r="C557" s="8" t="s">
        <v>17</v>
      </c>
      <c r="D557" s="8" t="s">
        <v>18</v>
      </c>
      <c r="E557" s="9">
        <v>691200</v>
      </c>
      <c r="F557" s="7">
        <v>0</v>
      </c>
      <c r="G557" s="7">
        <v>96</v>
      </c>
      <c r="H557" s="9">
        <v>1017600</v>
      </c>
      <c r="I557" s="9">
        <f t="shared" si="16"/>
        <v>1017600</v>
      </c>
      <c r="J557" s="10">
        <v>45244</v>
      </c>
      <c r="K557" s="8" t="s">
        <v>372</v>
      </c>
      <c r="L557" s="8" t="str">
        <f>VLOOKUP(DataSales[[#This Row],[Khách hàng]],'RFM Table'!$A:$I,9,FALSE)</f>
        <v>Khách hàng Trung thành</v>
      </c>
      <c r="M557" s="9">
        <f t="shared" si="17"/>
        <v>326400</v>
      </c>
      <c r="N557" s="11">
        <v>0.32075471698113212</v>
      </c>
      <c r="O557" s="7">
        <v>96</v>
      </c>
      <c r="P557" s="11">
        <v>0</v>
      </c>
      <c r="Q557" s="37">
        <v>2023</v>
      </c>
      <c r="R557" s="56">
        <f>MONTH(DataSales[[#This Row],[Ngày Xuất]])</f>
        <v>11</v>
      </c>
      <c r="S557" s="56" t="s">
        <v>772</v>
      </c>
    </row>
    <row r="558" spans="1:19" x14ac:dyDescent="0.3">
      <c r="A558" s="34">
        <v>663</v>
      </c>
      <c r="B558" s="3" t="s">
        <v>119</v>
      </c>
      <c r="C558" s="3" t="s">
        <v>120</v>
      </c>
      <c r="D558" s="3" t="s">
        <v>47</v>
      </c>
      <c r="E558" s="4">
        <v>600000</v>
      </c>
      <c r="F558" s="2">
        <v>6</v>
      </c>
      <c r="G558" s="2">
        <v>6</v>
      </c>
      <c r="H558" s="4">
        <v>654000</v>
      </c>
      <c r="I558" s="4">
        <f t="shared" si="16"/>
        <v>654000</v>
      </c>
      <c r="J558" s="5">
        <v>45244</v>
      </c>
      <c r="K558" s="3" t="s">
        <v>567</v>
      </c>
      <c r="L558" s="3" t="str">
        <f>VLOOKUP(DataSales[[#This Row],[Khách hàng]],'RFM Table'!$A:$I,9,FALSE)</f>
        <v>Khách hàng Mới</v>
      </c>
      <c r="M558" s="4">
        <f t="shared" si="17"/>
        <v>54000</v>
      </c>
      <c r="N558" s="6">
        <v>8.2568807339449546E-2</v>
      </c>
      <c r="O558" s="2">
        <v>12</v>
      </c>
      <c r="P558" s="6">
        <v>0.5</v>
      </c>
      <c r="Q558" s="36">
        <v>2023</v>
      </c>
      <c r="R558" s="56">
        <f>MONTH(DataSales[[#This Row],[Ngày Xuất]])</f>
        <v>11</v>
      </c>
      <c r="S558" s="56" t="s">
        <v>779</v>
      </c>
    </row>
    <row r="559" spans="1:19" x14ac:dyDescent="0.3">
      <c r="A559" s="35">
        <v>664</v>
      </c>
      <c r="B559" s="8" t="s">
        <v>126</v>
      </c>
      <c r="C559" s="8" t="s">
        <v>127</v>
      </c>
      <c r="D559" s="8" t="s">
        <v>18</v>
      </c>
      <c r="E559" s="9">
        <v>270000</v>
      </c>
      <c r="F559" s="7">
        <v>0</v>
      </c>
      <c r="G559" s="7">
        <v>40</v>
      </c>
      <c r="H559" s="9">
        <v>320000</v>
      </c>
      <c r="I559" s="9">
        <f t="shared" si="16"/>
        <v>320000</v>
      </c>
      <c r="J559" s="10">
        <v>45244</v>
      </c>
      <c r="K559" s="8" t="s">
        <v>567</v>
      </c>
      <c r="L559" s="8" t="str">
        <f>VLOOKUP(DataSales[[#This Row],[Khách hàng]],'RFM Table'!$A:$I,9,FALSE)</f>
        <v>Khách hàng Mới</v>
      </c>
      <c r="M559" s="9">
        <f t="shared" si="17"/>
        <v>50000</v>
      </c>
      <c r="N559" s="11">
        <v>0.15625</v>
      </c>
      <c r="O559" s="7">
        <v>40</v>
      </c>
      <c r="P559" s="11">
        <v>0</v>
      </c>
      <c r="Q559" s="37">
        <v>2023</v>
      </c>
      <c r="R559" s="56">
        <f>MONTH(DataSales[[#This Row],[Ngày Xuất]])</f>
        <v>11</v>
      </c>
      <c r="S559" s="56" t="s">
        <v>772</v>
      </c>
    </row>
    <row r="560" spans="1:19" x14ac:dyDescent="0.3">
      <c r="A560" s="34">
        <v>667</v>
      </c>
      <c r="B560" s="3" t="s">
        <v>568</v>
      </c>
      <c r="C560" s="3" t="s">
        <v>569</v>
      </c>
      <c r="D560" s="3" t="s">
        <v>32</v>
      </c>
      <c r="E560" s="4">
        <v>672000</v>
      </c>
      <c r="F560" s="2">
        <v>2</v>
      </c>
      <c r="G560" s="2">
        <v>12</v>
      </c>
      <c r="H560" s="4">
        <v>441600</v>
      </c>
      <c r="I560" s="4">
        <f t="shared" si="16"/>
        <v>441600</v>
      </c>
      <c r="J560" s="5">
        <v>45246</v>
      </c>
      <c r="K560" s="3" t="s">
        <v>251</v>
      </c>
      <c r="L560" s="3" t="str">
        <f>VLOOKUP(DataSales[[#This Row],[Khách hàng]],'RFM Table'!$A:$I,9,FALSE)</f>
        <v>Khách hàng VIP</v>
      </c>
      <c r="M560" s="4">
        <f t="shared" si="17"/>
        <v>-230400</v>
      </c>
      <c r="N560" s="6">
        <v>-0.52173913043478259</v>
      </c>
      <c r="O560" s="2">
        <v>14</v>
      </c>
      <c r="P560" s="6">
        <v>0.14285714285714279</v>
      </c>
      <c r="Q560" s="36">
        <v>2023</v>
      </c>
      <c r="R560" s="56">
        <f>MONTH(DataSales[[#This Row],[Ngày Xuất]])</f>
        <v>11</v>
      </c>
      <c r="S560" s="56" t="s">
        <v>774</v>
      </c>
    </row>
    <row r="561" spans="1:19" x14ac:dyDescent="0.3">
      <c r="A561" s="35">
        <v>668</v>
      </c>
      <c r="B561" s="8" t="s">
        <v>570</v>
      </c>
      <c r="C561" s="8" t="s">
        <v>571</v>
      </c>
      <c r="D561" s="8" t="s">
        <v>32</v>
      </c>
      <c r="E561" s="9">
        <v>330000</v>
      </c>
      <c r="F561" s="7">
        <v>1</v>
      </c>
      <c r="G561" s="7">
        <v>6</v>
      </c>
      <c r="H561" s="9">
        <v>217000</v>
      </c>
      <c r="I561" s="9">
        <f t="shared" si="16"/>
        <v>217000</v>
      </c>
      <c r="J561" s="10">
        <v>45246</v>
      </c>
      <c r="K561" s="8" t="s">
        <v>251</v>
      </c>
      <c r="L561" s="8" t="str">
        <f>VLOOKUP(DataSales[[#This Row],[Khách hàng]],'RFM Table'!$A:$I,9,FALSE)</f>
        <v>Khách hàng VIP</v>
      </c>
      <c r="M561" s="9">
        <f t="shared" si="17"/>
        <v>-113000</v>
      </c>
      <c r="N561" s="11">
        <v>-0.52073732718894006</v>
      </c>
      <c r="O561" s="7">
        <v>7</v>
      </c>
      <c r="P561" s="11">
        <v>0.14285714285714279</v>
      </c>
      <c r="Q561" s="37">
        <v>2023</v>
      </c>
      <c r="R561" s="56">
        <f>MONTH(DataSales[[#This Row],[Ngày Xuất]])</f>
        <v>11</v>
      </c>
      <c r="S561" s="56" t="s">
        <v>774</v>
      </c>
    </row>
    <row r="562" spans="1:19" x14ac:dyDescent="0.3">
      <c r="A562" s="34">
        <v>669</v>
      </c>
      <c r="B562" s="3" t="s">
        <v>421</v>
      </c>
      <c r="C562" s="3" t="s">
        <v>422</v>
      </c>
      <c r="D562" s="3" t="s">
        <v>18</v>
      </c>
      <c r="E562" s="4">
        <v>122000</v>
      </c>
      <c r="F562" s="2">
        <v>0</v>
      </c>
      <c r="G562" s="2">
        <v>10</v>
      </c>
      <c r="H562" s="4">
        <v>140000</v>
      </c>
      <c r="I562" s="4">
        <f t="shared" si="16"/>
        <v>140000</v>
      </c>
      <c r="J562" s="5">
        <v>45247</v>
      </c>
      <c r="K562" s="3" t="s">
        <v>541</v>
      </c>
      <c r="L562" s="3" t="str">
        <f>VLOOKUP(DataSales[[#This Row],[Khách hàng]],'RFM Table'!$A:$I,9,FALSE)</f>
        <v>Khách hàng Trung thành</v>
      </c>
      <c r="M562" s="4">
        <f t="shared" si="17"/>
        <v>18000</v>
      </c>
      <c r="N562" s="6">
        <v>0.12857142857142859</v>
      </c>
      <c r="O562" s="2">
        <v>10</v>
      </c>
      <c r="P562" s="6">
        <v>0</v>
      </c>
      <c r="Q562" s="36">
        <v>2023</v>
      </c>
      <c r="R562" s="56">
        <f>MONTH(DataSales[[#This Row],[Ngày Xuất]])</f>
        <v>11</v>
      </c>
      <c r="S562" s="56" t="s">
        <v>776</v>
      </c>
    </row>
    <row r="563" spans="1:19" x14ac:dyDescent="0.3">
      <c r="A563" s="35">
        <v>670</v>
      </c>
      <c r="B563" s="8" t="s">
        <v>57</v>
      </c>
      <c r="C563" s="8" t="s">
        <v>58</v>
      </c>
      <c r="D563" s="8" t="s">
        <v>18</v>
      </c>
      <c r="E563" s="9">
        <v>77000</v>
      </c>
      <c r="F563" s="7">
        <v>0</v>
      </c>
      <c r="G563" s="7">
        <v>10</v>
      </c>
      <c r="H563" s="9">
        <v>100000</v>
      </c>
      <c r="I563" s="9">
        <f t="shared" si="16"/>
        <v>100000</v>
      </c>
      <c r="J563" s="10">
        <v>45247</v>
      </c>
      <c r="K563" s="8" t="s">
        <v>541</v>
      </c>
      <c r="L563" s="8" t="str">
        <f>VLOOKUP(DataSales[[#This Row],[Khách hàng]],'RFM Table'!$A:$I,9,FALSE)</f>
        <v>Khách hàng Trung thành</v>
      </c>
      <c r="M563" s="9">
        <f t="shared" si="17"/>
        <v>23000</v>
      </c>
      <c r="N563" s="11">
        <v>0.23</v>
      </c>
      <c r="O563" s="7">
        <v>10</v>
      </c>
      <c r="P563" s="11">
        <v>0</v>
      </c>
      <c r="Q563" s="37">
        <v>2023</v>
      </c>
      <c r="R563" s="56">
        <f>MONTH(DataSales[[#This Row],[Ngày Xuất]])</f>
        <v>11</v>
      </c>
      <c r="S563" s="56" t="s">
        <v>775</v>
      </c>
    </row>
    <row r="564" spans="1:19" x14ac:dyDescent="0.3">
      <c r="A564" s="34">
        <v>671</v>
      </c>
      <c r="B564" s="3" t="s">
        <v>572</v>
      </c>
      <c r="C564" s="3" t="s">
        <v>573</v>
      </c>
      <c r="D564" s="3" t="s">
        <v>18</v>
      </c>
      <c r="E564" s="4">
        <v>504000</v>
      </c>
      <c r="F564" s="2">
        <v>0</v>
      </c>
      <c r="G564" s="2">
        <v>24</v>
      </c>
      <c r="H564" s="4">
        <v>480000</v>
      </c>
      <c r="I564" s="4">
        <f t="shared" si="16"/>
        <v>480000</v>
      </c>
      <c r="J564" s="5">
        <v>45247</v>
      </c>
      <c r="K564" s="3" t="s">
        <v>518</v>
      </c>
      <c r="L564" s="3" t="str">
        <f>VLOOKUP(DataSales[[#This Row],[Khách hàng]],'RFM Table'!$A:$I,9,FALSE)</f>
        <v>Khách hàng Trung thành</v>
      </c>
      <c r="M564" s="4">
        <f t="shared" si="17"/>
        <v>-24000</v>
      </c>
      <c r="N564" s="6">
        <v>-0.05</v>
      </c>
      <c r="O564" s="2">
        <v>24</v>
      </c>
      <c r="P564" s="6">
        <v>0</v>
      </c>
      <c r="Q564" s="36">
        <v>2023</v>
      </c>
      <c r="R564" s="56">
        <f>MONTH(DataSales[[#This Row],[Ngày Xuất]])</f>
        <v>11</v>
      </c>
      <c r="S564" s="56" t="s">
        <v>775</v>
      </c>
    </row>
    <row r="565" spans="1:19" x14ac:dyDescent="0.3">
      <c r="A565" s="35">
        <v>672</v>
      </c>
      <c r="B565" s="8" t="s">
        <v>359</v>
      </c>
      <c r="C565" s="8" t="s">
        <v>360</v>
      </c>
      <c r="D565" s="8" t="s">
        <v>18</v>
      </c>
      <c r="E565" s="9">
        <v>240000</v>
      </c>
      <c r="F565" s="7">
        <v>1</v>
      </c>
      <c r="G565" s="7">
        <v>5</v>
      </c>
      <c r="H565" s="9">
        <v>217000</v>
      </c>
      <c r="I565" s="9">
        <f t="shared" si="16"/>
        <v>217000</v>
      </c>
      <c r="J565" s="10">
        <v>45248</v>
      </c>
      <c r="K565" s="8" t="s">
        <v>321</v>
      </c>
      <c r="L565" s="8" t="str">
        <f>VLOOKUP(DataSales[[#This Row],[Khách hàng]],'RFM Table'!$A:$I,9,FALSE)</f>
        <v>Khách hàng Trung thành</v>
      </c>
      <c r="M565" s="9">
        <f t="shared" si="17"/>
        <v>-23000</v>
      </c>
      <c r="N565" s="11">
        <v>-0.10599078341013821</v>
      </c>
      <c r="O565" s="7">
        <v>6</v>
      </c>
      <c r="P565" s="11">
        <v>0.16666666666666671</v>
      </c>
      <c r="Q565" s="37">
        <v>2023</v>
      </c>
      <c r="R565" s="56">
        <f>MONTH(DataSales[[#This Row],[Ngày Xuất]])</f>
        <v>11</v>
      </c>
      <c r="S565" s="56" t="s">
        <v>772</v>
      </c>
    </row>
    <row r="566" spans="1:19" x14ac:dyDescent="0.3">
      <c r="A566" s="34">
        <v>673</v>
      </c>
      <c r="B566" s="3" t="s">
        <v>415</v>
      </c>
      <c r="C566" s="3" t="s">
        <v>416</v>
      </c>
      <c r="D566" s="3" t="s">
        <v>18</v>
      </c>
      <c r="E566" s="4">
        <v>122000</v>
      </c>
      <c r="F566" s="2">
        <v>0</v>
      </c>
      <c r="G566" s="2">
        <v>10</v>
      </c>
      <c r="H566" s="4">
        <v>130000</v>
      </c>
      <c r="I566" s="4">
        <f t="shared" si="16"/>
        <v>130000</v>
      </c>
      <c r="J566" s="5">
        <v>45248</v>
      </c>
      <c r="K566" s="3" t="s">
        <v>321</v>
      </c>
      <c r="L566" s="3" t="str">
        <f>VLOOKUP(DataSales[[#This Row],[Khách hàng]],'RFM Table'!$A:$I,9,FALSE)</f>
        <v>Khách hàng Trung thành</v>
      </c>
      <c r="M566" s="4">
        <f t="shared" si="17"/>
        <v>8000</v>
      </c>
      <c r="N566" s="6">
        <v>6.1538461538461542E-2</v>
      </c>
      <c r="O566" s="2">
        <v>10</v>
      </c>
      <c r="P566" s="6">
        <v>0</v>
      </c>
      <c r="Q566" s="36">
        <v>2023</v>
      </c>
      <c r="R566" s="56">
        <f>MONTH(DataSales[[#This Row],[Ngày Xuất]])</f>
        <v>11</v>
      </c>
      <c r="S566" s="56" t="s">
        <v>776</v>
      </c>
    </row>
    <row r="567" spans="1:19" x14ac:dyDescent="0.3">
      <c r="A567" s="35">
        <v>674</v>
      </c>
      <c r="B567" s="8" t="s">
        <v>195</v>
      </c>
      <c r="C567" s="8" t="s">
        <v>196</v>
      </c>
      <c r="D567" s="8" t="s">
        <v>92</v>
      </c>
      <c r="E567" s="9">
        <v>126000</v>
      </c>
      <c r="F567" s="7">
        <v>0</v>
      </c>
      <c r="G567" s="7">
        <v>24</v>
      </c>
      <c r="H567" s="9">
        <v>144000</v>
      </c>
      <c r="I567" s="9">
        <f t="shared" si="16"/>
        <v>144000</v>
      </c>
      <c r="J567" s="10">
        <v>45248</v>
      </c>
      <c r="K567" s="8" t="s">
        <v>321</v>
      </c>
      <c r="L567" s="8" t="str">
        <f>VLOOKUP(DataSales[[#This Row],[Khách hàng]],'RFM Table'!$A:$I,9,FALSE)</f>
        <v>Khách hàng Trung thành</v>
      </c>
      <c r="M567" s="9">
        <f t="shared" si="17"/>
        <v>18000</v>
      </c>
      <c r="N567" s="11">
        <v>0.125</v>
      </c>
      <c r="O567" s="7">
        <v>24</v>
      </c>
      <c r="P567" s="11">
        <v>0</v>
      </c>
      <c r="Q567" s="37">
        <v>2023</v>
      </c>
      <c r="R567" s="56">
        <f>MONTH(DataSales[[#This Row],[Ngày Xuất]])</f>
        <v>11</v>
      </c>
      <c r="S567" s="56" t="s">
        <v>777</v>
      </c>
    </row>
    <row r="568" spans="1:19" x14ac:dyDescent="0.3">
      <c r="A568" s="34">
        <v>675</v>
      </c>
      <c r="B568" s="3" t="s">
        <v>324</v>
      </c>
      <c r="C568" s="3" t="s">
        <v>325</v>
      </c>
      <c r="D568" s="3" t="s">
        <v>326</v>
      </c>
      <c r="E568" s="4">
        <v>57000</v>
      </c>
      <c r="F568" s="2">
        <v>0</v>
      </c>
      <c r="G568" s="2">
        <v>1</v>
      </c>
      <c r="H568" s="4">
        <v>70000</v>
      </c>
      <c r="I568" s="4">
        <f t="shared" si="16"/>
        <v>70000</v>
      </c>
      <c r="J568" s="5">
        <v>45248</v>
      </c>
      <c r="K568" s="3" t="s">
        <v>194</v>
      </c>
      <c r="L568" s="3" t="str">
        <f>VLOOKUP(DataSales[[#This Row],[Khách hàng]],'RFM Table'!$A:$I,9,FALSE)</f>
        <v>Khách hàng Trung thành</v>
      </c>
      <c r="M568" s="4">
        <f t="shared" si="17"/>
        <v>13000</v>
      </c>
      <c r="N568" s="6">
        <v>0.18571428571428569</v>
      </c>
      <c r="O568" s="2">
        <v>1</v>
      </c>
      <c r="P568" s="6">
        <v>0</v>
      </c>
      <c r="Q568" s="36">
        <v>2023</v>
      </c>
      <c r="R568" s="56">
        <f>MONTH(DataSales[[#This Row],[Ngày Xuất]])</f>
        <v>11</v>
      </c>
      <c r="S568" s="56" t="s">
        <v>779</v>
      </c>
    </row>
    <row r="569" spans="1:19" x14ac:dyDescent="0.3">
      <c r="A569" s="35">
        <v>676</v>
      </c>
      <c r="B569" s="8" t="s">
        <v>574</v>
      </c>
      <c r="C569" s="8" t="s">
        <v>575</v>
      </c>
      <c r="D569" s="8" t="s">
        <v>18</v>
      </c>
      <c r="E569" s="9">
        <v>31328</v>
      </c>
      <c r="F569" s="7">
        <v>0</v>
      </c>
      <c r="G569" s="7">
        <v>1</v>
      </c>
      <c r="H569" s="9">
        <v>37000</v>
      </c>
      <c r="I569" s="9">
        <f t="shared" si="16"/>
        <v>37000</v>
      </c>
      <c r="J569" s="10">
        <v>45248</v>
      </c>
      <c r="K569" s="8" t="s">
        <v>194</v>
      </c>
      <c r="L569" s="8" t="str">
        <f>VLOOKUP(DataSales[[#This Row],[Khách hàng]],'RFM Table'!$A:$I,9,FALSE)</f>
        <v>Khách hàng Trung thành</v>
      </c>
      <c r="M569" s="9">
        <f t="shared" si="17"/>
        <v>5672</v>
      </c>
      <c r="N569" s="11">
        <v>0.1532972972972973</v>
      </c>
      <c r="O569" s="7">
        <v>1</v>
      </c>
      <c r="P569" s="11">
        <v>0</v>
      </c>
      <c r="Q569" s="37">
        <v>2023</v>
      </c>
      <c r="R569" s="56">
        <f>MONTH(DataSales[[#This Row],[Ngày Xuất]])</f>
        <v>11</v>
      </c>
      <c r="S569" s="56" t="s">
        <v>780</v>
      </c>
    </row>
    <row r="570" spans="1:19" x14ac:dyDescent="0.3">
      <c r="A570" s="34">
        <v>677</v>
      </c>
      <c r="B570" s="3" t="s">
        <v>576</v>
      </c>
      <c r="C570" s="3" t="s">
        <v>577</v>
      </c>
      <c r="D570" s="3" t="s">
        <v>18</v>
      </c>
      <c r="E570" s="4">
        <v>27720</v>
      </c>
      <c r="F570" s="2">
        <v>0</v>
      </c>
      <c r="G570" s="2">
        <v>1</v>
      </c>
      <c r="H570" s="4">
        <v>32000</v>
      </c>
      <c r="I570" s="4">
        <f t="shared" si="16"/>
        <v>32000</v>
      </c>
      <c r="J570" s="5">
        <v>45248</v>
      </c>
      <c r="K570" s="3" t="s">
        <v>194</v>
      </c>
      <c r="L570" s="3" t="str">
        <f>VLOOKUP(DataSales[[#This Row],[Khách hàng]],'RFM Table'!$A:$I,9,FALSE)</f>
        <v>Khách hàng Trung thành</v>
      </c>
      <c r="M570" s="4">
        <f t="shared" si="17"/>
        <v>4280</v>
      </c>
      <c r="N570" s="6">
        <v>0.13375000000000001</v>
      </c>
      <c r="O570" s="2">
        <v>1</v>
      </c>
      <c r="P570" s="6">
        <v>0</v>
      </c>
      <c r="Q570" s="36">
        <v>2023</v>
      </c>
      <c r="R570" s="56">
        <f>MONTH(DataSales[[#This Row],[Ngày Xuất]])</f>
        <v>11</v>
      </c>
      <c r="S570" s="56" t="s">
        <v>780</v>
      </c>
    </row>
    <row r="571" spans="1:19" x14ac:dyDescent="0.3">
      <c r="A571" s="35">
        <v>678</v>
      </c>
      <c r="B571" s="8" t="s">
        <v>578</v>
      </c>
      <c r="C571" s="8" t="s">
        <v>579</v>
      </c>
      <c r="D571" s="8" t="s">
        <v>18</v>
      </c>
      <c r="E571" s="9">
        <v>75328</v>
      </c>
      <c r="F571" s="7">
        <v>0</v>
      </c>
      <c r="G571" s="7">
        <v>4</v>
      </c>
      <c r="H571" s="9">
        <v>90000</v>
      </c>
      <c r="I571" s="9">
        <f t="shared" si="16"/>
        <v>90000</v>
      </c>
      <c r="J571" s="10">
        <v>45248</v>
      </c>
      <c r="K571" s="8" t="s">
        <v>194</v>
      </c>
      <c r="L571" s="8" t="str">
        <f>VLOOKUP(DataSales[[#This Row],[Khách hàng]],'RFM Table'!$A:$I,9,FALSE)</f>
        <v>Khách hàng Trung thành</v>
      </c>
      <c r="M571" s="9">
        <f t="shared" si="17"/>
        <v>14672</v>
      </c>
      <c r="N571" s="11">
        <v>0.16302222222222221</v>
      </c>
      <c r="O571" s="7">
        <v>4</v>
      </c>
      <c r="P571" s="11">
        <v>0</v>
      </c>
      <c r="Q571" s="37">
        <v>2023</v>
      </c>
      <c r="R571" s="56">
        <f>MONTH(DataSales[[#This Row],[Ngày Xuất]])</f>
        <v>11</v>
      </c>
      <c r="S571" s="56" t="s">
        <v>776</v>
      </c>
    </row>
    <row r="572" spans="1:19" x14ac:dyDescent="0.3">
      <c r="A572" s="34">
        <v>679</v>
      </c>
      <c r="B572" s="3" t="s">
        <v>124</v>
      </c>
      <c r="C572" s="3" t="s">
        <v>125</v>
      </c>
      <c r="D572" s="3" t="s">
        <v>18</v>
      </c>
      <c r="E572" s="4">
        <v>40000</v>
      </c>
      <c r="F572" s="2">
        <v>0</v>
      </c>
      <c r="G572" s="2">
        <v>10</v>
      </c>
      <c r="H572" s="4">
        <v>60000</v>
      </c>
      <c r="I572" s="4">
        <f t="shared" si="16"/>
        <v>60000</v>
      </c>
      <c r="J572" s="5">
        <v>45248</v>
      </c>
      <c r="K572" s="3" t="s">
        <v>194</v>
      </c>
      <c r="L572" s="3" t="str">
        <f>VLOOKUP(DataSales[[#This Row],[Khách hàng]],'RFM Table'!$A:$I,9,FALSE)</f>
        <v>Khách hàng Trung thành</v>
      </c>
      <c r="M572" s="4">
        <f t="shared" si="17"/>
        <v>20000</v>
      </c>
      <c r="N572" s="6">
        <v>0.33333333333333331</v>
      </c>
      <c r="O572" s="2">
        <v>10</v>
      </c>
      <c r="P572" s="6">
        <v>0</v>
      </c>
      <c r="Q572" s="36">
        <v>2023</v>
      </c>
      <c r="R572" s="56">
        <f>MONTH(DataSales[[#This Row],[Ngày Xuất]])</f>
        <v>11</v>
      </c>
      <c r="S572" s="56" t="s">
        <v>775</v>
      </c>
    </row>
    <row r="573" spans="1:19" x14ac:dyDescent="0.3">
      <c r="A573" s="35">
        <v>680</v>
      </c>
      <c r="B573" s="8" t="s">
        <v>45</v>
      </c>
      <c r="C573" s="8" t="s">
        <v>46</v>
      </c>
      <c r="D573" s="8" t="s">
        <v>47</v>
      </c>
      <c r="E573" s="9">
        <v>301890</v>
      </c>
      <c r="F573" s="7">
        <v>1</v>
      </c>
      <c r="G573" s="7">
        <v>5</v>
      </c>
      <c r="H573" s="9">
        <v>275000</v>
      </c>
      <c r="I573" s="9">
        <f t="shared" si="16"/>
        <v>275000</v>
      </c>
      <c r="J573" s="10">
        <v>45248</v>
      </c>
      <c r="K573" s="8" t="s">
        <v>93</v>
      </c>
      <c r="L573" s="8" t="str">
        <f>VLOOKUP(DataSales[[#This Row],[Khách hàng]],'RFM Table'!$A:$I,9,FALSE)</f>
        <v>Khách hàng Trung thành</v>
      </c>
      <c r="M573" s="9">
        <f t="shared" si="17"/>
        <v>-26890</v>
      </c>
      <c r="N573" s="11">
        <v>-9.7781818181818178E-2</v>
      </c>
      <c r="O573" s="7">
        <v>6</v>
      </c>
      <c r="P573" s="11">
        <v>0.16666666666666671</v>
      </c>
      <c r="Q573" s="37">
        <v>2023</v>
      </c>
      <c r="R573" s="56">
        <f>MONTH(DataSales[[#This Row],[Ngày Xuất]])</f>
        <v>11</v>
      </c>
      <c r="S573" s="56" t="s">
        <v>776</v>
      </c>
    </row>
    <row r="574" spans="1:19" x14ac:dyDescent="0.3">
      <c r="A574" s="34">
        <v>681</v>
      </c>
      <c r="B574" s="3" t="s">
        <v>62</v>
      </c>
      <c r="C574" s="3" t="s">
        <v>63</v>
      </c>
      <c r="D574" s="3" t="s">
        <v>18</v>
      </c>
      <c r="E574" s="4">
        <v>285000</v>
      </c>
      <c r="F574" s="2">
        <v>0</v>
      </c>
      <c r="G574" s="2">
        <v>30</v>
      </c>
      <c r="H574" s="4">
        <v>420000</v>
      </c>
      <c r="I574" s="4">
        <f t="shared" si="16"/>
        <v>420000</v>
      </c>
      <c r="J574" s="5">
        <v>45248</v>
      </c>
      <c r="K574" s="3" t="s">
        <v>93</v>
      </c>
      <c r="L574" s="3" t="str">
        <f>VLOOKUP(DataSales[[#This Row],[Khách hàng]],'RFM Table'!$A:$I,9,FALSE)</f>
        <v>Khách hàng Trung thành</v>
      </c>
      <c r="M574" s="4">
        <f t="shared" si="17"/>
        <v>135000</v>
      </c>
      <c r="N574" s="6">
        <v>0.32142857142857151</v>
      </c>
      <c r="O574" s="2">
        <v>30</v>
      </c>
      <c r="P574" s="6">
        <v>0</v>
      </c>
      <c r="Q574" s="36">
        <v>2023</v>
      </c>
      <c r="R574" s="56">
        <f>MONTH(DataSales[[#This Row],[Ngày Xuất]])</f>
        <v>11</v>
      </c>
      <c r="S574" s="56" t="s">
        <v>775</v>
      </c>
    </row>
    <row r="575" spans="1:19" x14ac:dyDescent="0.3">
      <c r="A575" s="35">
        <v>682</v>
      </c>
      <c r="B575" s="8" t="s">
        <v>433</v>
      </c>
      <c r="C575" s="8" t="s">
        <v>434</v>
      </c>
      <c r="D575" s="8" t="s">
        <v>18</v>
      </c>
      <c r="E575" s="9">
        <v>25000</v>
      </c>
      <c r="F575" s="7">
        <v>0</v>
      </c>
      <c r="G575" s="7">
        <v>10</v>
      </c>
      <c r="H575" s="9">
        <v>40000</v>
      </c>
      <c r="I575" s="9">
        <f t="shared" si="16"/>
        <v>40000</v>
      </c>
      <c r="J575" s="10">
        <v>45248</v>
      </c>
      <c r="K575" s="8" t="s">
        <v>93</v>
      </c>
      <c r="L575" s="8" t="str">
        <f>VLOOKUP(DataSales[[#This Row],[Khách hàng]],'RFM Table'!$A:$I,9,FALSE)</f>
        <v>Khách hàng Trung thành</v>
      </c>
      <c r="M575" s="9">
        <f t="shared" si="17"/>
        <v>15000</v>
      </c>
      <c r="N575" s="11">
        <v>0.375</v>
      </c>
      <c r="O575" s="7">
        <v>10</v>
      </c>
      <c r="P575" s="11">
        <v>0</v>
      </c>
      <c r="Q575" s="37">
        <v>2023</v>
      </c>
      <c r="R575" s="56">
        <f>MONTH(DataSales[[#This Row],[Ngày Xuất]])</f>
        <v>11</v>
      </c>
      <c r="S575" s="56" t="s">
        <v>775</v>
      </c>
    </row>
    <row r="576" spans="1:19" x14ac:dyDescent="0.3">
      <c r="A576" s="34">
        <v>683</v>
      </c>
      <c r="B576" s="3" t="s">
        <v>314</v>
      </c>
      <c r="C576" s="3" t="s">
        <v>315</v>
      </c>
      <c r="D576" s="3" t="s">
        <v>47</v>
      </c>
      <c r="E576" s="4">
        <v>299250</v>
      </c>
      <c r="F576" s="2">
        <v>3</v>
      </c>
      <c r="G576" s="2">
        <v>18</v>
      </c>
      <c r="H576" s="4">
        <v>370300</v>
      </c>
      <c r="I576" s="4">
        <f t="shared" si="16"/>
        <v>370300</v>
      </c>
      <c r="J576" s="5">
        <v>45248</v>
      </c>
      <c r="K576" s="3" t="s">
        <v>93</v>
      </c>
      <c r="L576" s="3" t="str">
        <f>VLOOKUP(DataSales[[#This Row],[Khách hàng]],'RFM Table'!$A:$I,9,FALSE)</f>
        <v>Khách hàng Trung thành</v>
      </c>
      <c r="M576" s="4">
        <f t="shared" si="17"/>
        <v>71050</v>
      </c>
      <c r="N576" s="6">
        <v>0.19187145557655949</v>
      </c>
      <c r="O576" s="2">
        <v>21</v>
      </c>
      <c r="P576" s="6">
        <v>0.14285714285714279</v>
      </c>
      <c r="Q576" s="36">
        <v>2023</v>
      </c>
      <c r="R576" s="56">
        <f>MONTH(DataSales[[#This Row],[Ngày Xuất]])</f>
        <v>11</v>
      </c>
      <c r="S576" s="56" t="s">
        <v>777</v>
      </c>
    </row>
    <row r="577" spans="1:19" x14ac:dyDescent="0.3">
      <c r="A577" s="35">
        <v>684</v>
      </c>
      <c r="B577" s="8" t="s">
        <v>195</v>
      </c>
      <c r="C577" s="8" t="s">
        <v>196</v>
      </c>
      <c r="D577" s="8" t="s">
        <v>92</v>
      </c>
      <c r="E577" s="9">
        <v>378000</v>
      </c>
      <c r="F577" s="7">
        <v>12</v>
      </c>
      <c r="G577" s="7">
        <v>72</v>
      </c>
      <c r="H577" s="9">
        <v>432000</v>
      </c>
      <c r="I577" s="9">
        <f t="shared" si="16"/>
        <v>432000</v>
      </c>
      <c r="J577" s="10">
        <v>45248</v>
      </c>
      <c r="K577" s="8" t="s">
        <v>93</v>
      </c>
      <c r="L577" s="8" t="str">
        <f>VLOOKUP(DataSales[[#This Row],[Khách hàng]],'RFM Table'!$A:$I,9,FALSE)</f>
        <v>Khách hàng Trung thành</v>
      </c>
      <c r="M577" s="9">
        <f t="shared" si="17"/>
        <v>54000</v>
      </c>
      <c r="N577" s="11">
        <v>0.125</v>
      </c>
      <c r="O577" s="7">
        <v>84</v>
      </c>
      <c r="P577" s="11">
        <v>0.14285714285714279</v>
      </c>
      <c r="Q577" s="37">
        <v>2023</v>
      </c>
      <c r="R577" s="56">
        <f>MONTH(DataSales[[#This Row],[Ngày Xuất]])</f>
        <v>11</v>
      </c>
      <c r="S577" s="56" t="s">
        <v>777</v>
      </c>
    </row>
    <row r="578" spans="1:19" x14ac:dyDescent="0.3">
      <c r="A578" s="34">
        <v>685</v>
      </c>
      <c r="B578" s="3" t="s">
        <v>112</v>
      </c>
      <c r="C578" s="3" t="s">
        <v>113</v>
      </c>
      <c r="D578" s="3" t="s">
        <v>47</v>
      </c>
      <c r="E578" s="4">
        <v>178500</v>
      </c>
      <c r="F578" s="2">
        <v>2</v>
      </c>
      <c r="G578" s="2">
        <v>12</v>
      </c>
      <c r="H578" s="4">
        <v>185200</v>
      </c>
      <c r="I578" s="4">
        <f t="shared" ref="I578:I641" si="18">H578</f>
        <v>185200</v>
      </c>
      <c r="J578" s="5">
        <v>45248</v>
      </c>
      <c r="K578" s="3" t="s">
        <v>93</v>
      </c>
      <c r="L578" s="3" t="str">
        <f>VLOOKUP(DataSales[[#This Row],[Khách hàng]],'RFM Table'!$A:$I,9,FALSE)</f>
        <v>Khách hàng Trung thành</v>
      </c>
      <c r="M578" s="4">
        <f t="shared" ref="M578:M641" si="19">I578-E578</f>
        <v>6700</v>
      </c>
      <c r="N578" s="6">
        <v>3.6177105831533482E-2</v>
      </c>
      <c r="O578" s="2">
        <v>14</v>
      </c>
      <c r="P578" s="6">
        <v>0.14285714285714279</v>
      </c>
      <c r="Q578" s="36">
        <v>2023</v>
      </c>
      <c r="R578" s="56">
        <f>MONTH(DataSales[[#This Row],[Ngày Xuất]])</f>
        <v>11</v>
      </c>
      <c r="S578" s="56" t="s">
        <v>777</v>
      </c>
    </row>
    <row r="579" spans="1:19" x14ac:dyDescent="0.3">
      <c r="A579" s="35">
        <v>686</v>
      </c>
      <c r="B579" s="8" t="s">
        <v>51</v>
      </c>
      <c r="C579" s="8" t="s">
        <v>52</v>
      </c>
      <c r="D579" s="8" t="s">
        <v>47</v>
      </c>
      <c r="E579" s="9">
        <v>346500</v>
      </c>
      <c r="F579" s="7">
        <v>3</v>
      </c>
      <c r="G579" s="7">
        <v>18</v>
      </c>
      <c r="H579" s="9">
        <v>370300</v>
      </c>
      <c r="I579" s="9">
        <f t="shared" si="18"/>
        <v>370300</v>
      </c>
      <c r="J579" s="10">
        <v>45248</v>
      </c>
      <c r="K579" s="8" t="s">
        <v>93</v>
      </c>
      <c r="L579" s="8" t="str">
        <f>VLOOKUP(DataSales[[#This Row],[Khách hàng]],'RFM Table'!$A:$I,9,FALSE)</f>
        <v>Khách hàng Trung thành</v>
      </c>
      <c r="M579" s="9">
        <f t="shared" si="19"/>
        <v>23800</v>
      </c>
      <c r="N579" s="11">
        <v>6.4272211720226846E-2</v>
      </c>
      <c r="O579" s="7">
        <v>21</v>
      </c>
      <c r="P579" s="11">
        <v>0.14285714285714279</v>
      </c>
      <c r="Q579" s="37">
        <v>2023</v>
      </c>
      <c r="R579" s="56">
        <f>MONTH(DataSales[[#This Row],[Ngày Xuất]])</f>
        <v>11</v>
      </c>
      <c r="S579" s="56" t="s">
        <v>777</v>
      </c>
    </row>
    <row r="580" spans="1:19" x14ac:dyDescent="0.3">
      <c r="A580" s="34">
        <v>687</v>
      </c>
      <c r="B580" s="3" t="s">
        <v>197</v>
      </c>
      <c r="C580" s="3" t="s">
        <v>198</v>
      </c>
      <c r="D580" s="3" t="s">
        <v>32</v>
      </c>
      <c r="E580" s="4">
        <v>180000</v>
      </c>
      <c r="F580" s="2">
        <v>0</v>
      </c>
      <c r="G580" s="2">
        <v>10</v>
      </c>
      <c r="H580" s="4">
        <v>220000</v>
      </c>
      <c r="I580" s="4">
        <f t="shared" si="18"/>
        <v>220000</v>
      </c>
      <c r="J580" s="5">
        <v>45248</v>
      </c>
      <c r="K580" s="3" t="s">
        <v>199</v>
      </c>
      <c r="L580" s="3" t="str">
        <f>VLOOKUP(DataSales[[#This Row],[Khách hàng]],'RFM Table'!$A:$I,9,FALSE)</f>
        <v>Khách hàng VIP</v>
      </c>
      <c r="M580" s="4">
        <f t="shared" si="19"/>
        <v>40000</v>
      </c>
      <c r="N580" s="6">
        <v>0.1818181818181818</v>
      </c>
      <c r="O580" s="2">
        <v>10</v>
      </c>
      <c r="P580" s="6">
        <v>0</v>
      </c>
      <c r="Q580" s="36">
        <v>2023</v>
      </c>
      <c r="R580" s="56">
        <f>MONTH(DataSales[[#This Row],[Ngày Xuất]])</f>
        <v>11</v>
      </c>
      <c r="S580" s="56" t="s">
        <v>779</v>
      </c>
    </row>
    <row r="581" spans="1:19" x14ac:dyDescent="0.3">
      <c r="A581" s="35">
        <v>688</v>
      </c>
      <c r="B581" s="8" t="s">
        <v>580</v>
      </c>
      <c r="C581" s="8" t="s">
        <v>581</v>
      </c>
      <c r="D581" s="8" t="s">
        <v>47</v>
      </c>
      <c r="E581" s="9">
        <v>384000</v>
      </c>
      <c r="F581" s="7">
        <v>8</v>
      </c>
      <c r="G581" s="7">
        <v>24</v>
      </c>
      <c r="H581" s="9">
        <v>630000</v>
      </c>
      <c r="I581" s="9">
        <f t="shared" si="18"/>
        <v>630000</v>
      </c>
      <c r="J581" s="10">
        <v>45248</v>
      </c>
      <c r="K581" s="8" t="s">
        <v>262</v>
      </c>
      <c r="L581" s="8" t="str">
        <f>VLOOKUP(DataSales[[#This Row],[Khách hàng]],'RFM Table'!$A:$I,9,FALSE)</f>
        <v>Khách hàng Mới</v>
      </c>
      <c r="M581" s="9">
        <f t="shared" si="19"/>
        <v>246000</v>
      </c>
      <c r="N581" s="11">
        <v>0.39047619047619048</v>
      </c>
      <c r="O581" s="7">
        <v>32</v>
      </c>
      <c r="P581" s="11">
        <v>0.25</v>
      </c>
      <c r="Q581" s="37">
        <v>2023</v>
      </c>
      <c r="R581" s="56">
        <f>MONTH(DataSales[[#This Row],[Ngày Xuất]])</f>
        <v>11</v>
      </c>
      <c r="S581" s="56" t="s">
        <v>782</v>
      </c>
    </row>
    <row r="582" spans="1:19" x14ac:dyDescent="0.3">
      <c r="A582" s="34">
        <v>689</v>
      </c>
      <c r="B582" s="3" t="s">
        <v>336</v>
      </c>
      <c r="C582" s="3" t="s">
        <v>337</v>
      </c>
      <c r="D582" s="3" t="s">
        <v>47</v>
      </c>
      <c r="E582" s="4">
        <v>181200</v>
      </c>
      <c r="F582" s="2">
        <v>1</v>
      </c>
      <c r="G582" s="2">
        <v>4</v>
      </c>
      <c r="H582" s="4">
        <v>156000</v>
      </c>
      <c r="I582" s="4">
        <f t="shared" si="18"/>
        <v>156000</v>
      </c>
      <c r="J582" s="5">
        <v>45248</v>
      </c>
      <c r="K582" s="3" t="s">
        <v>265</v>
      </c>
      <c r="L582" s="3" t="str">
        <f>VLOOKUP(DataSales[[#This Row],[Khách hàng]],'RFM Table'!$A:$I,9,FALSE)</f>
        <v>Khách hàng VIP</v>
      </c>
      <c r="M582" s="4">
        <f t="shared" si="19"/>
        <v>-25200</v>
      </c>
      <c r="N582" s="6">
        <v>-0.16153846153846149</v>
      </c>
      <c r="O582" s="2">
        <v>5</v>
      </c>
      <c r="P582" s="6">
        <v>0.2</v>
      </c>
      <c r="Q582" s="36">
        <v>2023</v>
      </c>
      <c r="R582" s="56">
        <f>MONTH(DataSales[[#This Row],[Ngày Xuất]])</f>
        <v>11</v>
      </c>
      <c r="S582" s="56" t="s">
        <v>780</v>
      </c>
    </row>
    <row r="583" spans="1:19" x14ac:dyDescent="0.3">
      <c r="A583" s="35">
        <v>690</v>
      </c>
      <c r="B583" s="8" t="s">
        <v>349</v>
      </c>
      <c r="C583" s="8" t="s">
        <v>350</v>
      </c>
      <c r="D583" s="8" t="s">
        <v>47</v>
      </c>
      <c r="E583" s="9">
        <v>181200</v>
      </c>
      <c r="F583" s="7">
        <v>0</v>
      </c>
      <c r="G583" s="7">
        <v>4</v>
      </c>
      <c r="H583" s="9">
        <v>200000</v>
      </c>
      <c r="I583" s="9">
        <f t="shared" si="18"/>
        <v>200000</v>
      </c>
      <c r="J583" s="10">
        <v>45248</v>
      </c>
      <c r="K583" s="8" t="s">
        <v>265</v>
      </c>
      <c r="L583" s="8" t="str">
        <f>VLOOKUP(DataSales[[#This Row],[Khách hàng]],'RFM Table'!$A:$I,9,FALSE)</f>
        <v>Khách hàng VIP</v>
      </c>
      <c r="M583" s="9">
        <f t="shared" si="19"/>
        <v>18800</v>
      </c>
      <c r="N583" s="11">
        <v>9.4E-2</v>
      </c>
      <c r="O583" s="7">
        <v>4</v>
      </c>
      <c r="P583" s="11">
        <v>0</v>
      </c>
      <c r="Q583" s="37">
        <v>2023</v>
      </c>
      <c r="R583" s="56">
        <f>MONTH(DataSales[[#This Row],[Ngày Xuất]])</f>
        <v>11</v>
      </c>
      <c r="S583" s="56" t="s">
        <v>780</v>
      </c>
    </row>
    <row r="584" spans="1:19" x14ac:dyDescent="0.3">
      <c r="A584" s="34">
        <v>691</v>
      </c>
      <c r="B584" s="3" t="s">
        <v>351</v>
      </c>
      <c r="C584" s="3" t="s">
        <v>352</v>
      </c>
      <c r="D584" s="3" t="s">
        <v>47</v>
      </c>
      <c r="E584" s="4">
        <v>181200</v>
      </c>
      <c r="F584" s="2">
        <v>0</v>
      </c>
      <c r="G584" s="2">
        <v>4</v>
      </c>
      <c r="H584" s="4">
        <v>200000</v>
      </c>
      <c r="I584" s="4">
        <f t="shared" si="18"/>
        <v>200000</v>
      </c>
      <c r="J584" s="5">
        <v>45248</v>
      </c>
      <c r="K584" s="3" t="s">
        <v>265</v>
      </c>
      <c r="L584" s="3" t="str">
        <f>VLOOKUP(DataSales[[#This Row],[Khách hàng]],'RFM Table'!$A:$I,9,FALSE)</f>
        <v>Khách hàng VIP</v>
      </c>
      <c r="M584" s="4">
        <f t="shared" si="19"/>
        <v>18800</v>
      </c>
      <c r="N584" s="6">
        <v>9.4E-2</v>
      </c>
      <c r="O584" s="2">
        <v>4</v>
      </c>
      <c r="P584" s="6">
        <v>0</v>
      </c>
      <c r="Q584" s="36">
        <v>2023</v>
      </c>
      <c r="R584" s="56">
        <f>MONTH(DataSales[[#This Row],[Ngày Xuất]])</f>
        <v>11</v>
      </c>
      <c r="S584" s="56" t="s">
        <v>780</v>
      </c>
    </row>
    <row r="585" spans="1:19" x14ac:dyDescent="0.3">
      <c r="A585" s="35">
        <v>692</v>
      </c>
      <c r="B585" s="8" t="s">
        <v>16</v>
      </c>
      <c r="C585" s="8" t="s">
        <v>17</v>
      </c>
      <c r="D585" s="8" t="s">
        <v>18</v>
      </c>
      <c r="E585" s="9">
        <v>345600</v>
      </c>
      <c r="F585" s="7">
        <v>4</v>
      </c>
      <c r="G585" s="7">
        <v>48</v>
      </c>
      <c r="H585" s="9">
        <v>536000</v>
      </c>
      <c r="I585" s="9">
        <f t="shared" si="18"/>
        <v>536000</v>
      </c>
      <c r="J585" s="10">
        <v>45248</v>
      </c>
      <c r="K585" s="8" t="s">
        <v>215</v>
      </c>
      <c r="L585" s="8" t="str">
        <f>VLOOKUP(DataSales[[#This Row],[Khách hàng]],'RFM Table'!$A:$I,9,FALSE)</f>
        <v>Khách hàng Trung thành</v>
      </c>
      <c r="M585" s="9">
        <f t="shared" si="19"/>
        <v>190400</v>
      </c>
      <c r="N585" s="11">
        <v>0.35522388059701487</v>
      </c>
      <c r="O585" s="7">
        <v>52</v>
      </c>
      <c r="P585" s="11">
        <v>7.6923076923076927E-2</v>
      </c>
      <c r="Q585" s="37">
        <v>2023</v>
      </c>
      <c r="R585" s="56">
        <f>MONTH(DataSales[[#This Row],[Ngày Xuất]])</f>
        <v>11</v>
      </c>
      <c r="S585" s="56" t="s">
        <v>772</v>
      </c>
    </row>
    <row r="586" spans="1:19" x14ac:dyDescent="0.3">
      <c r="A586" s="34">
        <v>693</v>
      </c>
      <c r="B586" s="3" t="s">
        <v>80</v>
      </c>
      <c r="C586" s="3" t="s">
        <v>81</v>
      </c>
      <c r="D586" s="3" t="s">
        <v>47</v>
      </c>
      <c r="E586" s="4">
        <v>1152000</v>
      </c>
      <c r="F586" s="2">
        <v>0</v>
      </c>
      <c r="G586" s="2">
        <v>6</v>
      </c>
      <c r="H586" s="4">
        <v>1440000</v>
      </c>
      <c r="I586" s="4">
        <f t="shared" si="18"/>
        <v>1440000</v>
      </c>
      <c r="J586" s="5">
        <v>45248</v>
      </c>
      <c r="K586" s="3" t="s">
        <v>559</v>
      </c>
      <c r="L586" s="3" t="str">
        <f>VLOOKUP(DataSales[[#This Row],[Khách hàng]],'RFM Table'!$A:$I,9,FALSE)</f>
        <v>Khách hàng Trung thành</v>
      </c>
      <c r="M586" s="4">
        <f t="shared" si="19"/>
        <v>288000</v>
      </c>
      <c r="N586" s="6">
        <v>0.2</v>
      </c>
      <c r="O586" s="2">
        <v>6</v>
      </c>
      <c r="P586" s="6">
        <v>0</v>
      </c>
      <c r="Q586" s="36">
        <v>2023</v>
      </c>
      <c r="R586" s="56">
        <f>MONTH(DataSales[[#This Row],[Ngày Xuất]])</f>
        <v>11</v>
      </c>
      <c r="S586" s="56" t="s">
        <v>779</v>
      </c>
    </row>
    <row r="587" spans="1:19" x14ac:dyDescent="0.3">
      <c r="A587" s="35">
        <v>695</v>
      </c>
      <c r="B587" s="8" t="s">
        <v>415</v>
      </c>
      <c r="C587" s="8" t="s">
        <v>416</v>
      </c>
      <c r="D587" s="8" t="s">
        <v>18</v>
      </c>
      <c r="E587" s="9">
        <v>122000</v>
      </c>
      <c r="F587" s="7">
        <v>0</v>
      </c>
      <c r="G587" s="7">
        <v>10</v>
      </c>
      <c r="H587" s="9">
        <v>125000</v>
      </c>
      <c r="I587" s="9">
        <f t="shared" si="18"/>
        <v>125000</v>
      </c>
      <c r="J587" s="10">
        <v>45248</v>
      </c>
      <c r="K587" s="8" t="s">
        <v>559</v>
      </c>
      <c r="L587" s="8" t="str">
        <f>VLOOKUP(DataSales[[#This Row],[Khách hàng]],'RFM Table'!$A:$I,9,FALSE)</f>
        <v>Khách hàng Trung thành</v>
      </c>
      <c r="M587" s="9">
        <f t="shared" si="19"/>
        <v>3000</v>
      </c>
      <c r="N587" s="11">
        <v>2.4E-2</v>
      </c>
      <c r="O587" s="7">
        <v>10</v>
      </c>
      <c r="P587" s="11">
        <v>0</v>
      </c>
      <c r="Q587" s="37">
        <v>2023</v>
      </c>
      <c r="R587" s="56">
        <f>MONTH(DataSales[[#This Row],[Ngày Xuất]])</f>
        <v>11</v>
      </c>
      <c r="S587" s="56" t="s">
        <v>776</v>
      </c>
    </row>
    <row r="588" spans="1:19" x14ac:dyDescent="0.3">
      <c r="A588" s="34">
        <v>696</v>
      </c>
      <c r="B588" s="3" t="s">
        <v>417</v>
      </c>
      <c r="C588" s="3" t="s">
        <v>418</v>
      </c>
      <c r="D588" s="3" t="s">
        <v>18</v>
      </c>
      <c r="E588" s="4">
        <v>122000</v>
      </c>
      <c r="F588" s="2">
        <v>0</v>
      </c>
      <c r="G588" s="2">
        <v>10</v>
      </c>
      <c r="H588" s="4">
        <v>125000</v>
      </c>
      <c r="I588" s="4">
        <f t="shared" si="18"/>
        <v>125000</v>
      </c>
      <c r="J588" s="5">
        <v>45248</v>
      </c>
      <c r="K588" s="3" t="s">
        <v>559</v>
      </c>
      <c r="L588" s="3" t="str">
        <f>VLOOKUP(DataSales[[#This Row],[Khách hàng]],'RFM Table'!$A:$I,9,FALSE)</f>
        <v>Khách hàng Trung thành</v>
      </c>
      <c r="M588" s="4">
        <f t="shared" si="19"/>
        <v>3000</v>
      </c>
      <c r="N588" s="6">
        <v>2.4E-2</v>
      </c>
      <c r="O588" s="2">
        <v>10</v>
      </c>
      <c r="P588" s="6">
        <v>0</v>
      </c>
      <c r="Q588" s="36">
        <v>2023</v>
      </c>
      <c r="R588" s="56">
        <f>MONTH(DataSales[[#This Row],[Ngày Xuất]])</f>
        <v>11</v>
      </c>
      <c r="S588" s="56" t="s">
        <v>776</v>
      </c>
    </row>
    <row r="589" spans="1:19" x14ac:dyDescent="0.3">
      <c r="A589" s="35">
        <v>697</v>
      </c>
      <c r="B589" s="8" t="s">
        <v>419</v>
      </c>
      <c r="C589" s="8" t="s">
        <v>420</v>
      </c>
      <c r="D589" s="8" t="s">
        <v>18</v>
      </c>
      <c r="E589" s="9">
        <v>122000</v>
      </c>
      <c r="F589" s="7">
        <v>0</v>
      </c>
      <c r="G589" s="7">
        <v>10</v>
      </c>
      <c r="H589" s="9">
        <v>125000</v>
      </c>
      <c r="I589" s="9">
        <f t="shared" si="18"/>
        <v>125000</v>
      </c>
      <c r="J589" s="10">
        <v>45248</v>
      </c>
      <c r="K589" s="8" t="s">
        <v>559</v>
      </c>
      <c r="L589" s="8" t="str">
        <f>VLOOKUP(DataSales[[#This Row],[Khách hàng]],'RFM Table'!$A:$I,9,FALSE)</f>
        <v>Khách hàng Trung thành</v>
      </c>
      <c r="M589" s="9">
        <f t="shared" si="19"/>
        <v>3000</v>
      </c>
      <c r="N589" s="11">
        <v>2.4E-2</v>
      </c>
      <c r="O589" s="7">
        <v>10</v>
      </c>
      <c r="P589" s="11">
        <v>0</v>
      </c>
      <c r="Q589" s="37">
        <v>2023</v>
      </c>
      <c r="R589" s="56">
        <f>MONTH(DataSales[[#This Row],[Ngày Xuất]])</f>
        <v>11</v>
      </c>
      <c r="S589" s="56" t="s">
        <v>776</v>
      </c>
    </row>
    <row r="590" spans="1:19" x14ac:dyDescent="0.3">
      <c r="A590" s="34">
        <v>698</v>
      </c>
      <c r="B590" s="3" t="s">
        <v>421</v>
      </c>
      <c r="C590" s="3" t="s">
        <v>422</v>
      </c>
      <c r="D590" s="3" t="s">
        <v>18</v>
      </c>
      <c r="E590" s="4">
        <v>122000</v>
      </c>
      <c r="F590" s="2">
        <v>0</v>
      </c>
      <c r="G590" s="2">
        <v>10</v>
      </c>
      <c r="H590" s="4">
        <v>125000</v>
      </c>
      <c r="I590" s="4">
        <f t="shared" si="18"/>
        <v>125000</v>
      </c>
      <c r="J590" s="5">
        <v>45248</v>
      </c>
      <c r="K590" s="3" t="s">
        <v>559</v>
      </c>
      <c r="L590" s="3" t="str">
        <f>VLOOKUP(DataSales[[#This Row],[Khách hàng]],'RFM Table'!$A:$I,9,FALSE)</f>
        <v>Khách hàng Trung thành</v>
      </c>
      <c r="M590" s="4">
        <f t="shared" si="19"/>
        <v>3000</v>
      </c>
      <c r="N590" s="6">
        <v>2.4E-2</v>
      </c>
      <c r="O590" s="2">
        <v>10</v>
      </c>
      <c r="P590" s="6">
        <v>0</v>
      </c>
      <c r="Q590" s="36">
        <v>2023</v>
      </c>
      <c r="R590" s="56">
        <f>MONTH(DataSales[[#This Row],[Ngày Xuất]])</f>
        <v>11</v>
      </c>
      <c r="S590" s="56" t="s">
        <v>776</v>
      </c>
    </row>
    <row r="591" spans="1:19" x14ac:dyDescent="0.3">
      <c r="A591" s="35">
        <v>699</v>
      </c>
      <c r="B591" s="8" t="s">
        <v>359</v>
      </c>
      <c r="C591" s="8" t="s">
        <v>360</v>
      </c>
      <c r="D591" s="8" t="s">
        <v>18</v>
      </c>
      <c r="E591" s="9">
        <v>480000</v>
      </c>
      <c r="F591" s="7">
        <v>2</v>
      </c>
      <c r="G591" s="7">
        <v>10</v>
      </c>
      <c r="H591" s="9">
        <v>434000</v>
      </c>
      <c r="I591" s="9">
        <f t="shared" si="18"/>
        <v>434000</v>
      </c>
      <c r="J591" s="10">
        <v>45248</v>
      </c>
      <c r="K591" s="8" t="s">
        <v>361</v>
      </c>
      <c r="L591" s="8" t="str">
        <f>VLOOKUP(DataSales[[#This Row],[Khách hàng]],'RFM Table'!$A:$I,9,FALSE)</f>
        <v>Khách hàng Mới</v>
      </c>
      <c r="M591" s="9">
        <f t="shared" si="19"/>
        <v>-46000</v>
      </c>
      <c r="N591" s="11">
        <v>-0.10599078341013821</v>
      </c>
      <c r="O591" s="7">
        <v>12</v>
      </c>
      <c r="P591" s="11">
        <v>0.16666666666666671</v>
      </c>
      <c r="Q591" s="37">
        <v>2023</v>
      </c>
      <c r="R591" s="56">
        <f>MONTH(DataSales[[#This Row],[Ngày Xuất]])</f>
        <v>11</v>
      </c>
      <c r="S591" s="56" t="s">
        <v>772</v>
      </c>
    </row>
    <row r="592" spans="1:19" x14ac:dyDescent="0.3">
      <c r="A592" s="34">
        <v>700</v>
      </c>
      <c r="B592" s="3" t="s">
        <v>100</v>
      </c>
      <c r="C592" s="3" t="s">
        <v>101</v>
      </c>
      <c r="D592" s="3" t="s">
        <v>32</v>
      </c>
      <c r="E592" s="4">
        <v>290000</v>
      </c>
      <c r="F592" s="2">
        <v>1</v>
      </c>
      <c r="G592" s="2">
        <v>10</v>
      </c>
      <c r="H592" s="4">
        <v>355000</v>
      </c>
      <c r="I592" s="4">
        <f t="shared" si="18"/>
        <v>355000</v>
      </c>
      <c r="J592" s="5">
        <v>45248</v>
      </c>
      <c r="K592" s="3" t="s">
        <v>33</v>
      </c>
      <c r="L592" s="3" t="str">
        <f>VLOOKUP(DataSales[[#This Row],[Khách hàng]],'RFM Table'!$A:$I,9,FALSE)</f>
        <v>Khách hàng VIP</v>
      </c>
      <c r="M592" s="4">
        <f t="shared" si="19"/>
        <v>65000</v>
      </c>
      <c r="N592" s="6">
        <v>0.18309859154929581</v>
      </c>
      <c r="O592" s="2">
        <v>11</v>
      </c>
      <c r="P592" s="6">
        <v>9.0909090909090912E-2</v>
      </c>
      <c r="Q592" s="36">
        <v>2023</v>
      </c>
      <c r="R592" s="56">
        <f>MONTH(DataSales[[#This Row],[Ngày Xuất]])</f>
        <v>11</v>
      </c>
      <c r="S592" s="56" t="s">
        <v>779</v>
      </c>
    </row>
    <row r="593" spans="1:19" x14ac:dyDescent="0.3">
      <c r="A593" s="35">
        <v>701</v>
      </c>
      <c r="B593" s="8" t="s">
        <v>187</v>
      </c>
      <c r="C593" s="8" t="s">
        <v>188</v>
      </c>
      <c r="D593" s="8" t="s">
        <v>18</v>
      </c>
      <c r="E593" s="9">
        <v>1125000</v>
      </c>
      <c r="F593" s="7">
        <v>30</v>
      </c>
      <c r="G593" s="7">
        <v>150</v>
      </c>
      <c r="H593" s="9">
        <v>1350000</v>
      </c>
      <c r="I593" s="9">
        <f t="shared" si="18"/>
        <v>1350000</v>
      </c>
      <c r="J593" s="10">
        <v>45248</v>
      </c>
      <c r="K593" s="8" t="s">
        <v>33</v>
      </c>
      <c r="L593" s="8" t="str">
        <f>VLOOKUP(DataSales[[#This Row],[Khách hàng]],'RFM Table'!$A:$I,9,FALSE)</f>
        <v>Khách hàng VIP</v>
      </c>
      <c r="M593" s="9">
        <f t="shared" si="19"/>
        <v>225000</v>
      </c>
      <c r="N593" s="11">
        <v>0.16666666666666671</v>
      </c>
      <c r="O593" s="7">
        <v>180</v>
      </c>
      <c r="P593" s="11">
        <v>0.16666666666666671</v>
      </c>
      <c r="Q593" s="37">
        <v>2023</v>
      </c>
      <c r="R593" s="56">
        <f>MONTH(DataSales[[#This Row],[Ngày Xuất]])</f>
        <v>11</v>
      </c>
      <c r="S593" s="56" t="s">
        <v>772</v>
      </c>
    </row>
    <row r="594" spans="1:19" x14ac:dyDescent="0.3">
      <c r="A594" s="34">
        <v>702</v>
      </c>
      <c r="B594" s="3" t="s">
        <v>100</v>
      </c>
      <c r="C594" s="3" t="s">
        <v>101</v>
      </c>
      <c r="D594" s="3" t="s">
        <v>32</v>
      </c>
      <c r="E594" s="4">
        <v>290000</v>
      </c>
      <c r="F594" s="2">
        <v>1</v>
      </c>
      <c r="G594" s="2">
        <v>10</v>
      </c>
      <c r="H594" s="4">
        <v>355000</v>
      </c>
      <c r="I594" s="4">
        <f t="shared" si="18"/>
        <v>355000</v>
      </c>
      <c r="J594" s="5">
        <v>45248</v>
      </c>
      <c r="K594" s="3" t="s">
        <v>99</v>
      </c>
      <c r="L594" s="3" t="str">
        <f>VLOOKUP(DataSales[[#This Row],[Khách hàng]],'RFM Table'!$A:$I,9,FALSE)</f>
        <v>Khách hàng Trung thành</v>
      </c>
      <c r="M594" s="4">
        <f t="shared" si="19"/>
        <v>65000</v>
      </c>
      <c r="N594" s="6">
        <v>0.18309859154929581</v>
      </c>
      <c r="O594" s="2">
        <v>11</v>
      </c>
      <c r="P594" s="6">
        <v>9.0909090909090912E-2</v>
      </c>
      <c r="Q594" s="36">
        <v>2023</v>
      </c>
      <c r="R594" s="56">
        <f>MONTH(DataSales[[#This Row],[Ngày Xuất]])</f>
        <v>11</v>
      </c>
      <c r="S594" s="56" t="s">
        <v>779</v>
      </c>
    </row>
    <row r="595" spans="1:19" x14ac:dyDescent="0.3">
      <c r="A595" s="35">
        <v>703</v>
      </c>
      <c r="B595" s="8" t="s">
        <v>582</v>
      </c>
      <c r="C595" s="8" t="s">
        <v>583</v>
      </c>
      <c r="D595" s="8" t="s">
        <v>47</v>
      </c>
      <c r="E595" s="9">
        <v>160000</v>
      </c>
      <c r="F595" s="7">
        <v>0</v>
      </c>
      <c r="G595" s="7">
        <v>10</v>
      </c>
      <c r="H595" s="9">
        <v>180000</v>
      </c>
      <c r="I595" s="9">
        <f t="shared" si="18"/>
        <v>180000</v>
      </c>
      <c r="J595" s="10">
        <v>45248</v>
      </c>
      <c r="K595" s="8" t="s">
        <v>99</v>
      </c>
      <c r="L595" s="8" t="str">
        <f>VLOOKUP(DataSales[[#This Row],[Khách hàng]],'RFM Table'!$A:$I,9,FALSE)</f>
        <v>Khách hàng Trung thành</v>
      </c>
      <c r="M595" s="9">
        <f t="shared" si="19"/>
        <v>20000</v>
      </c>
      <c r="N595" s="11">
        <v>0.1111111111111111</v>
      </c>
      <c r="O595" s="7">
        <v>10</v>
      </c>
      <c r="P595" s="11">
        <v>0</v>
      </c>
      <c r="Q595" s="37">
        <v>2023</v>
      </c>
      <c r="R595" s="56">
        <f>MONTH(DataSales[[#This Row],[Ngày Xuất]])</f>
        <v>11</v>
      </c>
      <c r="S595" s="56" t="s">
        <v>778</v>
      </c>
    </row>
    <row r="596" spans="1:19" x14ac:dyDescent="0.3">
      <c r="A596" s="34">
        <v>704</v>
      </c>
      <c r="B596" s="3" t="s">
        <v>584</v>
      </c>
      <c r="C596" s="3" t="s">
        <v>585</v>
      </c>
      <c r="D596" s="3" t="s">
        <v>18</v>
      </c>
      <c r="E596" s="4">
        <v>100000</v>
      </c>
      <c r="F596" s="2">
        <v>2</v>
      </c>
      <c r="G596" s="2">
        <v>10</v>
      </c>
      <c r="H596" s="4">
        <v>150000</v>
      </c>
      <c r="I596" s="4">
        <f t="shared" si="18"/>
        <v>150000</v>
      </c>
      <c r="J596" s="5">
        <v>45248</v>
      </c>
      <c r="K596" s="3" t="s">
        <v>228</v>
      </c>
      <c r="L596" s="3" t="str">
        <f>VLOOKUP(DataSales[[#This Row],[Khách hàng]],'RFM Table'!$A:$I,9,FALSE)</f>
        <v>Khách hàng VIP</v>
      </c>
      <c r="M596" s="4">
        <f t="shared" si="19"/>
        <v>50000</v>
      </c>
      <c r="N596" s="6">
        <v>0.33333333333333331</v>
      </c>
      <c r="O596" s="2">
        <v>12</v>
      </c>
      <c r="P596" s="6">
        <v>0.16666666666666671</v>
      </c>
      <c r="Q596" s="36">
        <v>2023</v>
      </c>
      <c r="R596" s="56">
        <f>MONTH(DataSales[[#This Row],[Ngày Xuất]])</f>
        <v>11</v>
      </c>
      <c r="S596" s="56" t="s">
        <v>775</v>
      </c>
    </row>
    <row r="597" spans="1:19" x14ac:dyDescent="0.3">
      <c r="A597" s="35">
        <v>706</v>
      </c>
      <c r="B597" s="8" t="s">
        <v>51</v>
      </c>
      <c r="C597" s="8" t="s">
        <v>52</v>
      </c>
      <c r="D597" s="8" t="s">
        <v>47</v>
      </c>
      <c r="E597" s="9">
        <v>231000</v>
      </c>
      <c r="F597" s="7">
        <v>2</v>
      </c>
      <c r="G597" s="7">
        <v>12</v>
      </c>
      <c r="H597" s="9">
        <v>288000</v>
      </c>
      <c r="I597" s="9">
        <f t="shared" si="18"/>
        <v>288000</v>
      </c>
      <c r="J597" s="10">
        <v>45248</v>
      </c>
      <c r="K597" s="8" t="s">
        <v>61</v>
      </c>
      <c r="L597" s="8" t="str">
        <f>VLOOKUP(DataSales[[#This Row],[Khách hàng]],'RFM Table'!$A:$I,9,FALSE)</f>
        <v>Khách hàng Trung thành</v>
      </c>
      <c r="M597" s="9">
        <f t="shared" si="19"/>
        <v>57000</v>
      </c>
      <c r="N597" s="11">
        <v>0.19791666666666671</v>
      </c>
      <c r="O597" s="7">
        <v>14</v>
      </c>
      <c r="P597" s="11">
        <v>0.14285714285714279</v>
      </c>
      <c r="Q597" s="37">
        <v>2023</v>
      </c>
      <c r="R597" s="56">
        <f>MONTH(DataSales[[#This Row],[Ngày Xuất]])</f>
        <v>11</v>
      </c>
      <c r="S597" s="56" t="s">
        <v>777</v>
      </c>
    </row>
    <row r="598" spans="1:19" x14ac:dyDescent="0.3">
      <c r="A598" s="34">
        <v>707</v>
      </c>
      <c r="B598" s="3" t="s">
        <v>38</v>
      </c>
      <c r="C598" s="3" t="s">
        <v>39</v>
      </c>
      <c r="D598" s="3" t="s">
        <v>18</v>
      </c>
      <c r="E598" s="4">
        <v>102000</v>
      </c>
      <c r="F598" s="2">
        <v>0</v>
      </c>
      <c r="G598" s="2">
        <v>6</v>
      </c>
      <c r="H598" s="4">
        <v>144000</v>
      </c>
      <c r="I598" s="4">
        <f t="shared" si="18"/>
        <v>144000</v>
      </c>
      <c r="J598" s="5">
        <v>45248</v>
      </c>
      <c r="K598" s="3" t="s">
        <v>116</v>
      </c>
      <c r="L598" s="3" t="str">
        <f>VLOOKUP(DataSales[[#This Row],[Khách hàng]],'RFM Table'!$A:$I,9,FALSE)</f>
        <v>Khách hàng VIP</v>
      </c>
      <c r="M598" s="4">
        <f t="shared" si="19"/>
        <v>42000</v>
      </c>
      <c r="N598" s="6">
        <v>0.29166666666666669</v>
      </c>
      <c r="O598" s="2">
        <v>6</v>
      </c>
      <c r="P598" s="6">
        <v>0</v>
      </c>
      <c r="Q598" s="36">
        <v>2023</v>
      </c>
      <c r="R598" s="56">
        <f>MONTH(DataSales[[#This Row],[Ngày Xuất]])</f>
        <v>11</v>
      </c>
      <c r="S598" s="56" t="s">
        <v>775</v>
      </c>
    </row>
    <row r="599" spans="1:19" x14ac:dyDescent="0.3">
      <c r="A599" s="35">
        <v>708</v>
      </c>
      <c r="B599" s="8" t="s">
        <v>586</v>
      </c>
      <c r="C599" s="8" t="s">
        <v>587</v>
      </c>
      <c r="D599" s="8" t="s">
        <v>32</v>
      </c>
      <c r="E599" s="9">
        <v>135000</v>
      </c>
      <c r="F599" s="7">
        <v>0</v>
      </c>
      <c r="G599" s="7">
        <v>30</v>
      </c>
      <c r="H599" s="9">
        <v>300000</v>
      </c>
      <c r="I599" s="9">
        <f t="shared" si="18"/>
        <v>300000</v>
      </c>
      <c r="J599" s="10">
        <v>45248</v>
      </c>
      <c r="K599" s="8" t="s">
        <v>235</v>
      </c>
      <c r="L599" s="8" t="str">
        <f>VLOOKUP(DataSales[[#This Row],[Khách hàng]],'RFM Table'!$A:$I,9,FALSE)</f>
        <v>Khách hàng Trung thành</v>
      </c>
      <c r="M599" s="9">
        <f t="shared" si="19"/>
        <v>165000</v>
      </c>
      <c r="N599" s="11">
        <v>0.55000000000000004</v>
      </c>
      <c r="O599" s="7">
        <v>30</v>
      </c>
      <c r="P599" s="11">
        <v>0</v>
      </c>
      <c r="Q599" s="37">
        <v>2023</v>
      </c>
      <c r="R599" s="56">
        <f>MONTH(DataSales[[#This Row],[Ngày Xuất]])</f>
        <v>11</v>
      </c>
      <c r="S599" s="56" t="s">
        <v>774</v>
      </c>
    </row>
    <row r="600" spans="1:19" x14ac:dyDescent="0.3">
      <c r="A600" s="34">
        <v>709</v>
      </c>
      <c r="B600" s="3" t="s">
        <v>324</v>
      </c>
      <c r="C600" s="3" t="s">
        <v>325</v>
      </c>
      <c r="D600" s="3" t="s">
        <v>326</v>
      </c>
      <c r="E600" s="4">
        <v>57000</v>
      </c>
      <c r="F600" s="2">
        <v>0</v>
      </c>
      <c r="G600" s="2">
        <v>1</v>
      </c>
      <c r="H600" s="4">
        <v>75000</v>
      </c>
      <c r="I600" s="4">
        <f t="shared" si="18"/>
        <v>75000</v>
      </c>
      <c r="J600" s="5">
        <v>45248</v>
      </c>
      <c r="K600" s="3" t="s">
        <v>235</v>
      </c>
      <c r="L600" s="3" t="str">
        <f>VLOOKUP(DataSales[[#This Row],[Khách hàng]],'RFM Table'!$A:$I,9,FALSE)</f>
        <v>Khách hàng Trung thành</v>
      </c>
      <c r="M600" s="4">
        <f t="shared" si="19"/>
        <v>18000</v>
      </c>
      <c r="N600" s="6">
        <v>0.24</v>
      </c>
      <c r="O600" s="2">
        <v>1</v>
      </c>
      <c r="P600" s="6">
        <v>0</v>
      </c>
      <c r="Q600" s="36">
        <v>2023</v>
      </c>
      <c r="R600" s="56">
        <f>MONTH(DataSales[[#This Row],[Ngày Xuất]])</f>
        <v>11</v>
      </c>
      <c r="S600" s="56" t="s">
        <v>779</v>
      </c>
    </row>
    <row r="601" spans="1:19" x14ac:dyDescent="0.3">
      <c r="A601" s="35">
        <v>710</v>
      </c>
      <c r="B601" s="8" t="s">
        <v>252</v>
      </c>
      <c r="C601" s="8" t="s">
        <v>253</v>
      </c>
      <c r="D601" s="8" t="s">
        <v>32</v>
      </c>
      <c r="E601" s="9">
        <v>155004</v>
      </c>
      <c r="F601" s="7">
        <v>0</v>
      </c>
      <c r="G601" s="7">
        <v>6</v>
      </c>
      <c r="H601" s="9">
        <v>222000</v>
      </c>
      <c r="I601" s="9">
        <f t="shared" si="18"/>
        <v>222000</v>
      </c>
      <c r="J601" s="10">
        <v>45248</v>
      </c>
      <c r="K601" s="8" t="s">
        <v>235</v>
      </c>
      <c r="L601" s="8" t="str">
        <f>VLOOKUP(DataSales[[#This Row],[Khách hàng]],'RFM Table'!$A:$I,9,FALSE)</f>
        <v>Khách hàng Trung thành</v>
      </c>
      <c r="M601" s="9">
        <f t="shared" si="19"/>
        <v>66996</v>
      </c>
      <c r="N601" s="11">
        <v>0.30178378378378379</v>
      </c>
      <c r="O601" s="7">
        <v>6</v>
      </c>
      <c r="P601" s="11">
        <v>0</v>
      </c>
      <c r="Q601" s="37">
        <v>2023</v>
      </c>
      <c r="R601" s="56">
        <f>MONTH(DataSales[[#This Row],[Ngày Xuất]])</f>
        <v>11</v>
      </c>
      <c r="S601" s="56" t="s">
        <v>779</v>
      </c>
    </row>
    <row r="602" spans="1:19" x14ac:dyDescent="0.3">
      <c r="A602" s="34">
        <v>712</v>
      </c>
      <c r="B602" s="3" t="s">
        <v>59</v>
      </c>
      <c r="C602" s="3" t="s">
        <v>60</v>
      </c>
      <c r="D602" s="3" t="s">
        <v>18</v>
      </c>
      <c r="E602" s="4">
        <v>1069200</v>
      </c>
      <c r="F602" s="2">
        <v>3</v>
      </c>
      <c r="G602" s="2">
        <v>27</v>
      </c>
      <c r="H602" s="4">
        <v>1069200</v>
      </c>
      <c r="I602" s="4">
        <f t="shared" si="18"/>
        <v>1069200</v>
      </c>
      <c r="J602" s="5">
        <v>45248</v>
      </c>
      <c r="K602" s="3" t="s">
        <v>588</v>
      </c>
      <c r="L602" s="3" t="str">
        <f>VLOOKUP(DataSales[[#This Row],[Khách hàng]],'RFM Table'!$A:$I,9,FALSE)</f>
        <v>Khách hàng Mới</v>
      </c>
      <c r="M602" s="4">
        <f t="shared" si="19"/>
        <v>0</v>
      </c>
      <c r="N602" s="6">
        <v>0</v>
      </c>
      <c r="O602" s="2">
        <v>30</v>
      </c>
      <c r="P602" s="6">
        <v>0.1</v>
      </c>
      <c r="Q602" s="36">
        <v>2023</v>
      </c>
      <c r="R602" s="56">
        <f>MONTH(DataSales[[#This Row],[Ngày Xuất]])</f>
        <v>11</v>
      </c>
      <c r="S602" s="56" t="s">
        <v>772</v>
      </c>
    </row>
    <row r="603" spans="1:19" x14ac:dyDescent="0.3">
      <c r="A603" s="35">
        <v>713</v>
      </c>
      <c r="B603" s="8" t="s">
        <v>324</v>
      </c>
      <c r="C603" s="8" t="s">
        <v>325</v>
      </c>
      <c r="D603" s="8" t="s">
        <v>326</v>
      </c>
      <c r="E603" s="9">
        <v>114000</v>
      </c>
      <c r="F603" s="7">
        <v>0</v>
      </c>
      <c r="G603" s="7">
        <v>2</v>
      </c>
      <c r="H603" s="9">
        <v>140000</v>
      </c>
      <c r="I603" s="9">
        <f t="shared" si="18"/>
        <v>140000</v>
      </c>
      <c r="J603" s="10">
        <v>45248</v>
      </c>
      <c r="K603" s="8" t="s">
        <v>245</v>
      </c>
      <c r="L603" s="8" t="str">
        <f>VLOOKUP(DataSales[[#This Row],[Khách hàng]],'RFM Table'!$A:$I,9,FALSE)</f>
        <v>Khách hàng VIP</v>
      </c>
      <c r="M603" s="9">
        <f t="shared" si="19"/>
        <v>26000</v>
      </c>
      <c r="N603" s="11">
        <v>0.18571428571428569</v>
      </c>
      <c r="O603" s="7">
        <v>2</v>
      </c>
      <c r="P603" s="11">
        <v>0</v>
      </c>
      <c r="Q603" s="37">
        <v>2023</v>
      </c>
      <c r="R603" s="56">
        <f>MONTH(DataSales[[#This Row],[Ngày Xuất]])</f>
        <v>11</v>
      </c>
      <c r="S603" s="56" t="s">
        <v>779</v>
      </c>
    </row>
    <row r="604" spans="1:19" x14ac:dyDescent="0.3">
      <c r="A604" s="34">
        <v>714</v>
      </c>
      <c r="B604" s="3" t="s">
        <v>574</v>
      </c>
      <c r="C604" s="3" t="s">
        <v>575</v>
      </c>
      <c r="D604" s="3" t="s">
        <v>18</v>
      </c>
      <c r="E604" s="4">
        <v>156640</v>
      </c>
      <c r="F604" s="2">
        <v>0</v>
      </c>
      <c r="G604" s="2">
        <v>5</v>
      </c>
      <c r="H604" s="4">
        <v>175000</v>
      </c>
      <c r="I604" s="4">
        <f t="shared" si="18"/>
        <v>175000</v>
      </c>
      <c r="J604" s="5">
        <v>45248</v>
      </c>
      <c r="K604" s="3" t="s">
        <v>245</v>
      </c>
      <c r="L604" s="3" t="str">
        <f>VLOOKUP(DataSales[[#This Row],[Khách hàng]],'RFM Table'!$A:$I,9,FALSE)</f>
        <v>Khách hàng VIP</v>
      </c>
      <c r="M604" s="4">
        <f t="shared" si="19"/>
        <v>18360</v>
      </c>
      <c r="N604" s="6">
        <v>0.1049142857142857</v>
      </c>
      <c r="O604" s="2">
        <v>5</v>
      </c>
      <c r="P604" s="6">
        <v>0</v>
      </c>
      <c r="Q604" s="36">
        <v>2023</v>
      </c>
      <c r="R604" s="56">
        <f>MONTH(DataSales[[#This Row],[Ngày Xuất]])</f>
        <v>11</v>
      </c>
      <c r="S604" s="56" t="s">
        <v>780</v>
      </c>
    </row>
    <row r="605" spans="1:19" x14ac:dyDescent="0.3">
      <c r="A605" s="35">
        <v>715</v>
      </c>
      <c r="B605" s="8" t="s">
        <v>576</v>
      </c>
      <c r="C605" s="8" t="s">
        <v>577</v>
      </c>
      <c r="D605" s="8" t="s">
        <v>18</v>
      </c>
      <c r="E605" s="9">
        <v>138600</v>
      </c>
      <c r="F605" s="7">
        <v>0</v>
      </c>
      <c r="G605" s="7">
        <v>5</v>
      </c>
      <c r="H605" s="9">
        <v>160000</v>
      </c>
      <c r="I605" s="9">
        <f t="shared" si="18"/>
        <v>160000</v>
      </c>
      <c r="J605" s="10">
        <v>45248</v>
      </c>
      <c r="K605" s="8" t="s">
        <v>245</v>
      </c>
      <c r="L605" s="8" t="str">
        <f>VLOOKUP(DataSales[[#This Row],[Khách hàng]],'RFM Table'!$A:$I,9,FALSE)</f>
        <v>Khách hàng VIP</v>
      </c>
      <c r="M605" s="9">
        <f t="shared" si="19"/>
        <v>21400</v>
      </c>
      <c r="N605" s="11">
        <v>0.13375000000000001</v>
      </c>
      <c r="O605" s="7">
        <v>5</v>
      </c>
      <c r="P605" s="11">
        <v>0</v>
      </c>
      <c r="Q605" s="37">
        <v>2023</v>
      </c>
      <c r="R605" s="56">
        <f>MONTH(DataSales[[#This Row],[Ngày Xuất]])</f>
        <v>11</v>
      </c>
      <c r="S605" s="56" t="s">
        <v>780</v>
      </c>
    </row>
    <row r="606" spans="1:19" x14ac:dyDescent="0.3">
      <c r="A606" s="34">
        <v>716</v>
      </c>
      <c r="B606" s="3" t="s">
        <v>189</v>
      </c>
      <c r="C606" s="3" t="s">
        <v>190</v>
      </c>
      <c r="D606" s="3" t="s">
        <v>170</v>
      </c>
      <c r="E606" s="4">
        <v>156000</v>
      </c>
      <c r="F606" s="2">
        <v>0</v>
      </c>
      <c r="G606" s="2">
        <v>2</v>
      </c>
      <c r="H606" s="4">
        <v>156000</v>
      </c>
      <c r="I606" s="4">
        <f t="shared" si="18"/>
        <v>156000</v>
      </c>
      <c r="J606" s="5">
        <v>45248</v>
      </c>
      <c r="K606" s="3" t="s">
        <v>245</v>
      </c>
      <c r="L606" s="3" t="str">
        <f>VLOOKUP(DataSales[[#This Row],[Khách hàng]],'RFM Table'!$A:$I,9,FALSE)</f>
        <v>Khách hàng VIP</v>
      </c>
      <c r="M606" s="4">
        <f t="shared" si="19"/>
        <v>0</v>
      </c>
      <c r="N606" s="6">
        <v>0</v>
      </c>
      <c r="O606" s="2">
        <v>2</v>
      </c>
      <c r="P606" s="6">
        <v>0</v>
      </c>
      <c r="Q606" s="36">
        <v>2023</v>
      </c>
      <c r="R606" s="56">
        <f>MONTH(DataSales[[#This Row],[Ngày Xuất]])</f>
        <v>11</v>
      </c>
      <c r="S606" s="56" t="s">
        <v>781</v>
      </c>
    </row>
    <row r="607" spans="1:19" x14ac:dyDescent="0.3">
      <c r="A607" s="35">
        <v>717</v>
      </c>
      <c r="B607" s="8" t="s">
        <v>359</v>
      </c>
      <c r="C607" s="8" t="s">
        <v>360</v>
      </c>
      <c r="D607" s="8" t="s">
        <v>18</v>
      </c>
      <c r="E607" s="9">
        <v>960000</v>
      </c>
      <c r="F607" s="7">
        <v>2</v>
      </c>
      <c r="G607" s="7">
        <v>20</v>
      </c>
      <c r="H607" s="9">
        <v>954000</v>
      </c>
      <c r="I607" s="9">
        <f t="shared" si="18"/>
        <v>954000</v>
      </c>
      <c r="J607" s="10">
        <v>45248</v>
      </c>
      <c r="K607" s="8" t="s">
        <v>589</v>
      </c>
      <c r="L607" s="8" t="str">
        <f>VLOOKUP(DataSales[[#This Row],[Khách hàng]],'RFM Table'!$A:$I,9,FALSE)</f>
        <v>Khách hàng Mới</v>
      </c>
      <c r="M607" s="9">
        <f t="shared" si="19"/>
        <v>-6000</v>
      </c>
      <c r="N607" s="11">
        <v>-6.2893081761006293E-3</v>
      </c>
      <c r="O607" s="7">
        <v>22</v>
      </c>
      <c r="P607" s="11">
        <v>9.0909090909090912E-2</v>
      </c>
      <c r="Q607" s="37">
        <v>2023</v>
      </c>
      <c r="R607" s="56">
        <f>MONTH(DataSales[[#This Row],[Ngày Xuất]])</f>
        <v>11</v>
      </c>
      <c r="S607" s="56" t="s">
        <v>772</v>
      </c>
    </row>
    <row r="608" spans="1:19" x14ac:dyDescent="0.3">
      <c r="A608" s="34">
        <v>719</v>
      </c>
      <c r="B608" s="3" t="s">
        <v>119</v>
      </c>
      <c r="C608" s="3" t="s">
        <v>120</v>
      </c>
      <c r="D608" s="3" t="s">
        <v>47</v>
      </c>
      <c r="E608" s="4">
        <v>600000</v>
      </c>
      <c r="F608" s="2">
        <v>6</v>
      </c>
      <c r="G608" s="2">
        <v>6</v>
      </c>
      <c r="H608" s="4">
        <v>654000</v>
      </c>
      <c r="I608" s="4">
        <f t="shared" si="18"/>
        <v>654000</v>
      </c>
      <c r="J608" s="5">
        <v>45250</v>
      </c>
      <c r="K608" s="3" t="s">
        <v>308</v>
      </c>
      <c r="L608" s="3" t="str">
        <f>VLOOKUP(DataSales[[#This Row],[Khách hàng]],'RFM Table'!$A:$I,9,FALSE)</f>
        <v>Khách hàng VIP</v>
      </c>
      <c r="M608" s="4">
        <f t="shared" si="19"/>
        <v>54000</v>
      </c>
      <c r="N608" s="6">
        <v>8.2568807339449546E-2</v>
      </c>
      <c r="O608" s="2">
        <v>12</v>
      </c>
      <c r="P608" s="6">
        <v>0.5</v>
      </c>
      <c r="Q608" s="36">
        <v>2023</v>
      </c>
      <c r="R608" s="56">
        <f>MONTH(DataSales[[#This Row],[Ngày Xuất]])</f>
        <v>11</v>
      </c>
      <c r="S608" s="56" t="s">
        <v>779</v>
      </c>
    </row>
    <row r="609" spans="1:19" x14ac:dyDescent="0.3">
      <c r="A609" s="35">
        <v>721</v>
      </c>
      <c r="B609" s="8" t="s">
        <v>119</v>
      </c>
      <c r="C609" s="8" t="s">
        <v>120</v>
      </c>
      <c r="D609" s="8" t="s">
        <v>47</v>
      </c>
      <c r="E609" s="9">
        <v>1200000</v>
      </c>
      <c r="F609" s="7">
        <v>0</v>
      </c>
      <c r="G609" s="7">
        <v>12</v>
      </c>
      <c r="H609" s="9">
        <v>2616000</v>
      </c>
      <c r="I609" s="9">
        <f t="shared" si="18"/>
        <v>2616000</v>
      </c>
      <c r="J609" s="10">
        <v>45250</v>
      </c>
      <c r="K609" s="8" t="s">
        <v>590</v>
      </c>
      <c r="L609" s="8" t="str">
        <f>VLOOKUP(DataSales[[#This Row],[Khách hàng]],'RFM Table'!$A:$I,9,FALSE)</f>
        <v>Khách hàng Mới</v>
      </c>
      <c r="M609" s="9">
        <f t="shared" si="19"/>
        <v>1416000</v>
      </c>
      <c r="N609" s="11">
        <v>0.54128440366972475</v>
      </c>
      <c r="O609" s="7">
        <v>12</v>
      </c>
      <c r="P609" s="11">
        <v>0</v>
      </c>
      <c r="Q609" s="37">
        <v>2023</v>
      </c>
      <c r="R609" s="56">
        <f>MONTH(DataSales[[#This Row],[Ngày Xuất]])</f>
        <v>11</v>
      </c>
      <c r="S609" s="56" t="s">
        <v>779</v>
      </c>
    </row>
    <row r="610" spans="1:19" x14ac:dyDescent="0.3">
      <c r="A610" s="34">
        <v>722</v>
      </c>
      <c r="B610" s="3" t="s">
        <v>121</v>
      </c>
      <c r="C610" s="3" t="s">
        <v>122</v>
      </c>
      <c r="D610" s="3" t="s">
        <v>47</v>
      </c>
      <c r="E610" s="4">
        <v>600000</v>
      </c>
      <c r="F610" s="2">
        <v>6</v>
      </c>
      <c r="G610" s="2">
        <v>6</v>
      </c>
      <c r="H610" s="4">
        <v>654000</v>
      </c>
      <c r="I610" s="4">
        <f t="shared" si="18"/>
        <v>654000</v>
      </c>
      <c r="J610" s="5">
        <v>45250</v>
      </c>
      <c r="K610" s="3" t="s">
        <v>590</v>
      </c>
      <c r="L610" s="3" t="str">
        <f>VLOOKUP(DataSales[[#This Row],[Khách hàng]],'RFM Table'!$A:$I,9,FALSE)</f>
        <v>Khách hàng Mới</v>
      </c>
      <c r="M610" s="4">
        <f t="shared" si="19"/>
        <v>54000</v>
      </c>
      <c r="N610" s="6">
        <v>8.2568807339449546E-2</v>
      </c>
      <c r="O610" s="2">
        <v>12</v>
      </c>
      <c r="P610" s="6">
        <v>0.5</v>
      </c>
      <c r="Q610" s="36">
        <v>2023</v>
      </c>
      <c r="R610" s="56">
        <f>MONTH(DataSales[[#This Row],[Ngày Xuất]])</f>
        <v>11</v>
      </c>
      <c r="S610" s="56" t="s">
        <v>779</v>
      </c>
    </row>
    <row r="611" spans="1:19" x14ac:dyDescent="0.3">
      <c r="A611" s="35">
        <v>724</v>
      </c>
      <c r="B611" s="8" t="s">
        <v>119</v>
      </c>
      <c r="C611" s="8" t="s">
        <v>120</v>
      </c>
      <c r="D611" s="8" t="s">
        <v>47</v>
      </c>
      <c r="E611" s="9">
        <v>600000</v>
      </c>
      <c r="F611" s="7">
        <v>0</v>
      </c>
      <c r="G611" s="7">
        <v>6</v>
      </c>
      <c r="H611" s="9">
        <v>1308000</v>
      </c>
      <c r="I611" s="9">
        <f t="shared" si="18"/>
        <v>1308000</v>
      </c>
      <c r="J611" s="10">
        <v>45250</v>
      </c>
      <c r="K611" s="8" t="s">
        <v>591</v>
      </c>
      <c r="L611" s="8" t="str">
        <f>VLOOKUP(DataSales[[#This Row],[Khách hàng]],'RFM Table'!$A:$I,9,FALSE)</f>
        <v>Khách hàng Mới</v>
      </c>
      <c r="M611" s="9">
        <f t="shared" si="19"/>
        <v>708000</v>
      </c>
      <c r="N611" s="11">
        <v>0.54128440366972475</v>
      </c>
      <c r="O611" s="7">
        <v>6</v>
      </c>
      <c r="P611" s="11">
        <v>0</v>
      </c>
      <c r="Q611" s="37">
        <v>2023</v>
      </c>
      <c r="R611" s="56">
        <f>MONTH(DataSales[[#This Row],[Ngày Xuất]])</f>
        <v>11</v>
      </c>
      <c r="S611" s="56" t="s">
        <v>779</v>
      </c>
    </row>
    <row r="612" spans="1:19" x14ac:dyDescent="0.3">
      <c r="A612" s="34">
        <v>726</v>
      </c>
      <c r="B612" s="3" t="s">
        <v>183</v>
      </c>
      <c r="C612" s="3" t="s">
        <v>184</v>
      </c>
      <c r="D612" s="3" t="s">
        <v>155</v>
      </c>
      <c r="E612" s="4">
        <v>332640</v>
      </c>
      <c r="F612" s="2">
        <v>0</v>
      </c>
      <c r="G612" s="2">
        <v>12</v>
      </c>
      <c r="H612" s="4">
        <v>384000</v>
      </c>
      <c r="I612" s="4">
        <f t="shared" si="18"/>
        <v>384000</v>
      </c>
      <c r="J612" s="5">
        <v>45250</v>
      </c>
      <c r="K612" s="3" t="s">
        <v>591</v>
      </c>
      <c r="L612" s="3" t="str">
        <f>VLOOKUP(DataSales[[#This Row],[Khách hàng]],'RFM Table'!$A:$I,9,FALSE)</f>
        <v>Khách hàng Mới</v>
      </c>
      <c r="M612" s="4">
        <f t="shared" si="19"/>
        <v>51360</v>
      </c>
      <c r="N612" s="6">
        <v>0.13375000000000001</v>
      </c>
      <c r="O612" s="2">
        <v>12</v>
      </c>
      <c r="P612" s="6">
        <v>0</v>
      </c>
      <c r="Q612" s="36">
        <v>2023</v>
      </c>
      <c r="R612" s="56">
        <f>MONTH(DataSales[[#This Row],[Ngày Xuất]])</f>
        <v>11</v>
      </c>
      <c r="S612" s="56" t="s">
        <v>780</v>
      </c>
    </row>
    <row r="613" spans="1:19" x14ac:dyDescent="0.3">
      <c r="A613" s="35">
        <v>727</v>
      </c>
      <c r="B613" s="8" t="s">
        <v>16</v>
      </c>
      <c r="C613" s="8" t="s">
        <v>17</v>
      </c>
      <c r="D613" s="8" t="s">
        <v>18</v>
      </c>
      <c r="E613" s="9">
        <v>345600</v>
      </c>
      <c r="F613" s="7">
        <v>4</v>
      </c>
      <c r="G613" s="7">
        <v>48</v>
      </c>
      <c r="H613" s="9">
        <v>536000</v>
      </c>
      <c r="I613" s="9">
        <f t="shared" si="18"/>
        <v>536000</v>
      </c>
      <c r="J613" s="10">
        <v>45250</v>
      </c>
      <c r="K613" s="8" t="s">
        <v>61</v>
      </c>
      <c r="L613" s="8" t="str">
        <f>VLOOKUP(DataSales[[#This Row],[Khách hàng]],'RFM Table'!$A:$I,9,FALSE)</f>
        <v>Khách hàng Trung thành</v>
      </c>
      <c r="M613" s="9">
        <f t="shared" si="19"/>
        <v>190400</v>
      </c>
      <c r="N613" s="11">
        <v>0.35522388059701487</v>
      </c>
      <c r="O613" s="7">
        <v>52</v>
      </c>
      <c r="P613" s="11">
        <v>7.6923076923076927E-2</v>
      </c>
      <c r="Q613" s="37">
        <v>2023</v>
      </c>
      <c r="R613" s="56">
        <f>MONTH(DataSales[[#This Row],[Ngày Xuất]])</f>
        <v>11</v>
      </c>
      <c r="S613" s="56" t="s">
        <v>772</v>
      </c>
    </row>
    <row r="614" spans="1:19" x14ac:dyDescent="0.3">
      <c r="A614" s="34">
        <v>729</v>
      </c>
      <c r="B614" s="3" t="s">
        <v>205</v>
      </c>
      <c r="C614" s="3" t="s">
        <v>206</v>
      </c>
      <c r="D614" s="3" t="s">
        <v>47</v>
      </c>
      <c r="E614" s="4">
        <v>100000</v>
      </c>
      <c r="F614" s="2">
        <v>0</v>
      </c>
      <c r="G614" s="2">
        <v>1</v>
      </c>
      <c r="H614" s="4">
        <v>218000</v>
      </c>
      <c r="I614" s="4">
        <f t="shared" si="18"/>
        <v>218000</v>
      </c>
      <c r="J614" s="5">
        <v>45250</v>
      </c>
      <c r="K614" s="3" t="s">
        <v>592</v>
      </c>
      <c r="L614" s="3" t="str">
        <f>VLOOKUP(DataSales[[#This Row],[Khách hàng]],'RFM Table'!$A:$I,9,FALSE)</f>
        <v>Khách hàng Trung thành</v>
      </c>
      <c r="M614" s="4">
        <f t="shared" si="19"/>
        <v>118000</v>
      </c>
      <c r="N614" s="6">
        <v>0.54128440366972475</v>
      </c>
      <c r="O614" s="2">
        <v>1</v>
      </c>
      <c r="P614" s="6">
        <v>0</v>
      </c>
      <c r="Q614" s="36">
        <v>2023</v>
      </c>
      <c r="R614" s="56">
        <f>MONTH(DataSales[[#This Row],[Ngày Xuất]])</f>
        <v>11</v>
      </c>
      <c r="S614" s="56" t="s">
        <v>779</v>
      </c>
    </row>
    <row r="615" spans="1:19" x14ac:dyDescent="0.3">
      <c r="A615" s="35">
        <v>730</v>
      </c>
      <c r="B615" s="8" t="s">
        <v>119</v>
      </c>
      <c r="C615" s="8" t="s">
        <v>120</v>
      </c>
      <c r="D615" s="8" t="s">
        <v>47</v>
      </c>
      <c r="E615" s="9">
        <v>100000</v>
      </c>
      <c r="F615" s="7">
        <v>0</v>
      </c>
      <c r="G615" s="7">
        <v>1</v>
      </c>
      <c r="H615" s="9">
        <v>218000</v>
      </c>
      <c r="I615" s="9">
        <f t="shared" si="18"/>
        <v>218000</v>
      </c>
      <c r="J615" s="10">
        <v>45250</v>
      </c>
      <c r="K615" s="8" t="s">
        <v>592</v>
      </c>
      <c r="L615" s="8" t="str">
        <f>VLOOKUP(DataSales[[#This Row],[Khách hàng]],'RFM Table'!$A:$I,9,FALSE)</f>
        <v>Khách hàng Trung thành</v>
      </c>
      <c r="M615" s="9">
        <f t="shared" si="19"/>
        <v>118000</v>
      </c>
      <c r="N615" s="11">
        <v>0.54128440366972475</v>
      </c>
      <c r="O615" s="7">
        <v>1</v>
      </c>
      <c r="P615" s="11">
        <v>0</v>
      </c>
      <c r="Q615" s="37">
        <v>2023</v>
      </c>
      <c r="R615" s="56">
        <f>MONTH(DataSales[[#This Row],[Ngày Xuất]])</f>
        <v>11</v>
      </c>
      <c r="S615" s="56" t="s">
        <v>779</v>
      </c>
    </row>
    <row r="616" spans="1:19" x14ac:dyDescent="0.3">
      <c r="A616" s="34">
        <v>731</v>
      </c>
      <c r="B616" s="3" t="s">
        <v>121</v>
      </c>
      <c r="C616" s="3" t="s">
        <v>122</v>
      </c>
      <c r="D616" s="3" t="s">
        <v>47</v>
      </c>
      <c r="E616" s="4">
        <v>100000</v>
      </c>
      <c r="F616" s="2">
        <v>0</v>
      </c>
      <c r="G616" s="2">
        <v>1</v>
      </c>
      <c r="H616" s="4">
        <v>218000</v>
      </c>
      <c r="I616" s="4">
        <f t="shared" si="18"/>
        <v>218000</v>
      </c>
      <c r="J616" s="5">
        <v>45250</v>
      </c>
      <c r="K616" s="3" t="s">
        <v>592</v>
      </c>
      <c r="L616" s="3" t="str">
        <f>VLOOKUP(DataSales[[#This Row],[Khách hàng]],'RFM Table'!$A:$I,9,FALSE)</f>
        <v>Khách hàng Trung thành</v>
      </c>
      <c r="M616" s="4">
        <f t="shared" si="19"/>
        <v>118000</v>
      </c>
      <c r="N616" s="6">
        <v>0.54128440366972475</v>
      </c>
      <c r="O616" s="2">
        <v>1</v>
      </c>
      <c r="P616" s="6">
        <v>0</v>
      </c>
      <c r="Q616" s="36">
        <v>2023</v>
      </c>
      <c r="R616" s="56">
        <f>MONTH(DataSales[[#This Row],[Ngày Xuất]])</f>
        <v>11</v>
      </c>
      <c r="S616" s="56" t="s">
        <v>779</v>
      </c>
    </row>
    <row r="617" spans="1:19" x14ac:dyDescent="0.3">
      <c r="A617" s="35">
        <v>732</v>
      </c>
      <c r="B617" s="8" t="s">
        <v>119</v>
      </c>
      <c r="C617" s="8" t="s">
        <v>120</v>
      </c>
      <c r="D617" s="8" t="s">
        <v>47</v>
      </c>
      <c r="E617" s="9">
        <v>900000</v>
      </c>
      <c r="F617" s="7">
        <v>3</v>
      </c>
      <c r="G617" s="7">
        <v>9</v>
      </c>
      <c r="H617" s="9">
        <v>1635000</v>
      </c>
      <c r="I617" s="9">
        <f t="shared" si="18"/>
        <v>1635000</v>
      </c>
      <c r="J617" s="10">
        <v>45250</v>
      </c>
      <c r="K617" s="8" t="s">
        <v>593</v>
      </c>
      <c r="L617" s="8" t="str">
        <f>VLOOKUP(DataSales[[#This Row],[Khách hàng]],'RFM Table'!$A:$I,9,FALSE)</f>
        <v>Khách hàng Mới</v>
      </c>
      <c r="M617" s="9">
        <f t="shared" si="19"/>
        <v>735000</v>
      </c>
      <c r="N617" s="11">
        <v>0.44954128440366969</v>
      </c>
      <c r="O617" s="7">
        <v>12</v>
      </c>
      <c r="P617" s="11">
        <v>0.25</v>
      </c>
      <c r="Q617" s="37">
        <v>2023</v>
      </c>
      <c r="R617" s="56">
        <f>MONTH(DataSales[[#This Row],[Ngày Xuất]])</f>
        <v>11</v>
      </c>
      <c r="S617" s="56" t="s">
        <v>779</v>
      </c>
    </row>
    <row r="618" spans="1:19" x14ac:dyDescent="0.3">
      <c r="A618" s="34">
        <v>734</v>
      </c>
      <c r="B618" s="3" t="s">
        <v>176</v>
      </c>
      <c r="C618" s="3" t="s">
        <v>177</v>
      </c>
      <c r="D618" s="3" t="s">
        <v>155</v>
      </c>
      <c r="E618" s="4">
        <v>55440</v>
      </c>
      <c r="F618" s="2">
        <v>0</v>
      </c>
      <c r="G618" s="2">
        <v>2</v>
      </c>
      <c r="H618" s="4">
        <v>60000</v>
      </c>
      <c r="I618" s="4">
        <f t="shared" si="18"/>
        <v>60000</v>
      </c>
      <c r="J618" s="5">
        <v>45250</v>
      </c>
      <c r="K618" s="3" t="s">
        <v>594</v>
      </c>
      <c r="L618" s="3" t="str">
        <f>VLOOKUP(DataSales[[#This Row],[Khách hàng]],'RFM Table'!$A:$I,9,FALSE)</f>
        <v>Khách hàng Trung thành</v>
      </c>
      <c r="M618" s="4">
        <f t="shared" si="19"/>
        <v>4560</v>
      </c>
      <c r="N618" s="6">
        <v>7.5999999999999998E-2</v>
      </c>
      <c r="O618" s="2">
        <v>2</v>
      </c>
      <c r="P618" s="6">
        <v>0</v>
      </c>
      <c r="Q618" s="36">
        <v>2023</v>
      </c>
      <c r="R618" s="56">
        <f>MONTH(DataSales[[#This Row],[Ngày Xuất]])</f>
        <v>11</v>
      </c>
      <c r="S618" s="56" t="s">
        <v>780</v>
      </c>
    </row>
    <row r="619" spans="1:19" x14ac:dyDescent="0.3">
      <c r="A619" s="35">
        <v>735</v>
      </c>
      <c r="B619" s="8" t="s">
        <v>179</v>
      </c>
      <c r="C619" s="8" t="s">
        <v>180</v>
      </c>
      <c r="D619" s="8" t="s">
        <v>155</v>
      </c>
      <c r="E619" s="9">
        <v>55440</v>
      </c>
      <c r="F619" s="7">
        <v>0</v>
      </c>
      <c r="G619" s="7">
        <v>2</v>
      </c>
      <c r="H619" s="9">
        <v>60000</v>
      </c>
      <c r="I619" s="9">
        <f t="shared" si="18"/>
        <v>60000</v>
      </c>
      <c r="J619" s="10">
        <v>45250</v>
      </c>
      <c r="K619" s="8" t="s">
        <v>594</v>
      </c>
      <c r="L619" s="8" t="str">
        <f>VLOOKUP(DataSales[[#This Row],[Khách hàng]],'RFM Table'!$A:$I,9,FALSE)</f>
        <v>Khách hàng Trung thành</v>
      </c>
      <c r="M619" s="9">
        <f t="shared" si="19"/>
        <v>4560</v>
      </c>
      <c r="N619" s="11">
        <v>7.5999999999999998E-2</v>
      </c>
      <c r="O619" s="7">
        <v>2</v>
      </c>
      <c r="P619" s="11">
        <v>0</v>
      </c>
      <c r="Q619" s="37">
        <v>2023</v>
      </c>
      <c r="R619" s="56">
        <f>MONTH(DataSales[[#This Row],[Ngày Xuất]])</f>
        <v>11</v>
      </c>
      <c r="S619" s="56" t="s">
        <v>780</v>
      </c>
    </row>
    <row r="620" spans="1:19" x14ac:dyDescent="0.3">
      <c r="A620" s="34">
        <v>736</v>
      </c>
      <c r="B620" s="3" t="s">
        <v>595</v>
      </c>
      <c r="C620" s="3" t="s">
        <v>596</v>
      </c>
      <c r="D620" s="3" t="s">
        <v>155</v>
      </c>
      <c r="E620" s="4">
        <v>55440</v>
      </c>
      <c r="F620" s="2">
        <v>0</v>
      </c>
      <c r="G620" s="2">
        <v>2</v>
      </c>
      <c r="H620" s="4">
        <v>60000</v>
      </c>
      <c r="I620" s="4">
        <f t="shared" si="18"/>
        <v>60000</v>
      </c>
      <c r="J620" s="5">
        <v>45250</v>
      </c>
      <c r="K620" s="3" t="s">
        <v>594</v>
      </c>
      <c r="L620" s="3" t="str">
        <f>VLOOKUP(DataSales[[#This Row],[Khách hàng]],'RFM Table'!$A:$I,9,FALSE)</f>
        <v>Khách hàng Trung thành</v>
      </c>
      <c r="M620" s="4">
        <f t="shared" si="19"/>
        <v>4560</v>
      </c>
      <c r="N620" s="6">
        <v>7.5999999999999998E-2</v>
      </c>
      <c r="O620" s="2">
        <v>2</v>
      </c>
      <c r="P620" s="6">
        <v>0</v>
      </c>
      <c r="Q620" s="36">
        <v>2023</v>
      </c>
      <c r="R620" s="56">
        <f>MONTH(DataSales[[#This Row],[Ngày Xuất]])</f>
        <v>11</v>
      </c>
      <c r="S620" s="56" t="s">
        <v>780</v>
      </c>
    </row>
    <row r="621" spans="1:19" x14ac:dyDescent="0.3">
      <c r="A621" s="35">
        <v>737</v>
      </c>
      <c r="B621" s="8" t="s">
        <v>181</v>
      </c>
      <c r="C621" s="8" t="s">
        <v>182</v>
      </c>
      <c r="D621" s="8" t="s">
        <v>155</v>
      </c>
      <c r="E621" s="9">
        <v>55440</v>
      </c>
      <c r="F621" s="7">
        <v>0</v>
      </c>
      <c r="G621" s="7">
        <v>2</v>
      </c>
      <c r="H621" s="9">
        <v>60000</v>
      </c>
      <c r="I621" s="9">
        <f t="shared" si="18"/>
        <v>60000</v>
      </c>
      <c r="J621" s="10">
        <v>45250</v>
      </c>
      <c r="K621" s="8" t="s">
        <v>594</v>
      </c>
      <c r="L621" s="8" t="str">
        <f>VLOOKUP(DataSales[[#This Row],[Khách hàng]],'RFM Table'!$A:$I,9,FALSE)</f>
        <v>Khách hàng Trung thành</v>
      </c>
      <c r="M621" s="9">
        <f t="shared" si="19"/>
        <v>4560</v>
      </c>
      <c r="N621" s="11">
        <v>7.5999999999999998E-2</v>
      </c>
      <c r="O621" s="7">
        <v>2</v>
      </c>
      <c r="P621" s="11">
        <v>0</v>
      </c>
      <c r="Q621" s="37">
        <v>2023</v>
      </c>
      <c r="R621" s="56">
        <f>MONTH(DataSales[[#This Row],[Ngày Xuất]])</f>
        <v>11</v>
      </c>
      <c r="S621" s="56" t="s">
        <v>780</v>
      </c>
    </row>
    <row r="622" spans="1:19" x14ac:dyDescent="0.3">
      <c r="A622" s="34">
        <v>738</v>
      </c>
      <c r="B622" s="3" t="s">
        <v>183</v>
      </c>
      <c r="C622" s="3" t="s">
        <v>184</v>
      </c>
      <c r="D622" s="3" t="s">
        <v>155</v>
      </c>
      <c r="E622" s="4">
        <v>55440</v>
      </c>
      <c r="F622" s="2">
        <v>0</v>
      </c>
      <c r="G622" s="2">
        <v>2</v>
      </c>
      <c r="H622" s="4">
        <v>60000</v>
      </c>
      <c r="I622" s="4">
        <f t="shared" si="18"/>
        <v>60000</v>
      </c>
      <c r="J622" s="5">
        <v>45250</v>
      </c>
      <c r="K622" s="3" t="s">
        <v>594</v>
      </c>
      <c r="L622" s="3" t="str">
        <f>VLOOKUP(DataSales[[#This Row],[Khách hàng]],'RFM Table'!$A:$I,9,FALSE)</f>
        <v>Khách hàng Trung thành</v>
      </c>
      <c r="M622" s="4">
        <f t="shared" si="19"/>
        <v>4560</v>
      </c>
      <c r="N622" s="6">
        <v>7.5999999999999998E-2</v>
      </c>
      <c r="O622" s="2">
        <v>2</v>
      </c>
      <c r="P622" s="6">
        <v>0</v>
      </c>
      <c r="Q622" s="36">
        <v>2023</v>
      </c>
      <c r="R622" s="56">
        <f>MONTH(DataSales[[#This Row],[Ngày Xuất]])</f>
        <v>11</v>
      </c>
      <c r="S622" s="56" t="s">
        <v>780</v>
      </c>
    </row>
    <row r="623" spans="1:19" x14ac:dyDescent="0.3">
      <c r="A623" s="35">
        <v>739</v>
      </c>
      <c r="B623" s="8" t="s">
        <v>185</v>
      </c>
      <c r="C623" s="8" t="s">
        <v>186</v>
      </c>
      <c r="D623" s="8" t="s">
        <v>155</v>
      </c>
      <c r="E623" s="9">
        <v>55440</v>
      </c>
      <c r="F623" s="7">
        <v>0</v>
      </c>
      <c r="G623" s="7">
        <v>2</v>
      </c>
      <c r="H623" s="9">
        <v>60000</v>
      </c>
      <c r="I623" s="9">
        <f t="shared" si="18"/>
        <v>60000</v>
      </c>
      <c r="J623" s="10">
        <v>45250</v>
      </c>
      <c r="K623" s="8" t="s">
        <v>594</v>
      </c>
      <c r="L623" s="8" t="str">
        <f>VLOOKUP(DataSales[[#This Row],[Khách hàng]],'RFM Table'!$A:$I,9,FALSE)</f>
        <v>Khách hàng Trung thành</v>
      </c>
      <c r="M623" s="9">
        <f t="shared" si="19"/>
        <v>4560</v>
      </c>
      <c r="N623" s="11">
        <v>7.5999999999999998E-2</v>
      </c>
      <c r="O623" s="7">
        <v>2</v>
      </c>
      <c r="P623" s="11">
        <v>0</v>
      </c>
      <c r="Q623" s="37">
        <v>2023</v>
      </c>
      <c r="R623" s="56">
        <f>MONTH(DataSales[[#This Row],[Ngày Xuất]])</f>
        <v>11</v>
      </c>
      <c r="S623" s="56" t="s">
        <v>780</v>
      </c>
    </row>
    <row r="624" spans="1:19" x14ac:dyDescent="0.3">
      <c r="A624" s="34">
        <v>740</v>
      </c>
      <c r="B624" s="3" t="s">
        <v>176</v>
      </c>
      <c r="C624" s="3" t="s">
        <v>177</v>
      </c>
      <c r="D624" s="3" t="s">
        <v>155</v>
      </c>
      <c r="E624" s="4">
        <v>55440</v>
      </c>
      <c r="F624" s="2">
        <v>0</v>
      </c>
      <c r="G624" s="2">
        <v>2</v>
      </c>
      <c r="H624" s="4">
        <v>64000</v>
      </c>
      <c r="I624" s="4">
        <f t="shared" si="18"/>
        <v>64000</v>
      </c>
      <c r="J624" s="5">
        <v>45250</v>
      </c>
      <c r="K624" s="3" t="s">
        <v>476</v>
      </c>
      <c r="L624" s="3" t="str">
        <f>VLOOKUP(DataSales[[#This Row],[Khách hàng]],'RFM Table'!$A:$I,9,FALSE)</f>
        <v>Khách hàng Trung thành</v>
      </c>
      <c r="M624" s="4">
        <f t="shared" si="19"/>
        <v>8560</v>
      </c>
      <c r="N624" s="6">
        <v>0.13375000000000001</v>
      </c>
      <c r="O624" s="2">
        <v>2</v>
      </c>
      <c r="P624" s="6">
        <v>0</v>
      </c>
      <c r="Q624" s="36">
        <v>2023</v>
      </c>
      <c r="R624" s="56">
        <f>MONTH(DataSales[[#This Row],[Ngày Xuất]])</f>
        <v>11</v>
      </c>
      <c r="S624" s="56" t="s">
        <v>780</v>
      </c>
    </row>
    <row r="625" spans="1:19" x14ac:dyDescent="0.3">
      <c r="A625" s="35">
        <v>741</v>
      </c>
      <c r="B625" s="8" t="s">
        <v>179</v>
      </c>
      <c r="C625" s="8" t="s">
        <v>180</v>
      </c>
      <c r="D625" s="8" t="s">
        <v>155</v>
      </c>
      <c r="E625" s="9">
        <v>55440</v>
      </c>
      <c r="F625" s="7">
        <v>0</v>
      </c>
      <c r="G625" s="7">
        <v>2</v>
      </c>
      <c r="H625" s="9">
        <v>64000</v>
      </c>
      <c r="I625" s="9">
        <f t="shared" si="18"/>
        <v>64000</v>
      </c>
      <c r="J625" s="10">
        <v>45250</v>
      </c>
      <c r="K625" s="8" t="s">
        <v>476</v>
      </c>
      <c r="L625" s="8" t="str">
        <f>VLOOKUP(DataSales[[#This Row],[Khách hàng]],'RFM Table'!$A:$I,9,FALSE)</f>
        <v>Khách hàng Trung thành</v>
      </c>
      <c r="M625" s="9">
        <f t="shared" si="19"/>
        <v>8560</v>
      </c>
      <c r="N625" s="11">
        <v>0.13375000000000001</v>
      </c>
      <c r="O625" s="7">
        <v>2</v>
      </c>
      <c r="P625" s="11">
        <v>0</v>
      </c>
      <c r="Q625" s="37">
        <v>2023</v>
      </c>
      <c r="R625" s="56">
        <f>MONTH(DataSales[[#This Row],[Ngày Xuất]])</f>
        <v>11</v>
      </c>
      <c r="S625" s="56" t="s">
        <v>780</v>
      </c>
    </row>
    <row r="626" spans="1:19" x14ac:dyDescent="0.3">
      <c r="A626" s="34">
        <v>742</v>
      </c>
      <c r="B626" s="3" t="s">
        <v>595</v>
      </c>
      <c r="C626" s="3" t="s">
        <v>596</v>
      </c>
      <c r="D626" s="3" t="s">
        <v>155</v>
      </c>
      <c r="E626" s="4">
        <v>55440</v>
      </c>
      <c r="F626" s="2">
        <v>0</v>
      </c>
      <c r="G626" s="2">
        <v>2</v>
      </c>
      <c r="H626" s="4">
        <v>64000</v>
      </c>
      <c r="I626" s="4">
        <f t="shared" si="18"/>
        <v>64000</v>
      </c>
      <c r="J626" s="5">
        <v>45250</v>
      </c>
      <c r="K626" s="3" t="s">
        <v>476</v>
      </c>
      <c r="L626" s="3" t="str">
        <f>VLOOKUP(DataSales[[#This Row],[Khách hàng]],'RFM Table'!$A:$I,9,FALSE)</f>
        <v>Khách hàng Trung thành</v>
      </c>
      <c r="M626" s="4">
        <f t="shared" si="19"/>
        <v>8560</v>
      </c>
      <c r="N626" s="6">
        <v>0.13375000000000001</v>
      </c>
      <c r="O626" s="2">
        <v>2</v>
      </c>
      <c r="P626" s="6">
        <v>0</v>
      </c>
      <c r="Q626" s="36">
        <v>2023</v>
      </c>
      <c r="R626" s="56">
        <f>MONTH(DataSales[[#This Row],[Ngày Xuất]])</f>
        <v>11</v>
      </c>
      <c r="S626" s="56" t="s">
        <v>780</v>
      </c>
    </row>
    <row r="627" spans="1:19" x14ac:dyDescent="0.3">
      <c r="A627" s="35">
        <v>743</v>
      </c>
      <c r="B627" s="8" t="s">
        <v>181</v>
      </c>
      <c r="C627" s="8" t="s">
        <v>182</v>
      </c>
      <c r="D627" s="8" t="s">
        <v>155</v>
      </c>
      <c r="E627" s="9">
        <v>55440</v>
      </c>
      <c r="F627" s="7">
        <v>0</v>
      </c>
      <c r="G627" s="7">
        <v>2</v>
      </c>
      <c r="H627" s="9">
        <v>64000</v>
      </c>
      <c r="I627" s="9">
        <f t="shared" si="18"/>
        <v>64000</v>
      </c>
      <c r="J627" s="10">
        <v>45250</v>
      </c>
      <c r="K627" s="8" t="s">
        <v>476</v>
      </c>
      <c r="L627" s="8" t="str">
        <f>VLOOKUP(DataSales[[#This Row],[Khách hàng]],'RFM Table'!$A:$I,9,FALSE)</f>
        <v>Khách hàng Trung thành</v>
      </c>
      <c r="M627" s="9">
        <f t="shared" si="19"/>
        <v>8560</v>
      </c>
      <c r="N627" s="11">
        <v>0.13375000000000001</v>
      </c>
      <c r="O627" s="7">
        <v>2</v>
      </c>
      <c r="P627" s="11">
        <v>0</v>
      </c>
      <c r="Q627" s="37">
        <v>2023</v>
      </c>
      <c r="R627" s="56">
        <f>MONTH(DataSales[[#This Row],[Ngày Xuất]])</f>
        <v>11</v>
      </c>
      <c r="S627" s="56" t="s">
        <v>780</v>
      </c>
    </row>
    <row r="628" spans="1:19" x14ac:dyDescent="0.3">
      <c r="A628" s="34">
        <v>744</v>
      </c>
      <c r="B628" s="3" t="s">
        <v>183</v>
      </c>
      <c r="C628" s="3" t="s">
        <v>184</v>
      </c>
      <c r="D628" s="3" t="s">
        <v>155</v>
      </c>
      <c r="E628" s="4">
        <v>55440</v>
      </c>
      <c r="F628" s="2">
        <v>0</v>
      </c>
      <c r="G628" s="2">
        <v>2</v>
      </c>
      <c r="H628" s="4">
        <v>64000</v>
      </c>
      <c r="I628" s="4">
        <f t="shared" si="18"/>
        <v>64000</v>
      </c>
      <c r="J628" s="5">
        <v>45250</v>
      </c>
      <c r="K628" s="3" t="s">
        <v>476</v>
      </c>
      <c r="L628" s="3" t="str">
        <f>VLOOKUP(DataSales[[#This Row],[Khách hàng]],'RFM Table'!$A:$I,9,FALSE)</f>
        <v>Khách hàng Trung thành</v>
      </c>
      <c r="M628" s="4">
        <f t="shared" si="19"/>
        <v>8560</v>
      </c>
      <c r="N628" s="6">
        <v>0.13375000000000001</v>
      </c>
      <c r="O628" s="2">
        <v>2</v>
      </c>
      <c r="P628" s="6">
        <v>0</v>
      </c>
      <c r="Q628" s="36">
        <v>2023</v>
      </c>
      <c r="R628" s="56">
        <f>MONTH(DataSales[[#This Row],[Ngày Xuất]])</f>
        <v>11</v>
      </c>
      <c r="S628" s="56" t="s">
        <v>780</v>
      </c>
    </row>
    <row r="629" spans="1:19" x14ac:dyDescent="0.3">
      <c r="A629" s="35">
        <v>745</v>
      </c>
      <c r="B629" s="8" t="s">
        <v>597</v>
      </c>
      <c r="C629" s="8" t="s">
        <v>598</v>
      </c>
      <c r="D629" s="8" t="s">
        <v>47</v>
      </c>
      <c r="E629" s="9">
        <v>392000</v>
      </c>
      <c r="F629" s="7">
        <v>0</v>
      </c>
      <c r="G629" s="7">
        <v>4</v>
      </c>
      <c r="H629" s="9">
        <v>960000</v>
      </c>
      <c r="I629" s="9">
        <f t="shared" si="18"/>
        <v>960000</v>
      </c>
      <c r="J629" s="10">
        <v>45252</v>
      </c>
      <c r="K629" s="8" t="s">
        <v>540</v>
      </c>
      <c r="L629" s="8" t="str">
        <f>VLOOKUP(DataSales[[#This Row],[Khách hàng]],'RFM Table'!$A:$I,9,FALSE)</f>
        <v>Khách hàng Trung thành</v>
      </c>
      <c r="M629" s="9">
        <f t="shared" si="19"/>
        <v>568000</v>
      </c>
      <c r="N629" s="11">
        <v>0.59166666666666667</v>
      </c>
      <c r="O629" s="7">
        <v>4</v>
      </c>
      <c r="P629" s="11">
        <v>0</v>
      </c>
      <c r="Q629" s="37">
        <v>2023</v>
      </c>
      <c r="R629" s="56">
        <f>MONTH(DataSales[[#This Row],[Ngày Xuất]])</f>
        <v>11</v>
      </c>
      <c r="S629" s="56" t="s">
        <v>779</v>
      </c>
    </row>
    <row r="630" spans="1:19" x14ac:dyDescent="0.3">
      <c r="A630" s="34">
        <v>746</v>
      </c>
      <c r="B630" s="3" t="s">
        <v>599</v>
      </c>
      <c r="C630" s="3" t="s">
        <v>600</v>
      </c>
      <c r="D630" s="3" t="s">
        <v>47</v>
      </c>
      <c r="E630" s="4">
        <v>392000</v>
      </c>
      <c r="F630" s="2">
        <v>0</v>
      </c>
      <c r="G630" s="2">
        <v>4</v>
      </c>
      <c r="H630" s="4">
        <v>960000</v>
      </c>
      <c r="I630" s="4">
        <f t="shared" si="18"/>
        <v>960000</v>
      </c>
      <c r="J630" s="5">
        <v>45252</v>
      </c>
      <c r="K630" s="3" t="s">
        <v>540</v>
      </c>
      <c r="L630" s="3" t="str">
        <f>VLOOKUP(DataSales[[#This Row],[Khách hàng]],'RFM Table'!$A:$I,9,FALSE)</f>
        <v>Khách hàng Trung thành</v>
      </c>
      <c r="M630" s="4">
        <f t="shared" si="19"/>
        <v>568000</v>
      </c>
      <c r="N630" s="6">
        <v>0.59166666666666667</v>
      </c>
      <c r="O630" s="2">
        <v>4</v>
      </c>
      <c r="P630" s="6">
        <v>0</v>
      </c>
      <c r="Q630" s="36">
        <v>2023</v>
      </c>
      <c r="R630" s="56">
        <f>MONTH(DataSales[[#This Row],[Ngày Xuất]])</f>
        <v>11</v>
      </c>
      <c r="S630" s="56" t="s">
        <v>779</v>
      </c>
    </row>
    <row r="631" spans="1:19" x14ac:dyDescent="0.3">
      <c r="A631" s="35">
        <v>747</v>
      </c>
      <c r="B631" s="8" t="s">
        <v>580</v>
      </c>
      <c r="C631" s="8" t="s">
        <v>581</v>
      </c>
      <c r="D631" s="8" t="s">
        <v>47</v>
      </c>
      <c r="E631" s="9">
        <v>80000</v>
      </c>
      <c r="F631" s="7">
        <v>3</v>
      </c>
      <c r="G631" s="7">
        <v>5</v>
      </c>
      <c r="H631" s="9">
        <v>111000</v>
      </c>
      <c r="I631" s="9">
        <f t="shared" si="18"/>
        <v>111000</v>
      </c>
      <c r="J631" s="10">
        <v>45252</v>
      </c>
      <c r="K631" s="8" t="s">
        <v>552</v>
      </c>
      <c r="L631" s="8" t="str">
        <f>VLOOKUP(DataSales[[#This Row],[Khách hàng]],'RFM Table'!$A:$I,9,FALSE)</f>
        <v>Khách hàng Trung thành</v>
      </c>
      <c r="M631" s="9">
        <f t="shared" si="19"/>
        <v>31000</v>
      </c>
      <c r="N631" s="11">
        <v>0.27927927927927931</v>
      </c>
      <c r="O631" s="7">
        <v>8</v>
      </c>
      <c r="P631" s="11">
        <v>0.375</v>
      </c>
      <c r="Q631" s="37">
        <v>2023</v>
      </c>
      <c r="R631" s="56">
        <f>MONTH(DataSales[[#This Row],[Ngày Xuất]])</f>
        <v>11</v>
      </c>
      <c r="S631" s="56" t="s">
        <v>782</v>
      </c>
    </row>
    <row r="632" spans="1:19" x14ac:dyDescent="0.3">
      <c r="A632" s="34">
        <v>748</v>
      </c>
      <c r="B632" s="3" t="s">
        <v>601</v>
      </c>
      <c r="C632" s="3" t="s">
        <v>602</v>
      </c>
      <c r="D632" s="3" t="s">
        <v>47</v>
      </c>
      <c r="E632" s="4">
        <v>80000</v>
      </c>
      <c r="F632" s="2">
        <v>2</v>
      </c>
      <c r="G632" s="2">
        <v>5</v>
      </c>
      <c r="H632" s="4">
        <v>137000</v>
      </c>
      <c r="I632" s="4">
        <f t="shared" si="18"/>
        <v>137000</v>
      </c>
      <c r="J632" s="5">
        <v>45252</v>
      </c>
      <c r="K632" s="3" t="s">
        <v>552</v>
      </c>
      <c r="L632" s="3" t="str">
        <f>VLOOKUP(DataSales[[#This Row],[Khách hàng]],'RFM Table'!$A:$I,9,FALSE)</f>
        <v>Khách hàng Trung thành</v>
      </c>
      <c r="M632" s="4">
        <f t="shared" si="19"/>
        <v>57000</v>
      </c>
      <c r="N632" s="6">
        <v>0.41605839416058388</v>
      </c>
      <c r="O632" s="2">
        <v>7</v>
      </c>
      <c r="P632" s="6">
        <v>0.2857142857142857</v>
      </c>
      <c r="Q632" s="36">
        <v>2023</v>
      </c>
      <c r="R632" s="56">
        <f>MONTH(DataSales[[#This Row],[Ngày Xuất]])</f>
        <v>11</v>
      </c>
      <c r="S632" s="56" t="s">
        <v>782</v>
      </c>
    </row>
    <row r="633" spans="1:19" x14ac:dyDescent="0.3">
      <c r="A633" s="35">
        <v>749</v>
      </c>
      <c r="B633" s="8" t="s">
        <v>597</v>
      </c>
      <c r="C633" s="8" t="s">
        <v>598</v>
      </c>
      <c r="D633" s="8" t="s">
        <v>47</v>
      </c>
      <c r="E633" s="9">
        <v>392000</v>
      </c>
      <c r="F633" s="7">
        <v>0</v>
      </c>
      <c r="G633" s="7">
        <v>4</v>
      </c>
      <c r="H633" s="9">
        <v>960000</v>
      </c>
      <c r="I633" s="9">
        <f t="shared" si="18"/>
        <v>960000</v>
      </c>
      <c r="J633" s="10">
        <v>45252</v>
      </c>
      <c r="K633" s="8" t="s">
        <v>310</v>
      </c>
      <c r="L633" s="8" t="str">
        <f>VLOOKUP(DataSales[[#This Row],[Khách hàng]],'RFM Table'!$A:$I,9,FALSE)</f>
        <v>Khách hàng Trung thành</v>
      </c>
      <c r="M633" s="9">
        <f t="shared" si="19"/>
        <v>568000</v>
      </c>
      <c r="N633" s="11">
        <v>0.59166666666666667</v>
      </c>
      <c r="O633" s="7">
        <v>4</v>
      </c>
      <c r="P633" s="11">
        <v>0</v>
      </c>
      <c r="Q633" s="37">
        <v>2023</v>
      </c>
      <c r="R633" s="56">
        <f>MONTH(DataSales[[#This Row],[Ngày Xuất]])</f>
        <v>11</v>
      </c>
      <c r="S633" s="56" t="s">
        <v>779</v>
      </c>
    </row>
    <row r="634" spans="1:19" x14ac:dyDescent="0.3">
      <c r="A634" s="34">
        <v>750</v>
      </c>
      <c r="B634" s="3" t="s">
        <v>599</v>
      </c>
      <c r="C634" s="3" t="s">
        <v>600</v>
      </c>
      <c r="D634" s="3" t="s">
        <v>47</v>
      </c>
      <c r="E634" s="4">
        <v>392000</v>
      </c>
      <c r="F634" s="2">
        <v>0</v>
      </c>
      <c r="G634" s="2">
        <v>4</v>
      </c>
      <c r="H634" s="4">
        <v>960000</v>
      </c>
      <c r="I634" s="4">
        <f t="shared" si="18"/>
        <v>960000</v>
      </c>
      <c r="J634" s="5">
        <v>45252</v>
      </c>
      <c r="K634" s="3" t="s">
        <v>310</v>
      </c>
      <c r="L634" s="3" t="str">
        <f>VLOOKUP(DataSales[[#This Row],[Khách hàng]],'RFM Table'!$A:$I,9,FALSE)</f>
        <v>Khách hàng Trung thành</v>
      </c>
      <c r="M634" s="4">
        <f t="shared" si="19"/>
        <v>568000</v>
      </c>
      <c r="N634" s="6">
        <v>0.59166666666666667</v>
      </c>
      <c r="O634" s="2">
        <v>4</v>
      </c>
      <c r="P634" s="6">
        <v>0</v>
      </c>
      <c r="Q634" s="36">
        <v>2023</v>
      </c>
      <c r="R634" s="56">
        <f>MONTH(DataSales[[#This Row],[Ngày Xuất]])</f>
        <v>11</v>
      </c>
      <c r="S634" s="56" t="s">
        <v>779</v>
      </c>
    </row>
    <row r="635" spans="1:19" x14ac:dyDescent="0.3">
      <c r="A635" s="35">
        <v>751</v>
      </c>
      <c r="B635" s="8" t="s">
        <v>417</v>
      </c>
      <c r="C635" s="8" t="s">
        <v>418</v>
      </c>
      <c r="D635" s="8" t="s">
        <v>18</v>
      </c>
      <c r="E635" s="9">
        <v>61000</v>
      </c>
      <c r="F635" s="7">
        <v>0</v>
      </c>
      <c r="G635" s="7">
        <v>5</v>
      </c>
      <c r="H635" s="9">
        <v>70000</v>
      </c>
      <c r="I635" s="9">
        <f t="shared" si="18"/>
        <v>70000</v>
      </c>
      <c r="J635" s="10">
        <v>45252</v>
      </c>
      <c r="K635" s="8" t="s">
        <v>310</v>
      </c>
      <c r="L635" s="8" t="str">
        <f>VLOOKUP(DataSales[[#This Row],[Khách hàng]],'RFM Table'!$A:$I,9,FALSE)</f>
        <v>Khách hàng Trung thành</v>
      </c>
      <c r="M635" s="9">
        <f t="shared" si="19"/>
        <v>9000</v>
      </c>
      <c r="N635" s="11">
        <v>0.12857142857142859</v>
      </c>
      <c r="O635" s="7">
        <v>5</v>
      </c>
      <c r="P635" s="11">
        <v>0</v>
      </c>
      <c r="Q635" s="37">
        <v>2023</v>
      </c>
      <c r="R635" s="56">
        <f>MONTH(DataSales[[#This Row],[Ngày Xuất]])</f>
        <v>11</v>
      </c>
      <c r="S635" s="56" t="s">
        <v>776</v>
      </c>
    </row>
    <row r="636" spans="1:19" x14ac:dyDescent="0.3">
      <c r="A636" s="34">
        <v>752</v>
      </c>
      <c r="B636" s="3" t="s">
        <v>419</v>
      </c>
      <c r="C636" s="3" t="s">
        <v>420</v>
      </c>
      <c r="D636" s="3" t="s">
        <v>18</v>
      </c>
      <c r="E636" s="4">
        <v>61000</v>
      </c>
      <c r="F636" s="2">
        <v>0</v>
      </c>
      <c r="G636" s="2">
        <v>5</v>
      </c>
      <c r="H636" s="4">
        <v>70000</v>
      </c>
      <c r="I636" s="4">
        <f t="shared" si="18"/>
        <v>70000</v>
      </c>
      <c r="J636" s="5">
        <v>45252</v>
      </c>
      <c r="K636" s="3" t="s">
        <v>310</v>
      </c>
      <c r="L636" s="3" t="str">
        <f>VLOOKUP(DataSales[[#This Row],[Khách hàng]],'RFM Table'!$A:$I,9,FALSE)</f>
        <v>Khách hàng Trung thành</v>
      </c>
      <c r="M636" s="4">
        <f t="shared" si="19"/>
        <v>9000</v>
      </c>
      <c r="N636" s="6">
        <v>0.12857142857142859</v>
      </c>
      <c r="O636" s="2">
        <v>5</v>
      </c>
      <c r="P636" s="6">
        <v>0</v>
      </c>
      <c r="Q636" s="36">
        <v>2023</v>
      </c>
      <c r="R636" s="56">
        <f>MONTH(DataSales[[#This Row],[Ngày Xuất]])</f>
        <v>11</v>
      </c>
      <c r="S636" s="56" t="s">
        <v>776</v>
      </c>
    </row>
    <row r="637" spans="1:19" x14ac:dyDescent="0.3">
      <c r="A637" s="35">
        <v>753</v>
      </c>
      <c r="B637" s="8" t="s">
        <v>226</v>
      </c>
      <c r="C637" s="8" t="s">
        <v>227</v>
      </c>
      <c r="D637" s="8" t="s">
        <v>32</v>
      </c>
      <c r="E637" s="9">
        <v>300000</v>
      </c>
      <c r="F637" s="7">
        <v>1</v>
      </c>
      <c r="G637" s="7">
        <v>12</v>
      </c>
      <c r="H637" s="9">
        <v>410000</v>
      </c>
      <c r="I637" s="9">
        <f t="shared" si="18"/>
        <v>410000</v>
      </c>
      <c r="J637" s="10">
        <v>45252</v>
      </c>
      <c r="K637" s="8" t="s">
        <v>64</v>
      </c>
      <c r="L637" s="8" t="str">
        <f>VLOOKUP(DataSales[[#This Row],[Khách hàng]],'RFM Table'!$A:$I,9,FALSE)</f>
        <v>Khách hàng Trung thành</v>
      </c>
      <c r="M637" s="9">
        <f t="shared" si="19"/>
        <v>110000</v>
      </c>
      <c r="N637" s="11">
        <v>0.26829268292682928</v>
      </c>
      <c r="O637" s="7">
        <v>13</v>
      </c>
      <c r="P637" s="11">
        <v>7.6923076923076927E-2</v>
      </c>
      <c r="Q637" s="37">
        <v>2023</v>
      </c>
      <c r="R637" s="56">
        <f>MONTH(DataSales[[#This Row],[Ngày Xuất]])</f>
        <v>11</v>
      </c>
      <c r="S637" s="56" t="s">
        <v>779</v>
      </c>
    </row>
    <row r="638" spans="1:19" x14ac:dyDescent="0.3">
      <c r="A638" s="34">
        <v>754</v>
      </c>
      <c r="B638" s="3" t="s">
        <v>538</v>
      </c>
      <c r="C638" s="3" t="s">
        <v>539</v>
      </c>
      <c r="D638" s="3" t="s">
        <v>18</v>
      </c>
      <c r="E638" s="4">
        <v>285000</v>
      </c>
      <c r="F638" s="2">
        <v>0</v>
      </c>
      <c r="G638" s="2">
        <v>15</v>
      </c>
      <c r="H638" s="4">
        <v>375000</v>
      </c>
      <c r="I638" s="4">
        <f t="shared" si="18"/>
        <v>375000</v>
      </c>
      <c r="J638" s="5">
        <v>45252</v>
      </c>
      <c r="K638" s="3" t="s">
        <v>64</v>
      </c>
      <c r="L638" s="3" t="str">
        <f>VLOOKUP(DataSales[[#This Row],[Khách hàng]],'RFM Table'!$A:$I,9,FALSE)</f>
        <v>Khách hàng Trung thành</v>
      </c>
      <c r="M638" s="4">
        <f t="shared" si="19"/>
        <v>90000</v>
      </c>
      <c r="N638" s="6">
        <v>0.24</v>
      </c>
      <c r="O638" s="2">
        <v>15</v>
      </c>
      <c r="P638" s="6">
        <v>0</v>
      </c>
      <c r="Q638" s="36">
        <v>2023</v>
      </c>
      <c r="R638" s="56">
        <f>MONTH(DataSales[[#This Row],[Ngày Xuất]])</f>
        <v>11</v>
      </c>
      <c r="S638" s="56" t="s">
        <v>772</v>
      </c>
    </row>
    <row r="639" spans="1:19" x14ac:dyDescent="0.3">
      <c r="A639" s="35">
        <v>755</v>
      </c>
      <c r="B639" s="8" t="s">
        <v>119</v>
      </c>
      <c r="C639" s="8" t="s">
        <v>120</v>
      </c>
      <c r="D639" s="8" t="s">
        <v>47</v>
      </c>
      <c r="E639" s="9">
        <v>600000</v>
      </c>
      <c r="F639" s="7">
        <v>0</v>
      </c>
      <c r="G639" s="7">
        <v>6</v>
      </c>
      <c r="H639" s="9">
        <v>1308000</v>
      </c>
      <c r="I639" s="9">
        <f t="shared" si="18"/>
        <v>1308000</v>
      </c>
      <c r="J639" s="10">
        <v>45252</v>
      </c>
      <c r="K639" s="8" t="s">
        <v>603</v>
      </c>
      <c r="L639" s="8" t="str">
        <f>VLOOKUP(DataSales[[#This Row],[Khách hàng]],'RFM Table'!$A:$I,9,FALSE)</f>
        <v>Khách hàng Mới</v>
      </c>
      <c r="M639" s="9">
        <f t="shared" si="19"/>
        <v>708000</v>
      </c>
      <c r="N639" s="11">
        <v>0.54128440366972475</v>
      </c>
      <c r="O639" s="7">
        <v>6</v>
      </c>
      <c r="P639" s="11">
        <v>0</v>
      </c>
      <c r="Q639" s="37">
        <v>2023</v>
      </c>
      <c r="R639" s="56">
        <f>MONTH(DataSales[[#This Row],[Ngày Xuất]])</f>
        <v>11</v>
      </c>
      <c r="S639" s="56" t="s">
        <v>779</v>
      </c>
    </row>
    <row r="640" spans="1:19" x14ac:dyDescent="0.3">
      <c r="A640" s="34">
        <v>757</v>
      </c>
      <c r="B640" s="3" t="s">
        <v>57</v>
      </c>
      <c r="C640" s="3" t="s">
        <v>58</v>
      </c>
      <c r="D640" s="3" t="s">
        <v>18</v>
      </c>
      <c r="E640" s="4">
        <v>1155000</v>
      </c>
      <c r="F640" s="2">
        <v>0</v>
      </c>
      <c r="G640" s="2">
        <v>150</v>
      </c>
      <c r="H640" s="4">
        <v>1350000</v>
      </c>
      <c r="I640" s="4">
        <f t="shared" si="18"/>
        <v>1350000</v>
      </c>
      <c r="J640" s="5">
        <v>45252</v>
      </c>
      <c r="K640" s="3" t="s">
        <v>603</v>
      </c>
      <c r="L640" s="3" t="str">
        <f>VLOOKUP(DataSales[[#This Row],[Khách hàng]],'RFM Table'!$A:$I,9,FALSE)</f>
        <v>Khách hàng Mới</v>
      </c>
      <c r="M640" s="4">
        <f t="shared" si="19"/>
        <v>195000</v>
      </c>
      <c r="N640" s="6">
        <v>0.1444444444444444</v>
      </c>
      <c r="O640" s="2">
        <v>150</v>
      </c>
      <c r="P640" s="6">
        <v>0</v>
      </c>
      <c r="Q640" s="36">
        <v>2023</v>
      </c>
      <c r="R640" s="56">
        <f>MONTH(DataSales[[#This Row],[Ngày Xuất]])</f>
        <v>11</v>
      </c>
      <c r="S640" s="56" t="s">
        <v>775</v>
      </c>
    </row>
    <row r="641" spans="1:19" x14ac:dyDescent="0.3">
      <c r="A641" s="35">
        <v>758</v>
      </c>
      <c r="B641" s="8" t="s">
        <v>226</v>
      </c>
      <c r="C641" s="8" t="s">
        <v>227</v>
      </c>
      <c r="D641" s="8" t="s">
        <v>32</v>
      </c>
      <c r="E641" s="9">
        <v>300000</v>
      </c>
      <c r="F641" s="7">
        <v>0</v>
      </c>
      <c r="G641" s="7">
        <v>12</v>
      </c>
      <c r="H641" s="9">
        <v>408000</v>
      </c>
      <c r="I641" s="9">
        <f t="shared" si="18"/>
        <v>408000</v>
      </c>
      <c r="J641" s="10">
        <v>45253</v>
      </c>
      <c r="K641" s="8" t="s">
        <v>251</v>
      </c>
      <c r="L641" s="8" t="str">
        <f>VLOOKUP(DataSales[[#This Row],[Khách hàng]],'RFM Table'!$A:$I,9,FALSE)</f>
        <v>Khách hàng VIP</v>
      </c>
      <c r="M641" s="9">
        <f t="shared" si="19"/>
        <v>108000</v>
      </c>
      <c r="N641" s="11">
        <v>0.26470588235294118</v>
      </c>
      <c r="O641" s="7">
        <v>12</v>
      </c>
      <c r="P641" s="11">
        <v>0</v>
      </c>
      <c r="Q641" s="37">
        <v>2023</v>
      </c>
      <c r="R641" s="56">
        <f>MONTH(DataSales[[#This Row],[Ngày Xuất]])</f>
        <v>11</v>
      </c>
      <c r="S641" s="56" t="s">
        <v>779</v>
      </c>
    </row>
    <row r="642" spans="1:19" x14ac:dyDescent="0.3">
      <c r="A642" s="34">
        <v>759</v>
      </c>
      <c r="B642" s="3" t="s">
        <v>187</v>
      </c>
      <c r="C642" s="3" t="s">
        <v>188</v>
      </c>
      <c r="D642" s="3" t="s">
        <v>18</v>
      </c>
      <c r="E642" s="4">
        <v>450000</v>
      </c>
      <c r="F642" s="2">
        <v>0</v>
      </c>
      <c r="G642" s="2">
        <v>60</v>
      </c>
      <c r="H642" s="4">
        <v>540000</v>
      </c>
      <c r="I642" s="4">
        <f t="shared" ref="I642:I705" si="20">H642</f>
        <v>540000</v>
      </c>
      <c r="J642" s="5">
        <v>45253</v>
      </c>
      <c r="K642" s="3" t="s">
        <v>251</v>
      </c>
      <c r="L642" s="3" t="str">
        <f>VLOOKUP(DataSales[[#This Row],[Khách hàng]],'RFM Table'!$A:$I,9,FALSE)</f>
        <v>Khách hàng VIP</v>
      </c>
      <c r="M642" s="4">
        <f t="shared" ref="M642:M706" si="21">I642-E642</f>
        <v>90000</v>
      </c>
      <c r="N642" s="6">
        <v>0.16666666666666671</v>
      </c>
      <c r="O642" s="2">
        <v>60</v>
      </c>
      <c r="P642" s="6">
        <v>0</v>
      </c>
      <c r="Q642" s="36">
        <v>2023</v>
      </c>
      <c r="R642" s="56">
        <f>MONTH(DataSales[[#This Row],[Ngày Xuất]])</f>
        <v>11</v>
      </c>
      <c r="S642" s="56" t="s">
        <v>772</v>
      </c>
    </row>
    <row r="643" spans="1:19" x14ac:dyDescent="0.3">
      <c r="A643" s="35">
        <v>760</v>
      </c>
      <c r="B643" s="8" t="s">
        <v>509</v>
      </c>
      <c r="C643" s="8" t="s">
        <v>510</v>
      </c>
      <c r="D643" s="8" t="s">
        <v>18</v>
      </c>
      <c r="E643" s="9">
        <v>1411920</v>
      </c>
      <c r="F643" s="7">
        <v>0</v>
      </c>
      <c r="G643" s="7">
        <v>12</v>
      </c>
      <c r="H643" s="9">
        <v>1908000</v>
      </c>
      <c r="I643" s="9">
        <f t="shared" si="20"/>
        <v>1908000</v>
      </c>
      <c r="J643" s="10">
        <v>45254</v>
      </c>
      <c r="K643" s="8" t="s">
        <v>341</v>
      </c>
      <c r="L643" s="8" t="str">
        <f>VLOOKUP(DataSales[[#This Row],[Khách hàng]],'RFM Table'!$A:$I,9,FALSE)</f>
        <v>Khách hàng VIP</v>
      </c>
      <c r="M643" s="9">
        <f t="shared" si="21"/>
        <v>496080</v>
      </c>
      <c r="N643" s="11">
        <v>0.26</v>
      </c>
      <c r="O643" s="7">
        <v>12</v>
      </c>
      <c r="P643" s="11">
        <v>0</v>
      </c>
      <c r="Q643" s="37">
        <v>2023</v>
      </c>
      <c r="R643" s="56">
        <f>MONTH(DataSales[[#This Row],[Ngày Xuất]])</f>
        <v>11</v>
      </c>
      <c r="S643" s="56" t="s">
        <v>773</v>
      </c>
    </row>
    <row r="644" spans="1:19" x14ac:dyDescent="0.3">
      <c r="A644" s="34">
        <v>763</v>
      </c>
      <c r="B644" s="3" t="s">
        <v>16</v>
      </c>
      <c r="C644" s="3" t="s">
        <v>17</v>
      </c>
      <c r="D644" s="3" t="s">
        <v>18</v>
      </c>
      <c r="E644" s="4">
        <v>172800</v>
      </c>
      <c r="F644" s="2">
        <v>2</v>
      </c>
      <c r="G644" s="2">
        <v>24</v>
      </c>
      <c r="H644" s="4">
        <v>268000</v>
      </c>
      <c r="I644" s="4">
        <f t="shared" si="20"/>
        <v>268000</v>
      </c>
      <c r="J644" s="5">
        <v>45254</v>
      </c>
      <c r="K644" s="3" t="s">
        <v>541</v>
      </c>
      <c r="L644" s="3" t="str">
        <f>VLOOKUP(DataSales[[#This Row],[Khách hàng]],'RFM Table'!$A:$I,9,FALSE)</f>
        <v>Khách hàng Trung thành</v>
      </c>
      <c r="M644" s="4">
        <f t="shared" si="21"/>
        <v>95200</v>
      </c>
      <c r="N644" s="6">
        <v>0.35522388059701487</v>
      </c>
      <c r="O644" s="2">
        <v>26</v>
      </c>
      <c r="P644" s="6">
        <v>7.6923076923076927E-2</v>
      </c>
      <c r="Q644" s="36">
        <v>2023</v>
      </c>
      <c r="R644" s="56">
        <f>MONTH(DataSales[[#This Row],[Ngày Xuất]])</f>
        <v>11</v>
      </c>
      <c r="S644" s="56" t="s">
        <v>772</v>
      </c>
    </row>
    <row r="645" spans="1:19" x14ac:dyDescent="0.3">
      <c r="A645" s="35">
        <v>764</v>
      </c>
      <c r="B645" s="8" t="s">
        <v>200</v>
      </c>
      <c r="C645" s="8" t="s">
        <v>201</v>
      </c>
      <c r="D645" s="8" t="s">
        <v>32</v>
      </c>
      <c r="E645" s="9">
        <v>265716</v>
      </c>
      <c r="F645" s="7">
        <v>0</v>
      </c>
      <c r="G645" s="7">
        <v>12</v>
      </c>
      <c r="H645" s="9">
        <v>360000</v>
      </c>
      <c r="I645" s="9">
        <f t="shared" si="20"/>
        <v>360000</v>
      </c>
      <c r="J645" s="10">
        <v>45254</v>
      </c>
      <c r="K645" s="8" t="s">
        <v>29</v>
      </c>
      <c r="L645" s="8" t="str">
        <f>VLOOKUP(DataSales[[#This Row],[Khách hàng]],'RFM Table'!$A:$I,9,FALSE)</f>
        <v>Khách hàng VIP</v>
      </c>
      <c r="M645" s="9">
        <f t="shared" si="21"/>
        <v>94284</v>
      </c>
      <c r="N645" s="11">
        <v>0.26190000000000002</v>
      </c>
      <c r="O645" s="7">
        <v>12</v>
      </c>
      <c r="P645" s="11">
        <v>0</v>
      </c>
      <c r="Q645" s="37">
        <v>2023</v>
      </c>
      <c r="R645" s="56">
        <f>MONTH(DataSales[[#This Row],[Ngày Xuất]])</f>
        <v>11</v>
      </c>
      <c r="S645" s="56" t="s">
        <v>779</v>
      </c>
    </row>
    <row r="646" spans="1:19" x14ac:dyDescent="0.3">
      <c r="A646" s="34">
        <v>765</v>
      </c>
      <c r="B646" s="3" t="s">
        <v>27</v>
      </c>
      <c r="C646" s="3" t="s">
        <v>28</v>
      </c>
      <c r="D646" s="3" t="s">
        <v>18</v>
      </c>
      <c r="E646" s="4">
        <v>648000</v>
      </c>
      <c r="F646" s="2">
        <v>0</v>
      </c>
      <c r="G646" s="2">
        <v>90</v>
      </c>
      <c r="H646" s="4">
        <v>846000</v>
      </c>
      <c r="I646" s="4">
        <f t="shared" si="20"/>
        <v>846000</v>
      </c>
      <c r="J646" s="5">
        <v>45254</v>
      </c>
      <c r="K646" s="3" t="s">
        <v>29</v>
      </c>
      <c r="L646" s="3" t="str">
        <f>VLOOKUP(DataSales[[#This Row],[Khách hàng]],'RFM Table'!$A:$I,9,FALSE)</f>
        <v>Khách hàng VIP</v>
      </c>
      <c r="M646" s="4">
        <f t="shared" si="21"/>
        <v>198000</v>
      </c>
      <c r="N646" s="6">
        <v>0.23404255319148939</v>
      </c>
      <c r="O646" s="2">
        <v>90</v>
      </c>
      <c r="P646" s="6">
        <v>0</v>
      </c>
      <c r="Q646" s="36">
        <v>2023</v>
      </c>
      <c r="R646" s="56">
        <f>MONTH(DataSales[[#This Row],[Ngày Xuất]])</f>
        <v>11</v>
      </c>
      <c r="S646" s="56" t="s">
        <v>772</v>
      </c>
    </row>
    <row r="647" spans="1:19" x14ac:dyDescent="0.3">
      <c r="A647" s="35">
        <v>769</v>
      </c>
      <c r="B647" s="8" t="s">
        <v>298</v>
      </c>
      <c r="C647" s="8" t="s">
        <v>299</v>
      </c>
      <c r="D647" s="8" t="s">
        <v>92</v>
      </c>
      <c r="E647" s="9">
        <v>370000</v>
      </c>
      <c r="F647" s="7">
        <v>0</v>
      </c>
      <c r="G647" s="7">
        <v>5</v>
      </c>
      <c r="H647" s="9">
        <v>675000</v>
      </c>
      <c r="I647" s="9">
        <f t="shared" si="20"/>
        <v>675000</v>
      </c>
      <c r="J647" s="10">
        <v>45255</v>
      </c>
      <c r="K647" s="8" t="s">
        <v>85</v>
      </c>
      <c r="L647" s="8" t="str">
        <f>VLOOKUP(DataSales[[#This Row],[Khách hàng]],'RFM Table'!$A:$I,9,FALSE)</f>
        <v>Khách hàng VIP</v>
      </c>
      <c r="M647" s="9">
        <f t="shared" si="21"/>
        <v>305000</v>
      </c>
      <c r="N647" s="11">
        <v>0.45185185185185178</v>
      </c>
      <c r="O647" s="7">
        <v>5</v>
      </c>
      <c r="P647" s="11">
        <v>0</v>
      </c>
      <c r="Q647" s="37">
        <v>2023</v>
      </c>
      <c r="R647" s="56">
        <f>MONTH(DataSales[[#This Row],[Ngày Xuất]])</f>
        <v>11</v>
      </c>
      <c r="S647" s="56" t="s">
        <v>773</v>
      </c>
    </row>
    <row r="648" spans="1:19" x14ac:dyDescent="0.3">
      <c r="A648" s="34">
        <v>770</v>
      </c>
      <c r="B648" s="3" t="s">
        <v>300</v>
      </c>
      <c r="C648" s="3" t="s">
        <v>301</v>
      </c>
      <c r="D648" s="3" t="s">
        <v>92</v>
      </c>
      <c r="E648" s="4">
        <v>740000</v>
      </c>
      <c r="F648" s="2">
        <v>0</v>
      </c>
      <c r="G648" s="2">
        <v>10</v>
      </c>
      <c r="H648" s="4">
        <v>1350000</v>
      </c>
      <c r="I648" s="4">
        <f t="shared" si="20"/>
        <v>1350000</v>
      </c>
      <c r="J648" s="5">
        <v>45255</v>
      </c>
      <c r="K648" s="3" t="s">
        <v>85</v>
      </c>
      <c r="L648" s="3" t="str">
        <f>VLOOKUP(DataSales[[#This Row],[Khách hàng]],'RFM Table'!$A:$I,9,FALSE)</f>
        <v>Khách hàng VIP</v>
      </c>
      <c r="M648" s="4">
        <f t="shared" si="21"/>
        <v>610000</v>
      </c>
      <c r="N648" s="6">
        <v>0.45185185185185178</v>
      </c>
      <c r="O648" s="2">
        <v>10</v>
      </c>
      <c r="P648" s="6">
        <v>0</v>
      </c>
      <c r="Q648" s="36">
        <v>2023</v>
      </c>
      <c r="R648" s="56">
        <f>MONTH(DataSales[[#This Row],[Ngày Xuất]])</f>
        <v>11</v>
      </c>
      <c r="S648" s="56" t="s">
        <v>773</v>
      </c>
    </row>
    <row r="649" spans="1:19" x14ac:dyDescent="0.3">
      <c r="A649" s="35">
        <v>771</v>
      </c>
      <c r="B649" s="8" t="s">
        <v>407</v>
      </c>
      <c r="C649" s="8" t="s">
        <v>408</v>
      </c>
      <c r="D649" s="8" t="s">
        <v>158</v>
      </c>
      <c r="E649" s="9">
        <v>260000</v>
      </c>
      <c r="F649" s="7">
        <v>0</v>
      </c>
      <c r="G649" s="7">
        <v>10</v>
      </c>
      <c r="H649" s="9">
        <v>240000</v>
      </c>
      <c r="I649" s="9">
        <f t="shared" si="20"/>
        <v>240000</v>
      </c>
      <c r="J649" s="10">
        <v>45255</v>
      </c>
      <c r="K649" s="8" t="s">
        <v>89</v>
      </c>
      <c r="L649" s="8" t="str">
        <f>VLOOKUP(DataSales[[#This Row],[Khách hàng]],'RFM Table'!$A:$I,9,FALSE)</f>
        <v>Khách hàng VIP</v>
      </c>
      <c r="M649" s="9">
        <f t="shared" si="21"/>
        <v>-20000</v>
      </c>
      <c r="N649" s="11">
        <v>-8.3333333333333329E-2</v>
      </c>
      <c r="O649" s="7">
        <v>10</v>
      </c>
      <c r="P649" s="11">
        <v>0</v>
      </c>
      <c r="Q649" s="37">
        <v>2023</v>
      </c>
      <c r="R649" s="56">
        <f>MONTH(DataSales[[#This Row],[Ngày Xuất]])</f>
        <v>11</v>
      </c>
      <c r="S649" s="56" t="s">
        <v>779</v>
      </c>
    </row>
    <row r="650" spans="1:19" x14ac:dyDescent="0.3">
      <c r="A650" s="34">
        <v>772</v>
      </c>
      <c r="B650" s="3" t="s">
        <v>187</v>
      </c>
      <c r="C650" s="3" t="s">
        <v>188</v>
      </c>
      <c r="D650" s="3" t="s">
        <v>18</v>
      </c>
      <c r="E650" s="4">
        <v>450000</v>
      </c>
      <c r="F650" s="2">
        <v>0</v>
      </c>
      <c r="G650" s="2">
        <v>60</v>
      </c>
      <c r="H650" s="4">
        <v>510000</v>
      </c>
      <c r="I650" s="4">
        <f t="shared" si="20"/>
        <v>510000</v>
      </c>
      <c r="J650" s="5">
        <v>45255</v>
      </c>
      <c r="K650" s="3" t="s">
        <v>89</v>
      </c>
      <c r="L650" s="3" t="str">
        <f>VLOOKUP(DataSales[[#This Row],[Khách hàng]],'RFM Table'!$A:$I,9,FALSE)</f>
        <v>Khách hàng VIP</v>
      </c>
      <c r="M650" s="4">
        <f t="shared" si="21"/>
        <v>60000</v>
      </c>
      <c r="N650" s="6">
        <v>0.1176470588235294</v>
      </c>
      <c r="O650" s="2">
        <v>60</v>
      </c>
      <c r="P650" s="6">
        <v>0</v>
      </c>
      <c r="Q650" s="36">
        <v>2023</v>
      </c>
      <c r="R650" s="56">
        <f>MONTH(DataSales[[#This Row],[Ngày Xuất]])</f>
        <v>11</v>
      </c>
      <c r="S650" s="56" t="s">
        <v>772</v>
      </c>
    </row>
    <row r="651" spans="1:19" x14ac:dyDescent="0.3">
      <c r="A651" s="35">
        <v>773</v>
      </c>
      <c r="B651" s="8" t="s">
        <v>40</v>
      </c>
      <c r="C651" s="8" t="s">
        <v>41</v>
      </c>
      <c r="D651" s="8" t="s">
        <v>18</v>
      </c>
      <c r="E651" s="9">
        <v>528000</v>
      </c>
      <c r="F651" s="7">
        <v>0</v>
      </c>
      <c r="G651" s="7">
        <v>48</v>
      </c>
      <c r="H651" s="9">
        <v>432000</v>
      </c>
      <c r="I651" s="9">
        <f t="shared" si="20"/>
        <v>432000</v>
      </c>
      <c r="J651" s="10">
        <v>45255</v>
      </c>
      <c r="K651" s="8" t="s">
        <v>372</v>
      </c>
      <c r="L651" s="8" t="str">
        <f>VLOOKUP(DataSales[[#This Row],[Khách hàng]],'RFM Table'!$A:$I,9,FALSE)</f>
        <v>Khách hàng Trung thành</v>
      </c>
      <c r="M651" s="9">
        <f t="shared" si="21"/>
        <v>-96000</v>
      </c>
      <c r="N651" s="11">
        <v>-0.22222222222222221</v>
      </c>
      <c r="O651" s="7">
        <v>48</v>
      </c>
      <c r="P651" s="11">
        <v>0</v>
      </c>
      <c r="Q651" s="37">
        <v>2023</v>
      </c>
      <c r="R651" s="56">
        <f>MONTH(DataSales[[#This Row],[Ngày Xuất]])</f>
        <v>11</v>
      </c>
      <c r="S651" s="56" t="s">
        <v>772</v>
      </c>
    </row>
    <row r="652" spans="1:19" x14ac:dyDescent="0.3">
      <c r="A652" s="34">
        <v>774</v>
      </c>
      <c r="B652" s="3" t="s">
        <v>16</v>
      </c>
      <c r="C652" s="3" t="s">
        <v>17</v>
      </c>
      <c r="D652" s="3" t="s">
        <v>18</v>
      </c>
      <c r="E652" s="4">
        <v>345600</v>
      </c>
      <c r="F652" s="2">
        <v>0</v>
      </c>
      <c r="G652" s="2">
        <v>48</v>
      </c>
      <c r="H652" s="4">
        <v>518400</v>
      </c>
      <c r="I652" s="4">
        <f t="shared" si="20"/>
        <v>518400</v>
      </c>
      <c r="J652" s="5">
        <v>45255</v>
      </c>
      <c r="K652" s="3" t="s">
        <v>19</v>
      </c>
      <c r="L652" s="3" t="str">
        <f>VLOOKUP(DataSales[[#This Row],[Khách hàng]],'RFM Table'!$A:$I,9,FALSE)</f>
        <v>Khách hàng VIP</v>
      </c>
      <c r="M652" s="4">
        <f t="shared" si="21"/>
        <v>172800</v>
      </c>
      <c r="N652" s="6">
        <v>0.33333333333333331</v>
      </c>
      <c r="O652" s="2">
        <v>48</v>
      </c>
      <c r="P652" s="6">
        <v>0</v>
      </c>
      <c r="Q652" s="36">
        <v>2023</v>
      </c>
      <c r="R652" s="56">
        <f>MONTH(DataSales[[#This Row],[Ngày Xuất]])</f>
        <v>11</v>
      </c>
      <c r="S652" s="56" t="s">
        <v>772</v>
      </c>
    </row>
    <row r="653" spans="1:19" x14ac:dyDescent="0.3">
      <c r="A653" s="35">
        <v>776</v>
      </c>
      <c r="B653" s="8" t="s">
        <v>478</v>
      </c>
      <c r="C653" s="8" t="s">
        <v>479</v>
      </c>
      <c r="D653" s="8" t="s">
        <v>47</v>
      </c>
      <c r="E653" s="9">
        <v>130000</v>
      </c>
      <c r="F653" s="7">
        <v>0</v>
      </c>
      <c r="G653" s="7">
        <v>1</v>
      </c>
      <c r="H653" s="9">
        <v>280000</v>
      </c>
      <c r="I653" s="9">
        <f t="shared" si="20"/>
        <v>280000</v>
      </c>
      <c r="J653" s="10">
        <v>45255</v>
      </c>
      <c r="K653" s="8" t="s">
        <v>199</v>
      </c>
      <c r="L653" s="8" t="str">
        <f>VLOOKUP(DataSales[[#This Row],[Khách hàng]],'RFM Table'!$A:$I,9,FALSE)</f>
        <v>Khách hàng VIP</v>
      </c>
      <c r="M653" s="9">
        <f t="shared" si="21"/>
        <v>150000</v>
      </c>
      <c r="N653" s="11">
        <v>0.5357142857142857</v>
      </c>
      <c r="O653" s="7">
        <v>1</v>
      </c>
      <c r="P653" s="11">
        <v>0</v>
      </c>
      <c r="Q653" s="37">
        <v>2023</v>
      </c>
      <c r="R653" s="56">
        <f>MONTH(DataSales[[#This Row],[Ngày Xuất]])</f>
        <v>11</v>
      </c>
      <c r="S653" s="56" t="s">
        <v>779</v>
      </c>
    </row>
    <row r="654" spans="1:19" x14ac:dyDescent="0.3">
      <c r="A654" s="34">
        <v>777</v>
      </c>
      <c r="B654" s="3" t="s">
        <v>145</v>
      </c>
      <c r="C654" s="3" t="s">
        <v>146</v>
      </c>
      <c r="D654" s="3" t="s">
        <v>18</v>
      </c>
      <c r="E654" s="4">
        <v>288000</v>
      </c>
      <c r="F654" s="2">
        <v>0</v>
      </c>
      <c r="G654" s="2">
        <v>48</v>
      </c>
      <c r="H654" s="4">
        <v>360000</v>
      </c>
      <c r="I654" s="4">
        <f t="shared" si="20"/>
        <v>360000</v>
      </c>
      <c r="J654" s="5">
        <v>45255</v>
      </c>
      <c r="K654" s="3" t="s">
        <v>204</v>
      </c>
      <c r="L654" s="3" t="str">
        <f>VLOOKUP(DataSales[[#This Row],[Khách hàng]],'RFM Table'!$A:$I,9,FALSE)</f>
        <v>Khách hàng VIP</v>
      </c>
      <c r="M654" s="4">
        <f t="shared" si="21"/>
        <v>72000</v>
      </c>
      <c r="N654" s="6">
        <v>0.2</v>
      </c>
      <c r="O654" s="2">
        <v>48</v>
      </c>
      <c r="P654" s="6">
        <v>0</v>
      </c>
      <c r="Q654" s="36">
        <v>2023</v>
      </c>
      <c r="R654" s="56">
        <f>MONTH(DataSales[[#This Row],[Ngày Xuất]])</f>
        <v>11</v>
      </c>
      <c r="S654" s="56" t="s">
        <v>772</v>
      </c>
    </row>
    <row r="655" spans="1:19" x14ac:dyDescent="0.3">
      <c r="A655" s="35">
        <v>778</v>
      </c>
      <c r="B655" s="8" t="s">
        <v>45</v>
      </c>
      <c r="C655" s="8" t="s">
        <v>46</v>
      </c>
      <c r="D655" s="8" t="s">
        <v>47</v>
      </c>
      <c r="E655" s="9">
        <v>362268</v>
      </c>
      <c r="F655" s="7">
        <v>1</v>
      </c>
      <c r="G655" s="7">
        <v>6</v>
      </c>
      <c r="H655" s="9">
        <v>340000</v>
      </c>
      <c r="I655" s="9">
        <f t="shared" si="20"/>
        <v>340000</v>
      </c>
      <c r="J655" s="10">
        <v>45255</v>
      </c>
      <c r="K655" s="8" t="s">
        <v>265</v>
      </c>
      <c r="L655" s="8" t="str">
        <f>VLOOKUP(DataSales[[#This Row],[Khách hàng]],'RFM Table'!$A:$I,9,FALSE)</f>
        <v>Khách hàng VIP</v>
      </c>
      <c r="M655" s="9">
        <f t="shared" si="21"/>
        <v>-22268</v>
      </c>
      <c r="N655" s="11">
        <v>-6.5494117647058828E-2</v>
      </c>
      <c r="O655" s="7">
        <v>7</v>
      </c>
      <c r="P655" s="11">
        <v>0.14285714285714279</v>
      </c>
      <c r="Q655" s="37">
        <v>2023</v>
      </c>
      <c r="R655" s="56">
        <f>MONTH(DataSales[[#This Row],[Ngày Xuất]])</f>
        <v>11</v>
      </c>
      <c r="S655" s="56" t="s">
        <v>776</v>
      </c>
    </row>
    <row r="656" spans="1:19" x14ac:dyDescent="0.3">
      <c r="A656" s="34">
        <v>779</v>
      </c>
      <c r="B656" s="3" t="s">
        <v>124</v>
      </c>
      <c r="C656" s="3" t="s">
        <v>125</v>
      </c>
      <c r="D656" s="3" t="s">
        <v>18</v>
      </c>
      <c r="E656" s="4">
        <v>200000</v>
      </c>
      <c r="F656" s="2">
        <v>0</v>
      </c>
      <c r="G656" s="2">
        <v>50</v>
      </c>
      <c r="H656" s="4">
        <v>300000</v>
      </c>
      <c r="I656" s="4">
        <f t="shared" si="20"/>
        <v>300000</v>
      </c>
      <c r="J656" s="5">
        <v>45255</v>
      </c>
      <c r="K656" s="3" t="s">
        <v>265</v>
      </c>
      <c r="L656" s="3" t="str">
        <f>VLOOKUP(DataSales[[#This Row],[Khách hàng]],'RFM Table'!$A:$I,9,FALSE)</f>
        <v>Khách hàng VIP</v>
      </c>
      <c r="M656" s="4">
        <f t="shared" si="21"/>
        <v>100000</v>
      </c>
      <c r="N656" s="6">
        <v>0.33333333333333331</v>
      </c>
      <c r="O656" s="2">
        <v>50</v>
      </c>
      <c r="P656" s="6">
        <v>0</v>
      </c>
      <c r="Q656" s="36">
        <v>2023</v>
      </c>
      <c r="R656" s="56">
        <f>MONTH(DataSales[[#This Row],[Ngày Xuất]])</f>
        <v>11</v>
      </c>
      <c r="S656" s="56" t="s">
        <v>775</v>
      </c>
    </row>
    <row r="657" spans="1:19" x14ac:dyDescent="0.3">
      <c r="A657" s="35">
        <v>780</v>
      </c>
      <c r="B657" s="8" t="s">
        <v>604</v>
      </c>
      <c r="C657" s="8" t="s">
        <v>605</v>
      </c>
      <c r="D657" s="8" t="s">
        <v>47</v>
      </c>
      <c r="E657" s="9">
        <v>102000</v>
      </c>
      <c r="F657" s="7">
        <v>0</v>
      </c>
      <c r="G657" s="7">
        <v>6</v>
      </c>
      <c r="H657" s="9">
        <v>126000</v>
      </c>
      <c r="I657" s="9">
        <f t="shared" si="20"/>
        <v>126000</v>
      </c>
      <c r="J657" s="10">
        <v>45255</v>
      </c>
      <c r="K657" s="8" t="s">
        <v>560</v>
      </c>
      <c r="L657" s="8" t="str">
        <f>VLOOKUP(DataSales[[#This Row],[Khách hàng]],'RFM Table'!$A:$I,9,FALSE)</f>
        <v>Khách hàng VIP</v>
      </c>
      <c r="M657" s="9">
        <f t="shared" si="21"/>
        <v>24000</v>
      </c>
      <c r="N657" s="11">
        <v>0.19047619047619049</v>
      </c>
      <c r="O657" s="7">
        <v>6</v>
      </c>
      <c r="P657" s="11">
        <v>0</v>
      </c>
      <c r="Q657" s="37">
        <v>2023</v>
      </c>
      <c r="R657" s="56">
        <f>MONTH(DataSales[[#This Row],[Ngày Xuất]])</f>
        <v>11</v>
      </c>
      <c r="S657" s="56" t="s">
        <v>780</v>
      </c>
    </row>
    <row r="658" spans="1:19" x14ac:dyDescent="0.3">
      <c r="A658" s="34">
        <v>781</v>
      </c>
      <c r="B658" s="3" t="s">
        <v>606</v>
      </c>
      <c r="C658" s="3" t="s">
        <v>607</v>
      </c>
      <c r="D658" s="3" t="s">
        <v>47</v>
      </c>
      <c r="E658" s="4">
        <v>102000</v>
      </c>
      <c r="F658" s="2">
        <v>0</v>
      </c>
      <c r="G658" s="2">
        <v>6</v>
      </c>
      <c r="H658" s="4">
        <v>126000</v>
      </c>
      <c r="I658" s="4">
        <f t="shared" si="20"/>
        <v>126000</v>
      </c>
      <c r="J658" s="5">
        <v>45255</v>
      </c>
      <c r="K658" s="3" t="s">
        <v>560</v>
      </c>
      <c r="L658" s="3" t="str">
        <f>VLOOKUP(DataSales[[#This Row],[Khách hàng]],'RFM Table'!$A:$I,9,FALSE)</f>
        <v>Khách hàng VIP</v>
      </c>
      <c r="M658" s="4">
        <f t="shared" si="21"/>
        <v>24000</v>
      </c>
      <c r="N658" s="6">
        <v>0.19047619047619049</v>
      </c>
      <c r="O658" s="2">
        <v>6</v>
      </c>
      <c r="P658" s="6">
        <v>0</v>
      </c>
      <c r="Q658" s="36">
        <v>2023</v>
      </c>
      <c r="R658" s="56">
        <f>MONTH(DataSales[[#This Row],[Ngày Xuất]])</f>
        <v>11</v>
      </c>
      <c r="S658" s="56" t="s">
        <v>780</v>
      </c>
    </row>
    <row r="659" spans="1:19" x14ac:dyDescent="0.3">
      <c r="A659" s="35">
        <v>782</v>
      </c>
      <c r="B659" s="8" t="s">
        <v>608</v>
      </c>
      <c r="C659" s="8" t="s">
        <v>609</v>
      </c>
      <c r="D659" s="8" t="s">
        <v>47</v>
      </c>
      <c r="E659" s="9">
        <v>102000</v>
      </c>
      <c r="F659" s="7">
        <v>0</v>
      </c>
      <c r="G659" s="7">
        <v>6</v>
      </c>
      <c r="H659" s="9">
        <v>126000</v>
      </c>
      <c r="I659" s="9">
        <f t="shared" si="20"/>
        <v>126000</v>
      </c>
      <c r="J659" s="10">
        <v>45255</v>
      </c>
      <c r="K659" s="8" t="s">
        <v>560</v>
      </c>
      <c r="L659" s="8" t="str">
        <f>VLOOKUP(DataSales[[#This Row],[Khách hàng]],'RFM Table'!$A:$I,9,FALSE)</f>
        <v>Khách hàng VIP</v>
      </c>
      <c r="M659" s="9">
        <f t="shared" si="21"/>
        <v>24000</v>
      </c>
      <c r="N659" s="11">
        <v>0.19047619047619049</v>
      </c>
      <c r="O659" s="7">
        <v>6</v>
      </c>
      <c r="P659" s="11">
        <v>0</v>
      </c>
      <c r="Q659" s="37">
        <v>2023</v>
      </c>
      <c r="R659" s="56">
        <f>MONTH(DataSales[[#This Row],[Ngày Xuất]])</f>
        <v>11</v>
      </c>
      <c r="S659" s="56" t="s">
        <v>780</v>
      </c>
    </row>
    <row r="660" spans="1:19" x14ac:dyDescent="0.3">
      <c r="A660" s="34">
        <v>783</v>
      </c>
      <c r="B660" s="3" t="s">
        <v>586</v>
      </c>
      <c r="C660" s="3" t="s">
        <v>587</v>
      </c>
      <c r="D660" s="3" t="s">
        <v>32</v>
      </c>
      <c r="E660" s="4">
        <v>180000</v>
      </c>
      <c r="F660" s="2">
        <v>0</v>
      </c>
      <c r="G660" s="2">
        <v>40</v>
      </c>
      <c r="H660" s="4">
        <v>320000</v>
      </c>
      <c r="I660" s="4">
        <f t="shared" si="20"/>
        <v>320000</v>
      </c>
      <c r="J660" s="5">
        <v>45255</v>
      </c>
      <c r="K660" s="3" t="s">
        <v>268</v>
      </c>
      <c r="L660" s="3" t="str">
        <f>VLOOKUP(DataSales[[#This Row],[Khách hàng]],'RFM Table'!$A:$I,9,FALSE)</f>
        <v>Khách hàng VIP</v>
      </c>
      <c r="M660" s="4">
        <f t="shared" si="21"/>
        <v>140000</v>
      </c>
      <c r="N660" s="6">
        <v>0.4375</v>
      </c>
      <c r="O660" s="2">
        <v>40</v>
      </c>
      <c r="P660" s="6">
        <v>0</v>
      </c>
      <c r="Q660" s="36">
        <v>2023</v>
      </c>
      <c r="R660" s="56">
        <f>MONTH(DataSales[[#This Row],[Ngày Xuất]])</f>
        <v>11</v>
      </c>
      <c r="S660" s="56" t="s">
        <v>774</v>
      </c>
    </row>
    <row r="661" spans="1:19" x14ac:dyDescent="0.3">
      <c r="A661" s="35">
        <v>784</v>
      </c>
      <c r="B661" s="8" t="s">
        <v>324</v>
      </c>
      <c r="C661" s="8" t="s">
        <v>325</v>
      </c>
      <c r="D661" s="8" t="s">
        <v>326</v>
      </c>
      <c r="E661" s="9">
        <v>114000</v>
      </c>
      <c r="F661" s="7">
        <v>0</v>
      </c>
      <c r="G661" s="7">
        <v>2</v>
      </c>
      <c r="H661" s="9">
        <v>140000</v>
      </c>
      <c r="I661" s="9">
        <f t="shared" si="20"/>
        <v>140000</v>
      </c>
      <c r="J661" s="10">
        <v>45255</v>
      </c>
      <c r="K661" s="8" t="s">
        <v>268</v>
      </c>
      <c r="L661" s="8" t="str">
        <f>VLOOKUP(DataSales[[#This Row],[Khách hàng]],'RFM Table'!$A:$I,9,FALSE)</f>
        <v>Khách hàng VIP</v>
      </c>
      <c r="M661" s="9">
        <f t="shared" si="21"/>
        <v>26000</v>
      </c>
      <c r="N661" s="11">
        <v>0.18571428571428569</v>
      </c>
      <c r="O661" s="7">
        <v>2</v>
      </c>
      <c r="P661" s="11">
        <v>0</v>
      </c>
      <c r="Q661" s="37">
        <v>2023</v>
      </c>
      <c r="R661" s="56">
        <f>MONTH(DataSales[[#This Row],[Ngày Xuất]])</f>
        <v>11</v>
      </c>
      <c r="S661" s="56" t="s">
        <v>779</v>
      </c>
    </row>
    <row r="662" spans="1:19" x14ac:dyDescent="0.3">
      <c r="A662" s="34">
        <v>785</v>
      </c>
      <c r="B662" s="3" t="s">
        <v>65</v>
      </c>
      <c r="C662" s="3" t="s">
        <v>66</v>
      </c>
      <c r="D662" s="3" t="s">
        <v>18</v>
      </c>
      <c r="E662" s="4">
        <v>200010</v>
      </c>
      <c r="F662" s="2">
        <v>0</v>
      </c>
      <c r="G662" s="2">
        <v>30</v>
      </c>
      <c r="H662" s="4">
        <v>210000</v>
      </c>
      <c r="I662" s="4">
        <f t="shared" si="20"/>
        <v>210000</v>
      </c>
      <c r="J662" s="5">
        <v>45255</v>
      </c>
      <c r="K662" s="3" t="s">
        <v>268</v>
      </c>
      <c r="L662" s="3" t="str">
        <f>VLOOKUP(DataSales[[#This Row],[Khách hàng]],'RFM Table'!$A:$I,9,FALSE)</f>
        <v>Khách hàng VIP</v>
      </c>
      <c r="M662" s="4">
        <f t="shared" si="21"/>
        <v>9990</v>
      </c>
      <c r="N662" s="6">
        <v>4.757142857142857E-2</v>
      </c>
      <c r="O662" s="2">
        <v>30</v>
      </c>
      <c r="P662" s="6">
        <v>0</v>
      </c>
      <c r="Q662" s="36">
        <v>2023</v>
      </c>
      <c r="R662" s="56">
        <f>MONTH(DataSales[[#This Row],[Ngày Xuất]])</f>
        <v>11</v>
      </c>
      <c r="S662" s="56" t="s">
        <v>772</v>
      </c>
    </row>
    <row r="663" spans="1:19" x14ac:dyDescent="0.3">
      <c r="A663" s="35">
        <v>786</v>
      </c>
      <c r="B663" s="8" t="s">
        <v>195</v>
      </c>
      <c r="C663" s="8" t="s">
        <v>196</v>
      </c>
      <c r="D663" s="8" t="s">
        <v>92</v>
      </c>
      <c r="E663" s="9">
        <v>126000</v>
      </c>
      <c r="F663" s="7">
        <v>2</v>
      </c>
      <c r="G663" s="7">
        <v>24</v>
      </c>
      <c r="H663" s="9">
        <v>144000</v>
      </c>
      <c r="I663" s="9">
        <f t="shared" si="20"/>
        <v>144000</v>
      </c>
      <c r="J663" s="10">
        <v>45255</v>
      </c>
      <c r="K663" s="8" t="s">
        <v>268</v>
      </c>
      <c r="L663" s="8" t="str">
        <f>VLOOKUP(DataSales[[#This Row],[Khách hàng]],'RFM Table'!$A:$I,9,FALSE)</f>
        <v>Khách hàng VIP</v>
      </c>
      <c r="M663" s="9">
        <f t="shared" si="21"/>
        <v>18000</v>
      </c>
      <c r="N663" s="11">
        <v>0.125</v>
      </c>
      <c r="O663" s="7">
        <v>26</v>
      </c>
      <c r="P663" s="11">
        <v>7.6923076923076927E-2</v>
      </c>
      <c r="Q663" s="37">
        <v>2023</v>
      </c>
      <c r="R663" s="56">
        <f>MONTH(DataSales[[#This Row],[Ngày Xuất]])</f>
        <v>11</v>
      </c>
      <c r="S663" s="56" t="s">
        <v>777</v>
      </c>
    </row>
    <row r="664" spans="1:19" x14ac:dyDescent="0.3">
      <c r="A664" s="34">
        <v>787</v>
      </c>
      <c r="B664" s="3" t="s">
        <v>252</v>
      </c>
      <c r="C664" s="3" t="s">
        <v>253</v>
      </c>
      <c r="D664" s="3" t="s">
        <v>32</v>
      </c>
      <c r="E664" s="4">
        <v>620016</v>
      </c>
      <c r="F664" s="2">
        <v>4</v>
      </c>
      <c r="G664" s="2">
        <v>24</v>
      </c>
      <c r="H664" s="4">
        <v>762000</v>
      </c>
      <c r="I664" s="4">
        <f t="shared" si="20"/>
        <v>762000</v>
      </c>
      <c r="J664" s="5">
        <v>45255</v>
      </c>
      <c r="K664" s="3" t="s">
        <v>217</v>
      </c>
      <c r="L664" s="3" t="str">
        <f>VLOOKUP(DataSales[[#This Row],[Khách hàng]],'RFM Table'!$A:$I,9,FALSE)</f>
        <v>Khách hàng VIP</v>
      </c>
      <c r="M664" s="4">
        <f t="shared" si="21"/>
        <v>141984</v>
      </c>
      <c r="N664" s="6">
        <v>0.18633070866141729</v>
      </c>
      <c r="O664" s="2">
        <v>28</v>
      </c>
      <c r="P664" s="6">
        <v>0.14285714285714279</v>
      </c>
      <c r="Q664" s="36">
        <v>2023</v>
      </c>
      <c r="R664" s="56">
        <f>MONTH(DataSales[[#This Row],[Ngày Xuất]])</f>
        <v>11</v>
      </c>
      <c r="S664" s="56" t="s">
        <v>779</v>
      </c>
    </row>
    <row r="665" spans="1:19" x14ac:dyDescent="0.3">
      <c r="A665" s="35">
        <v>788</v>
      </c>
      <c r="B665" s="8" t="s">
        <v>16</v>
      </c>
      <c r="C665" s="8" t="s">
        <v>17</v>
      </c>
      <c r="D665" s="8" t="s">
        <v>18</v>
      </c>
      <c r="E665" s="9">
        <v>345600</v>
      </c>
      <c r="F665" s="7">
        <v>4</v>
      </c>
      <c r="G665" s="7">
        <v>48</v>
      </c>
      <c r="H665" s="9">
        <v>536000</v>
      </c>
      <c r="I665" s="9">
        <f t="shared" si="20"/>
        <v>536000</v>
      </c>
      <c r="J665" s="10">
        <v>45255</v>
      </c>
      <c r="K665" s="8" t="s">
        <v>96</v>
      </c>
      <c r="L665" s="8" t="str">
        <f>VLOOKUP(DataSales[[#This Row],[Khách hàng]],'RFM Table'!$A:$I,9,FALSE)</f>
        <v>Khách hàng VIP</v>
      </c>
      <c r="M665" s="9">
        <f t="shared" si="21"/>
        <v>190400</v>
      </c>
      <c r="N665" s="11">
        <v>0.35522388059701487</v>
      </c>
      <c r="O665" s="7">
        <v>52</v>
      </c>
      <c r="P665" s="11">
        <v>7.6923076923076927E-2</v>
      </c>
      <c r="Q665" s="37">
        <v>2023</v>
      </c>
      <c r="R665" s="56">
        <f>MONTH(DataSales[[#This Row],[Ngày Xuất]])</f>
        <v>11</v>
      </c>
      <c r="S665" s="56" t="s">
        <v>772</v>
      </c>
    </row>
    <row r="666" spans="1:19" x14ac:dyDescent="0.3">
      <c r="A666" s="34">
        <v>789</v>
      </c>
      <c r="B666" s="3" t="s">
        <v>610</v>
      </c>
      <c r="C666" s="3" t="s">
        <v>611</v>
      </c>
      <c r="D666" s="3" t="s">
        <v>158</v>
      </c>
      <c r="E666" s="4">
        <v>824040</v>
      </c>
      <c r="F666" s="2">
        <v>0</v>
      </c>
      <c r="G666" s="2">
        <v>10</v>
      </c>
      <c r="H666" s="4">
        <v>570000</v>
      </c>
      <c r="I666" s="4">
        <f t="shared" si="20"/>
        <v>570000</v>
      </c>
      <c r="J666" s="5">
        <v>45255</v>
      </c>
      <c r="K666" s="3" t="s">
        <v>33</v>
      </c>
      <c r="L666" s="3" t="str">
        <f>VLOOKUP(DataSales[[#This Row],[Khách hàng]],'RFM Table'!$A:$I,9,FALSE)</f>
        <v>Khách hàng VIP</v>
      </c>
      <c r="M666" s="4">
        <f t="shared" si="21"/>
        <v>-254040</v>
      </c>
      <c r="N666" s="6">
        <v>-0.44568421052631579</v>
      </c>
      <c r="O666" s="2">
        <v>10</v>
      </c>
      <c r="P666" s="6">
        <v>0</v>
      </c>
      <c r="Q666" s="36">
        <v>2023</v>
      </c>
      <c r="R666" s="56">
        <f>MONTH(DataSales[[#This Row],[Ngày Xuất]])</f>
        <v>11</v>
      </c>
      <c r="S666" s="56" t="s">
        <v>783</v>
      </c>
    </row>
    <row r="667" spans="1:19" x14ac:dyDescent="0.3">
      <c r="A667" s="35">
        <v>790</v>
      </c>
      <c r="B667" s="8" t="s">
        <v>160</v>
      </c>
      <c r="C667" s="8" t="s">
        <v>161</v>
      </c>
      <c r="D667" s="8" t="s">
        <v>18</v>
      </c>
      <c r="E667" s="9">
        <v>35000</v>
      </c>
      <c r="F667" s="7">
        <v>0</v>
      </c>
      <c r="G667" s="7">
        <v>10</v>
      </c>
      <c r="H667" s="9">
        <v>65000</v>
      </c>
      <c r="I667" s="9">
        <f t="shared" si="20"/>
        <v>65000</v>
      </c>
      <c r="J667" s="10">
        <v>45255</v>
      </c>
      <c r="K667" s="8" t="s">
        <v>228</v>
      </c>
      <c r="L667" s="8" t="str">
        <f>VLOOKUP(DataSales[[#This Row],[Khách hàng]],'RFM Table'!$A:$I,9,FALSE)</f>
        <v>Khách hàng VIP</v>
      </c>
      <c r="M667" s="9">
        <f t="shared" si="21"/>
        <v>30000</v>
      </c>
      <c r="N667" s="11">
        <v>0.46153846153846162</v>
      </c>
      <c r="O667" s="7">
        <v>10</v>
      </c>
      <c r="P667" s="11">
        <v>0</v>
      </c>
      <c r="Q667" s="37">
        <v>2023</v>
      </c>
      <c r="R667" s="56">
        <f>MONTH(DataSales[[#This Row],[Ngày Xuất]])</f>
        <v>11</v>
      </c>
      <c r="S667" s="56" t="s">
        <v>772</v>
      </c>
    </row>
    <row r="668" spans="1:19" x14ac:dyDescent="0.3">
      <c r="A668" s="34">
        <v>791</v>
      </c>
      <c r="B668" s="3" t="s">
        <v>433</v>
      </c>
      <c r="C668" s="3" t="s">
        <v>434</v>
      </c>
      <c r="D668" s="3" t="s">
        <v>18</v>
      </c>
      <c r="E668" s="4">
        <v>25000</v>
      </c>
      <c r="F668" s="2">
        <v>0</v>
      </c>
      <c r="G668" s="2">
        <v>10</v>
      </c>
      <c r="H668" s="4">
        <v>40000</v>
      </c>
      <c r="I668" s="4">
        <f t="shared" si="20"/>
        <v>40000</v>
      </c>
      <c r="J668" s="5">
        <v>45255</v>
      </c>
      <c r="K668" s="3" t="s">
        <v>228</v>
      </c>
      <c r="L668" s="3" t="str">
        <f>VLOOKUP(DataSales[[#This Row],[Khách hàng]],'RFM Table'!$A:$I,9,FALSE)</f>
        <v>Khách hàng VIP</v>
      </c>
      <c r="M668" s="4">
        <f t="shared" si="21"/>
        <v>15000</v>
      </c>
      <c r="N668" s="6">
        <v>0.375</v>
      </c>
      <c r="O668" s="2">
        <v>10</v>
      </c>
      <c r="P668" s="6">
        <v>0</v>
      </c>
      <c r="Q668" s="36">
        <v>2023</v>
      </c>
      <c r="R668" s="56">
        <f>MONTH(DataSales[[#This Row],[Ngày Xuất]])</f>
        <v>11</v>
      </c>
      <c r="S668" s="56" t="s">
        <v>775</v>
      </c>
    </row>
    <row r="669" spans="1:19" x14ac:dyDescent="0.3">
      <c r="A669" s="35">
        <v>793</v>
      </c>
      <c r="B669" s="8" t="s">
        <v>117</v>
      </c>
      <c r="C669" s="8" t="s">
        <v>118</v>
      </c>
      <c r="D669" s="8" t="s">
        <v>47</v>
      </c>
      <c r="E669" s="9">
        <v>100000</v>
      </c>
      <c r="F669" s="7">
        <v>0</v>
      </c>
      <c r="G669" s="7">
        <v>1</v>
      </c>
      <c r="H669" s="9">
        <v>170000</v>
      </c>
      <c r="I669" s="9">
        <f t="shared" si="20"/>
        <v>170000</v>
      </c>
      <c r="J669" s="10">
        <v>45255</v>
      </c>
      <c r="K669" s="8" t="s">
        <v>116</v>
      </c>
      <c r="L669" s="8" t="str">
        <f>VLOOKUP(DataSales[[#This Row],[Khách hàng]],'RFM Table'!$A:$I,9,FALSE)</f>
        <v>Khách hàng VIP</v>
      </c>
      <c r="M669" s="9">
        <f t="shared" si="21"/>
        <v>70000</v>
      </c>
      <c r="N669" s="11">
        <v>0.41176470588235292</v>
      </c>
      <c r="O669" s="7">
        <v>1</v>
      </c>
      <c r="P669" s="11">
        <v>0</v>
      </c>
      <c r="Q669" s="37">
        <v>2023</v>
      </c>
      <c r="R669" s="56">
        <f>MONTH(DataSales[[#This Row],[Ngày Xuất]])</f>
        <v>11</v>
      </c>
      <c r="S669" s="56" t="s">
        <v>779</v>
      </c>
    </row>
    <row r="670" spans="1:19" x14ac:dyDescent="0.3">
      <c r="A670" s="34">
        <v>794</v>
      </c>
      <c r="B670" s="3" t="s">
        <v>612</v>
      </c>
      <c r="C670" s="3" t="s">
        <v>613</v>
      </c>
      <c r="D670" s="3" t="s">
        <v>47</v>
      </c>
      <c r="E670" s="4">
        <v>253800</v>
      </c>
      <c r="F670" s="2">
        <v>0</v>
      </c>
      <c r="G670" s="2">
        <v>1</v>
      </c>
      <c r="H670" s="4">
        <v>243000</v>
      </c>
      <c r="I670" s="4">
        <f t="shared" si="20"/>
        <v>243000</v>
      </c>
      <c r="J670" s="5">
        <v>45255</v>
      </c>
      <c r="K670" s="3" t="s">
        <v>116</v>
      </c>
      <c r="L670" s="3" t="str">
        <f>VLOOKUP(DataSales[[#This Row],[Khách hàng]],'RFM Table'!$A:$I,9,FALSE)</f>
        <v>Khách hàng VIP</v>
      </c>
      <c r="M670" s="4">
        <f t="shared" si="21"/>
        <v>-10800</v>
      </c>
      <c r="N670" s="6">
        <v>-4.4444444444444453E-2</v>
      </c>
      <c r="O670" s="2">
        <v>1</v>
      </c>
      <c r="P670" s="6">
        <v>0</v>
      </c>
      <c r="Q670" s="36">
        <v>2023</v>
      </c>
      <c r="R670" s="56">
        <f>MONTH(DataSales[[#This Row],[Ngày Xuất]])</f>
        <v>11</v>
      </c>
      <c r="S670" s="56" t="s">
        <v>782</v>
      </c>
    </row>
    <row r="671" spans="1:19" x14ac:dyDescent="0.3">
      <c r="A671" s="35">
        <v>795</v>
      </c>
      <c r="B671" s="8" t="s">
        <v>324</v>
      </c>
      <c r="C671" s="8" t="s">
        <v>325</v>
      </c>
      <c r="D671" s="8" t="s">
        <v>326</v>
      </c>
      <c r="E671" s="9">
        <v>285000</v>
      </c>
      <c r="F671" s="7">
        <v>0</v>
      </c>
      <c r="G671" s="7">
        <v>5</v>
      </c>
      <c r="H671" s="9">
        <v>350000</v>
      </c>
      <c r="I671" s="9">
        <f t="shared" si="20"/>
        <v>350000</v>
      </c>
      <c r="J671" s="10">
        <v>45255</v>
      </c>
      <c r="K671" s="8" t="s">
        <v>614</v>
      </c>
      <c r="L671" s="8" t="str">
        <f>VLOOKUP(DataSales[[#This Row],[Khách hàng]],'RFM Table'!$A:$I,9,FALSE)</f>
        <v>Khách hàng Mới</v>
      </c>
      <c r="M671" s="9">
        <f t="shared" si="21"/>
        <v>65000</v>
      </c>
      <c r="N671" s="11">
        <v>0.18571428571428569</v>
      </c>
      <c r="O671" s="7">
        <v>5</v>
      </c>
      <c r="P671" s="11">
        <v>0</v>
      </c>
      <c r="Q671" s="37">
        <v>2023</v>
      </c>
      <c r="R671" s="56">
        <f>MONTH(DataSales[[#This Row],[Ngày Xuất]])</f>
        <v>11</v>
      </c>
      <c r="S671" s="56" t="s">
        <v>779</v>
      </c>
    </row>
    <row r="672" spans="1:19" x14ac:dyDescent="0.3">
      <c r="A672" s="34">
        <v>796</v>
      </c>
      <c r="B672" s="3" t="s">
        <v>80</v>
      </c>
      <c r="C672" s="3" t="s">
        <v>81</v>
      </c>
      <c r="D672" s="3" t="s">
        <v>47</v>
      </c>
      <c r="E672" s="4">
        <v>1536000</v>
      </c>
      <c r="F672" s="2">
        <v>2</v>
      </c>
      <c r="G672" s="2">
        <v>8</v>
      </c>
      <c r="H672" s="4">
        <v>1536000</v>
      </c>
      <c r="I672" s="4">
        <f t="shared" si="20"/>
        <v>1536000</v>
      </c>
      <c r="J672" s="5">
        <v>45255</v>
      </c>
      <c r="K672" s="3" t="s">
        <v>614</v>
      </c>
      <c r="L672" s="3" t="str">
        <f>VLOOKUP(DataSales[[#This Row],[Khách hàng]],'RFM Table'!$A:$I,9,FALSE)</f>
        <v>Khách hàng Mới</v>
      </c>
      <c r="M672" s="4">
        <f t="shared" si="21"/>
        <v>0</v>
      </c>
      <c r="N672" s="6">
        <v>0</v>
      </c>
      <c r="O672" s="2">
        <v>10</v>
      </c>
      <c r="P672" s="6">
        <v>0.2</v>
      </c>
      <c r="Q672" s="36">
        <v>2023</v>
      </c>
      <c r="R672" s="56">
        <f>MONTH(DataSales[[#This Row],[Ngày Xuất]])</f>
        <v>11</v>
      </c>
      <c r="S672" s="56" t="s">
        <v>779</v>
      </c>
    </row>
    <row r="673" spans="1:19" x14ac:dyDescent="0.3">
      <c r="A673" s="35">
        <v>798</v>
      </c>
      <c r="B673" s="8" t="s">
        <v>615</v>
      </c>
      <c r="C673" s="8" t="s">
        <v>616</v>
      </c>
      <c r="D673" s="8" t="s">
        <v>18</v>
      </c>
      <c r="E673" s="9">
        <v>400000</v>
      </c>
      <c r="F673" s="7">
        <v>0</v>
      </c>
      <c r="G673" s="7">
        <v>40</v>
      </c>
      <c r="H673" s="9">
        <v>720000</v>
      </c>
      <c r="I673" s="9">
        <f t="shared" si="20"/>
        <v>720000</v>
      </c>
      <c r="J673" s="10">
        <v>45255</v>
      </c>
      <c r="K673" s="8" t="s">
        <v>245</v>
      </c>
      <c r="L673" s="8" t="str">
        <f>VLOOKUP(DataSales[[#This Row],[Khách hàng]],'RFM Table'!$A:$I,9,FALSE)</f>
        <v>Khách hàng VIP</v>
      </c>
      <c r="M673" s="9">
        <f t="shared" si="21"/>
        <v>320000</v>
      </c>
      <c r="N673" s="11">
        <v>0.44444444444444442</v>
      </c>
      <c r="O673" s="7">
        <v>40</v>
      </c>
      <c r="P673" s="11">
        <v>0</v>
      </c>
      <c r="Q673" s="37">
        <v>2023</v>
      </c>
      <c r="R673" s="56">
        <f>MONTH(DataSales[[#This Row],[Ngày Xuất]])</f>
        <v>11</v>
      </c>
      <c r="S673" s="56" t="s">
        <v>775</v>
      </c>
    </row>
    <row r="674" spans="1:19" x14ac:dyDescent="0.3">
      <c r="A674" s="34">
        <v>799</v>
      </c>
      <c r="B674" s="3" t="s">
        <v>394</v>
      </c>
      <c r="C674" s="3" t="s">
        <v>395</v>
      </c>
      <c r="D674" s="3" t="s">
        <v>18</v>
      </c>
      <c r="E674" s="4">
        <v>230000</v>
      </c>
      <c r="F674" s="2">
        <v>0</v>
      </c>
      <c r="G674" s="2">
        <v>20</v>
      </c>
      <c r="H674" s="4">
        <v>360000</v>
      </c>
      <c r="I674" s="4">
        <f t="shared" si="20"/>
        <v>360000</v>
      </c>
      <c r="J674" s="5">
        <v>45255</v>
      </c>
      <c r="K674" s="3" t="s">
        <v>245</v>
      </c>
      <c r="L674" s="3" t="str">
        <f>VLOOKUP(DataSales[[#This Row],[Khách hàng]],'RFM Table'!$A:$I,9,FALSE)</f>
        <v>Khách hàng VIP</v>
      </c>
      <c r="M674" s="4">
        <f t="shared" si="21"/>
        <v>130000</v>
      </c>
      <c r="N674" s="6">
        <v>0.3611111111111111</v>
      </c>
      <c r="O674" s="2">
        <v>20</v>
      </c>
      <c r="P674" s="6">
        <v>0</v>
      </c>
      <c r="Q674" s="36">
        <v>2023</v>
      </c>
      <c r="R674" s="56">
        <f>MONTH(DataSales[[#This Row],[Ngày Xuất]])</f>
        <v>11</v>
      </c>
      <c r="S674" s="56" t="s">
        <v>775</v>
      </c>
    </row>
    <row r="675" spans="1:19" x14ac:dyDescent="0.3">
      <c r="A675" s="35">
        <v>800</v>
      </c>
      <c r="B675" s="8" t="s">
        <v>57</v>
      </c>
      <c r="C675" s="8" t="s">
        <v>58</v>
      </c>
      <c r="D675" s="8" t="s">
        <v>18</v>
      </c>
      <c r="E675" s="9">
        <v>231000</v>
      </c>
      <c r="F675" s="7">
        <v>0</v>
      </c>
      <c r="G675" s="7">
        <v>30</v>
      </c>
      <c r="H675" s="9">
        <v>300000</v>
      </c>
      <c r="I675" s="9">
        <f t="shared" si="20"/>
        <v>300000</v>
      </c>
      <c r="J675" s="10">
        <v>45255</v>
      </c>
      <c r="K675" s="8" t="s">
        <v>617</v>
      </c>
      <c r="L675" s="8" t="str">
        <f>VLOOKUP(DataSales[[#This Row],[Khách hàng]],'RFM Table'!$A:$I,9,FALSE)</f>
        <v>Khách hàng Mới</v>
      </c>
      <c r="M675" s="9">
        <f t="shared" si="21"/>
        <v>69000</v>
      </c>
      <c r="N675" s="11">
        <v>0.23</v>
      </c>
      <c r="O675" s="7">
        <v>30</v>
      </c>
      <c r="P675" s="11">
        <v>0</v>
      </c>
      <c r="Q675" s="37">
        <v>2023</v>
      </c>
      <c r="R675" s="56">
        <f>MONTH(DataSales[[#This Row],[Ngày Xuất]])</f>
        <v>11</v>
      </c>
      <c r="S675" s="56" t="s">
        <v>775</v>
      </c>
    </row>
    <row r="676" spans="1:19" x14ac:dyDescent="0.3">
      <c r="A676" s="34">
        <v>801</v>
      </c>
      <c r="B676" s="3" t="s">
        <v>604</v>
      </c>
      <c r="C676" s="3" t="s">
        <v>605</v>
      </c>
      <c r="D676" s="3" t="s">
        <v>47</v>
      </c>
      <c r="E676" s="4">
        <v>102000</v>
      </c>
      <c r="F676" s="2">
        <v>0</v>
      </c>
      <c r="G676" s="2">
        <v>6</v>
      </c>
      <c r="H676" s="4">
        <v>132000</v>
      </c>
      <c r="I676" s="4">
        <f t="shared" si="20"/>
        <v>132000</v>
      </c>
      <c r="J676" s="5">
        <v>45255</v>
      </c>
      <c r="K676" s="3" t="s">
        <v>477</v>
      </c>
      <c r="L676" s="3" t="str">
        <f>VLOOKUP(DataSales[[#This Row],[Khách hàng]],'RFM Table'!$A:$I,9,FALSE)</f>
        <v>Khách hàng VIP</v>
      </c>
      <c r="M676" s="4">
        <f t="shared" si="21"/>
        <v>30000</v>
      </c>
      <c r="N676" s="6">
        <v>0.22727272727272729</v>
      </c>
      <c r="O676" s="2">
        <v>6</v>
      </c>
      <c r="P676" s="6">
        <v>0</v>
      </c>
      <c r="Q676" s="36">
        <v>2023</v>
      </c>
      <c r="R676" s="56">
        <f>MONTH(DataSales[[#This Row],[Ngày Xuất]])</f>
        <v>11</v>
      </c>
      <c r="S676" s="56" t="s">
        <v>780</v>
      </c>
    </row>
    <row r="677" spans="1:19" x14ac:dyDescent="0.3">
      <c r="A677" s="35">
        <v>802</v>
      </c>
      <c r="B677" s="8" t="s">
        <v>606</v>
      </c>
      <c r="C677" s="8" t="s">
        <v>607</v>
      </c>
      <c r="D677" s="8" t="s">
        <v>47</v>
      </c>
      <c r="E677" s="9">
        <v>102000</v>
      </c>
      <c r="F677" s="7">
        <v>0</v>
      </c>
      <c r="G677" s="7">
        <v>6</v>
      </c>
      <c r="H677" s="9">
        <v>132000</v>
      </c>
      <c r="I677" s="9">
        <f t="shared" si="20"/>
        <v>132000</v>
      </c>
      <c r="J677" s="10">
        <v>45255</v>
      </c>
      <c r="K677" s="8" t="s">
        <v>477</v>
      </c>
      <c r="L677" s="8" t="str">
        <f>VLOOKUP(DataSales[[#This Row],[Khách hàng]],'RFM Table'!$A:$I,9,FALSE)</f>
        <v>Khách hàng VIP</v>
      </c>
      <c r="M677" s="9">
        <f t="shared" si="21"/>
        <v>30000</v>
      </c>
      <c r="N677" s="11">
        <v>0.22727272727272729</v>
      </c>
      <c r="O677" s="7">
        <v>6</v>
      </c>
      <c r="P677" s="11">
        <v>0</v>
      </c>
      <c r="Q677" s="37">
        <v>2023</v>
      </c>
      <c r="R677" s="56">
        <f>MONTH(DataSales[[#This Row],[Ngày Xuất]])</f>
        <v>11</v>
      </c>
      <c r="S677" s="56" t="s">
        <v>780</v>
      </c>
    </row>
    <row r="678" spans="1:19" x14ac:dyDescent="0.3">
      <c r="A678" s="34">
        <v>803</v>
      </c>
      <c r="B678" s="3" t="s">
        <v>608</v>
      </c>
      <c r="C678" s="3" t="s">
        <v>609</v>
      </c>
      <c r="D678" s="3" t="s">
        <v>47</v>
      </c>
      <c r="E678" s="4">
        <v>102000</v>
      </c>
      <c r="F678" s="2">
        <v>0</v>
      </c>
      <c r="G678" s="2">
        <v>6</v>
      </c>
      <c r="H678" s="4">
        <v>132000</v>
      </c>
      <c r="I678" s="4">
        <f t="shared" si="20"/>
        <v>132000</v>
      </c>
      <c r="J678" s="5">
        <v>45255</v>
      </c>
      <c r="K678" s="3" t="s">
        <v>477</v>
      </c>
      <c r="L678" s="3" t="str">
        <f>VLOOKUP(DataSales[[#This Row],[Khách hàng]],'RFM Table'!$A:$I,9,FALSE)</f>
        <v>Khách hàng VIP</v>
      </c>
      <c r="M678" s="4">
        <f t="shared" si="21"/>
        <v>30000</v>
      </c>
      <c r="N678" s="6">
        <v>0.22727272727272729</v>
      </c>
      <c r="O678" s="2">
        <v>6</v>
      </c>
      <c r="P678" s="6">
        <v>0</v>
      </c>
      <c r="Q678" s="36">
        <v>2023</v>
      </c>
      <c r="R678" s="56">
        <f>MONTH(DataSales[[#This Row],[Ngày Xuất]])</f>
        <v>11</v>
      </c>
      <c r="S678" s="56" t="s">
        <v>780</v>
      </c>
    </row>
    <row r="679" spans="1:19" x14ac:dyDescent="0.3">
      <c r="A679" s="35">
        <v>804</v>
      </c>
      <c r="B679" s="8" t="s">
        <v>283</v>
      </c>
      <c r="C679" s="8" t="s">
        <v>284</v>
      </c>
      <c r="D679" s="8" t="s">
        <v>47</v>
      </c>
      <c r="E679" s="9">
        <v>42084</v>
      </c>
      <c r="F679" s="7">
        <v>0</v>
      </c>
      <c r="G679" s="7">
        <v>1</v>
      </c>
      <c r="H679" s="9">
        <v>48000</v>
      </c>
      <c r="I679" s="9">
        <f t="shared" si="20"/>
        <v>48000</v>
      </c>
      <c r="J679" s="10">
        <v>45255</v>
      </c>
      <c r="K679" s="8" t="s">
        <v>477</v>
      </c>
      <c r="L679" s="8" t="str">
        <f>VLOOKUP(DataSales[[#This Row],[Khách hàng]],'RFM Table'!$A:$I,9,FALSE)</f>
        <v>Khách hàng VIP</v>
      </c>
      <c r="M679" s="9">
        <f t="shared" si="21"/>
        <v>5916</v>
      </c>
      <c r="N679" s="11">
        <v>0.12325</v>
      </c>
      <c r="O679" s="7">
        <v>1</v>
      </c>
      <c r="P679" s="11">
        <v>0</v>
      </c>
      <c r="Q679" s="37">
        <v>2023</v>
      </c>
      <c r="R679" s="56">
        <f>MONTH(DataSales[[#This Row],[Ngày Xuất]])</f>
        <v>11</v>
      </c>
      <c r="S679" s="56" t="s">
        <v>780</v>
      </c>
    </row>
    <row r="680" spans="1:19" x14ac:dyDescent="0.3">
      <c r="A680" s="34">
        <v>808</v>
      </c>
      <c r="B680" s="3" t="s">
        <v>478</v>
      </c>
      <c r="C680" s="3" t="s">
        <v>479</v>
      </c>
      <c r="D680" s="3" t="s">
        <v>47</v>
      </c>
      <c r="E680" s="4">
        <v>780000</v>
      </c>
      <c r="F680" s="2">
        <v>0</v>
      </c>
      <c r="G680" s="2">
        <v>6</v>
      </c>
      <c r="H680" s="4">
        <v>1680000</v>
      </c>
      <c r="I680" s="4">
        <f t="shared" si="20"/>
        <v>1680000</v>
      </c>
      <c r="J680" s="5">
        <v>45255</v>
      </c>
      <c r="K680" s="3" t="s">
        <v>131</v>
      </c>
      <c r="L680" s="3" t="str">
        <f>VLOOKUP(DataSales[[#This Row],[Khách hàng]],'RFM Table'!$A:$I,9,FALSE)</f>
        <v>Khách hàng VIP</v>
      </c>
      <c r="M680" s="4">
        <f t="shared" si="21"/>
        <v>900000</v>
      </c>
      <c r="N680" s="6">
        <v>0.5357142857142857</v>
      </c>
      <c r="O680" s="2">
        <v>6</v>
      </c>
      <c r="P680" s="6">
        <v>0</v>
      </c>
      <c r="Q680" s="36">
        <v>2023</v>
      </c>
      <c r="R680" s="56">
        <f>MONTH(DataSales[[#This Row],[Ngày Xuất]])</f>
        <v>11</v>
      </c>
      <c r="S680" s="56" t="s">
        <v>779</v>
      </c>
    </row>
    <row r="681" spans="1:19" x14ac:dyDescent="0.3">
      <c r="A681" s="35">
        <v>810</v>
      </c>
      <c r="B681" s="8" t="s">
        <v>168</v>
      </c>
      <c r="C681" s="8" t="s">
        <v>169</v>
      </c>
      <c r="D681" s="8" t="s">
        <v>170</v>
      </c>
      <c r="E681" s="9">
        <v>326970</v>
      </c>
      <c r="F681" s="7">
        <v>0</v>
      </c>
      <c r="G681" s="7">
        <v>2</v>
      </c>
      <c r="H681" s="9">
        <v>378000</v>
      </c>
      <c r="I681" s="9">
        <f t="shared" si="20"/>
        <v>378000</v>
      </c>
      <c r="J681" s="10">
        <v>45255</v>
      </c>
      <c r="K681" s="8" t="s">
        <v>618</v>
      </c>
      <c r="L681" s="8" t="str">
        <f>VLOOKUP(DataSales[[#This Row],[Khách hàng]],'RFM Table'!$A:$I,9,FALSE)</f>
        <v>Khách hàng Mới</v>
      </c>
      <c r="M681" s="9">
        <f t="shared" si="21"/>
        <v>51030</v>
      </c>
      <c r="N681" s="11">
        <v>0.13500000000000001</v>
      </c>
      <c r="O681" s="7">
        <v>2</v>
      </c>
      <c r="P681" s="11">
        <v>0</v>
      </c>
      <c r="Q681" s="37">
        <v>2023</v>
      </c>
      <c r="R681" s="56">
        <f>MONTH(DataSales[[#This Row],[Ngày Xuất]])</f>
        <v>11</v>
      </c>
      <c r="S681" s="56" t="s">
        <v>781</v>
      </c>
    </row>
    <row r="682" spans="1:19" x14ac:dyDescent="0.3">
      <c r="A682" s="34">
        <v>811</v>
      </c>
      <c r="B682" s="3" t="s">
        <v>604</v>
      </c>
      <c r="C682" s="3" t="s">
        <v>605</v>
      </c>
      <c r="D682" s="3" t="s">
        <v>47</v>
      </c>
      <c r="E682" s="4">
        <v>102000</v>
      </c>
      <c r="F682" s="2">
        <v>0</v>
      </c>
      <c r="G682" s="2">
        <v>6</v>
      </c>
      <c r="H682" s="4">
        <v>126000</v>
      </c>
      <c r="I682" s="4">
        <f t="shared" si="20"/>
        <v>126000</v>
      </c>
      <c r="J682" s="5">
        <v>45255</v>
      </c>
      <c r="K682" s="3" t="s">
        <v>619</v>
      </c>
      <c r="L682" s="3" t="str">
        <f>VLOOKUP(DataSales[[#This Row],[Khách hàng]],'RFM Table'!$A:$I,9,FALSE)</f>
        <v>Khách hàng Trung thành</v>
      </c>
      <c r="M682" s="4">
        <f t="shared" si="21"/>
        <v>24000</v>
      </c>
      <c r="N682" s="6">
        <v>0.19047619047619049</v>
      </c>
      <c r="O682" s="2">
        <v>6</v>
      </c>
      <c r="P682" s="6">
        <v>0</v>
      </c>
      <c r="Q682" s="36">
        <v>2023</v>
      </c>
      <c r="R682" s="56">
        <f>MONTH(DataSales[[#This Row],[Ngày Xuất]])</f>
        <v>11</v>
      </c>
      <c r="S682" s="56" t="s">
        <v>780</v>
      </c>
    </row>
    <row r="683" spans="1:19" x14ac:dyDescent="0.3">
      <c r="A683" s="35">
        <v>812</v>
      </c>
      <c r="B683" s="8" t="s">
        <v>606</v>
      </c>
      <c r="C683" s="8" t="s">
        <v>607</v>
      </c>
      <c r="D683" s="8" t="s">
        <v>47</v>
      </c>
      <c r="E683" s="9">
        <v>102000</v>
      </c>
      <c r="F683" s="7">
        <v>0</v>
      </c>
      <c r="G683" s="7">
        <v>6</v>
      </c>
      <c r="H683" s="9">
        <v>126000</v>
      </c>
      <c r="I683" s="9">
        <f t="shared" si="20"/>
        <v>126000</v>
      </c>
      <c r="J683" s="10">
        <v>45255</v>
      </c>
      <c r="K683" s="8" t="s">
        <v>619</v>
      </c>
      <c r="L683" s="8" t="str">
        <f>VLOOKUP(DataSales[[#This Row],[Khách hàng]],'RFM Table'!$A:$I,9,FALSE)</f>
        <v>Khách hàng Trung thành</v>
      </c>
      <c r="M683" s="9">
        <f t="shared" si="21"/>
        <v>24000</v>
      </c>
      <c r="N683" s="11">
        <v>0.19047619047619049</v>
      </c>
      <c r="O683" s="7">
        <v>6</v>
      </c>
      <c r="P683" s="11">
        <v>0</v>
      </c>
      <c r="Q683" s="37">
        <v>2023</v>
      </c>
      <c r="R683" s="56">
        <f>MONTH(DataSales[[#This Row],[Ngày Xuất]])</f>
        <v>11</v>
      </c>
      <c r="S683" s="56" t="s">
        <v>780</v>
      </c>
    </row>
    <row r="684" spans="1:19" x14ac:dyDescent="0.3">
      <c r="A684" s="34">
        <v>813</v>
      </c>
      <c r="B684" s="3" t="s">
        <v>608</v>
      </c>
      <c r="C684" s="3" t="s">
        <v>609</v>
      </c>
      <c r="D684" s="3" t="s">
        <v>47</v>
      </c>
      <c r="E684" s="4">
        <v>102000</v>
      </c>
      <c r="F684" s="2">
        <v>0</v>
      </c>
      <c r="G684" s="2">
        <v>6</v>
      </c>
      <c r="H684" s="4">
        <v>126000</v>
      </c>
      <c r="I684" s="4">
        <f t="shared" si="20"/>
        <v>126000</v>
      </c>
      <c r="J684" s="5">
        <v>45255</v>
      </c>
      <c r="K684" s="3" t="s">
        <v>619</v>
      </c>
      <c r="L684" s="3" t="str">
        <f>VLOOKUP(DataSales[[#This Row],[Khách hàng]],'RFM Table'!$A:$I,9,FALSE)</f>
        <v>Khách hàng Trung thành</v>
      </c>
      <c r="M684" s="4">
        <f t="shared" si="21"/>
        <v>24000</v>
      </c>
      <c r="N684" s="6">
        <v>0.19047619047619049</v>
      </c>
      <c r="O684" s="2">
        <v>6</v>
      </c>
      <c r="P684" s="6">
        <v>0</v>
      </c>
      <c r="Q684" s="36">
        <v>2023</v>
      </c>
      <c r="R684" s="56">
        <f>MONTH(DataSales[[#This Row],[Ngày Xuất]])</f>
        <v>11</v>
      </c>
      <c r="S684" s="56" t="s">
        <v>780</v>
      </c>
    </row>
    <row r="685" spans="1:19" x14ac:dyDescent="0.3">
      <c r="A685" s="35">
        <v>814</v>
      </c>
      <c r="B685" s="8" t="s">
        <v>126</v>
      </c>
      <c r="C685" s="8" t="s">
        <v>127</v>
      </c>
      <c r="D685" s="8" t="s">
        <v>18</v>
      </c>
      <c r="E685" s="9">
        <v>270000</v>
      </c>
      <c r="F685" s="7">
        <v>0</v>
      </c>
      <c r="G685" s="7">
        <v>40</v>
      </c>
      <c r="H685" s="9">
        <v>320000</v>
      </c>
      <c r="I685" s="9">
        <f t="shared" si="20"/>
        <v>320000</v>
      </c>
      <c r="J685" s="10">
        <v>45255</v>
      </c>
      <c r="K685" s="8" t="s">
        <v>619</v>
      </c>
      <c r="L685" s="8" t="str">
        <f>VLOOKUP(DataSales[[#This Row],[Khách hàng]],'RFM Table'!$A:$I,9,FALSE)</f>
        <v>Khách hàng Trung thành</v>
      </c>
      <c r="M685" s="9">
        <f t="shared" si="21"/>
        <v>50000</v>
      </c>
      <c r="N685" s="11">
        <v>0.15625</v>
      </c>
      <c r="O685" s="7">
        <v>40</v>
      </c>
      <c r="P685" s="11">
        <v>0</v>
      </c>
      <c r="Q685" s="37">
        <v>2023</v>
      </c>
      <c r="R685" s="56">
        <f>MONTH(DataSales[[#This Row],[Ngày Xuất]])</f>
        <v>11</v>
      </c>
      <c r="S685" s="56" t="s">
        <v>772</v>
      </c>
    </row>
    <row r="686" spans="1:19" x14ac:dyDescent="0.3">
      <c r="A686" s="34">
        <v>815</v>
      </c>
      <c r="B686" s="3" t="s">
        <v>40</v>
      </c>
      <c r="C686" s="3" t="s">
        <v>41</v>
      </c>
      <c r="D686" s="3" t="s">
        <v>18</v>
      </c>
      <c r="E686" s="4">
        <v>528000</v>
      </c>
      <c r="F686" s="2">
        <v>0</v>
      </c>
      <c r="G686" s="2">
        <v>48</v>
      </c>
      <c r="H686" s="4">
        <v>432000</v>
      </c>
      <c r="I686" s="4">
        <f t="shared" si="20"/>
        <v>432000</v>
      </c>
      <c r="J686" s="5">
        <v>45255</v>
      </c>
      <c r="K686" s="3" t="s">
        <v>619</v>
      </c>
      <c r="L686" s="3" t="str">
        <f>VLOOKUP(DataSales[[#This Row],[Khách hàng]],'RFM Table'!$A:$I,9,FALSE)</f>
        <v>Khách hàng Trung thành</v>
      </c>
      <c r="M686" s="4">
        <f t="shared" si="21"/>
        <v>-96000</v>
      </c>
      <c r="N686" s="6">
        <v>-0.22222222222222221</v>
      </c>
      <c r="O686" s="2">
        <v>48</v>
      </c>
      <c r="P686" s="6">
        <v>0</v>
      </c>
      <c r="Q686" s="36">
        <v>2023</v>
      </c>
      <c r="R686" s="56">
        <f>MONTH(DataSales[[#This Row],[Ngày Xuất]])</f>
        <v>11</v>
      </c>
      <c r="S686" s="56" t="s">
        <v>772</v>
      </c>
    </row>
    <row r="687" spans="1:19" x14ac:dyDescent="0.3">
      <c r="A687" s="35">
        <v>818</v>
      </c>
      <c r="B687" s="8" t="s">
        <v>620</v>
      </c>
      <c r="C687" s="8" t="s">
        <v>621</v>
      </c>
      <c r="D687" s="8" t="s">
        <v>18</v>
      </c>
      <c r="E687" s="9">
        <v>109250</v>
      </c>
      <c r="F687" s="7">
        <v>0</v>
      </c>
      <c r="G687" s="7">
        <v>5</v>
      </c>
      <c r="H687" s="9">
        <v>150000</v>
      </c>
      <c r="I687" s="9">
        <f t="shared" si="20"/>
        <v>150000</v>
      </c>
      <c r="J687" s="10">
        <v>45260</v>
      </c>
      <c r="K687" s="8" t="s">
        <v>308</v>
      </c>
      <c r="L687" s="8" t="str">
        <f>VLOOKUP(DataSales[[#This Row],[Khách hàng]],'RFM Table'!$A:$I,9,FALSE)</f>
        <v>Khách hàng VIP</v>
      </c>
      <c r="M687" s="9">
        <f t="shared" si="21"/>
        <v>40750</v>
      </c>
      <c r="N687" s="11">
        <v>0.27166666666666672</v>
      </c>
      <c r="O687" s="7">
        <v>5</v>
      </c>
      <c r="P687" s="11">
        <v>0</v>
      </c>
      <c r="Q687" s="37">
        <v>2023</v>
      </c>
      <c r="R687" s="56">
        <f>MONTH(DataSales[[#This Row],[Ngày Xuất]])</f>
        <v>11</v>
      </c>
      <c r="S687" s="56" t="s">
        <v>782</v>
      </c>
    </row>
    <row r="688" spans="1:19" x14ac:dyDescent="0.3">
      <c r="A688" s="34">
        <v>819</v>
      </c>
      <c r="B688" s="3" t="s">
        <v>622</v>
      </c>
      <c r="C688" s="3" t="s">
        <v>623</v>
      </c>
      <c r="D688" s="3" t="s">
        <v>18</v>
      </c>
      <c r="E688" s="4">
        <v>106750</v>
      </c>
      <c r="F688" s="2">
        <v>0</v>
      </c>
      <c r="G688" s="2">
        <v>5</v>
      </c>
      <c r="H688" s="4">
        <v>150000</v>
      </c>
      <c r="I688" s="4">
        <f t="shared" si="20"/>
        <v>150000</v>
      </c>
      <c r="J688" s="5">
        <v>45260</v>
      </c>
      <c r="K688" s="3" t="s">
        <v>308</v>
      </c>
      <c r="L688" s="3" t="str">
        <f>VLOOKUP(DataSales[[#This Row],[Khách hàng]],'RFM Table'!$A:$I,9,FALSE)</f>
        <v>Khách hàng VIP</v>
      </c>
      <c r="M688" s="4">
        <f t="shared" si="21"/>
        <v>43250</v>
      </c>
      <c r="N688" s="6">
        <v>0.28833333333333327</v>
      </c>
      <c r="O688" s="2">
        <v>5</v>
      </c>
      <c r="P688" s="6">
        <v>0</v>
      </c>
      <c r="Q688" s="36">
        <v>2023</v>
      </c>
      <c r="R688" s="56">
        <f>MONTH(DataSales[[#This Row],[Ngày Xuất]])</f>
        <v>11</v>
      </c>
      <c r="S688" s="56" t="s">
        <v>782</v>
      </c>
    </row>
    <row r="689" spans="1:19" x14ac:dyDescent="0.3">
      <c r="A689" s="35">
        <v>820</v>
      </c>
      <c r="B689" s="8" t="s">
        <v>624</v>
      </c>
      <c r="C689" s="8" t="s">
        <v>625</v>
      </c>
      <c r="D689" s="8" t="s">
        <v>18</v>
      </c>
      <c r="E689" s="9">
        <v>135000</v>
      </c>
      <c r="F689" s="7">
        <v>0</v>
      </c>
      <c r="G689" s="7">
        <v>5</v>
      </c>
      <c r="H689" s="9">
        <v>175000</v>
      </c>
      <c r="I689" s="9">
        <f t="shared" si="20"/>
        <v>175000</v>
      </c>
      <c r="J689" s="10">
        <v>45260</v>
      </c>
      <c r="K689" s="8" t="s">
        <v>308</v>
      </c>
      <c r="L689" s="8" t="str">
        <f>VLOOKUP(DataSales[[#This Row],[Khách hàng]],'RFM Table'!$A:$I,9,FALSE)</f>
        <v>Khách hàng VIP</v>
      </c>
      <c r="M689" s="9">
        <f t="shared" si="21"/>
        <v>40000</v>
      </c>
      <c r="N689" s="11">
        <v>0.22857142857142859</v>
      </c>
      <c r="O689" s="7">
        <v>5</v>
      </c>
      <c r="P689" s="11">
        <v>0</v>
      </c>
      <c r="Q689" s="37">
        <v>2023</v>
      </c>
      <c r="R689" s="56">
        <f>MONTH(DataSales[[#This Row],[Ngày Xuất]])</f>
        <v>11</v>
      </c>
      <c r="S689" s="56" t="s">
        <v>776</v>
      </c>
    </row>
    <row r="690" spans="1:19" x14ac:dyDescent="0.3">
      <c r="A690" s="34">
        <v>821</v>
      </c>
      <c r="B690" s="3" t="s">
        <v>353</v>
      </c>
      <c r="C690" s="3" t="s">
        <v>354</v>
      </c>
      <c r="D690" s="3" t="s">
        <v>158</v>
      </c>
      <c r="E690" s="4">
        <v>150000</v>
      </c>
      <c r="F690" s="2">
        <v>0</v>
      </c>
      <c r="G690" s="2">
        <v>4</v>
      </c>
      <c r="H690" s="4">
        <v>164000</v>
      </c>
      <c r="I690" s="4">
        <f t="shared" si="20"/>
        <v>164000</v>
      </c>
      <c r="J690" s="5">
        <v>45260</v>
      </c>
      <c r="K690" s="3" t="s">
        <v>626</v>
      </c>
      <c r="L690" s="3" t="str">
        <f>VLOOKUP(DataSales[[#This Row],[Khách hàng]],'RFM Table'!$A:$I,9,FALSE)</f>
        <v>Khách hàng Mới</v>
      </c>
      <c r="M690" s="4">
        <f t="shared" si="21"/>
        <v>14000</v>
      </c>
      <c r="N690" s="6">
        <v>8.5365853658536592E-2</v>
      </c>
      <c r="O690" s="2">
        <v>4</v>
      </c>
      <c r="P690" s="6">
        <v>0</v>
      </c>
      <c r="Q690" s="36">
        <v>2023</v>
      </c>
      <c r="R690" s="56">
        <f>MONTH(DataSales[[#This Row],[Ngày Xuất]])</f>
        <v>11</v>
      </c>
      <c r="S690" s="56" t="s">
        <v>776</v>
      </c>
    </row>
    <row r="691" spans="1:19" x14ac:dyDescent="0.3">
      <c r="A691" s="35">
        <v>822</v>
      </c>
      <c r="B691" s="8" t="s">
        <v>620</v>
      </c>
      <c r="C691" s="8" t="s">
        <v>621</v>
      </c>
      <c r="D691" s="8" t="s">
        <v>18</v>
      </c>
      <c r="E691" s="9">
        <v>109250</v>
      </c>
      <c r="F691" s="7">
        <v>0</v>
      </c>
      <c r="G691" s="7">
        <v>5</v>
      </c>
      <c r="H691" s="9">
        <v>140000</v>
      </c>
      <c r="I691" s="9">
        <f t="shared" si="20"/>
        <v>140000</v>
      </c>
      <c r="J691" s="10">
        <v>45260</v>
      </c>
      <c r="K691" s="8" t="s">
        <v>627</v>
      </c>
      <c r="L691" s="8" t="str">
        <f>VLOOKUP(DataSales[[#This Row],[Khách hàng]],'RFM Table'!$A:$I,9,FALSE)</f>
        <v>Khách hàng Trung thành</v>
      </c>
      <c r="M691" s="9">
        <f t="shared" si="21"/>
        <v>30750</v>
      </c>
      <c r="N691" s="11">
        <v>0.21964285714285711</v>
      </c>
      <c r="O691" s="7">
        <v>5</v>
      </c>
      <c r="P691" s="11">
        <v>0</v>
      </c>
      <c r="Q691" s="37">
        <v>2023</v>
      </c>
      <c r="R691" s="56">
        <f>MONTH(DataSales[[#This Row],[Ngày Xuất]])</f>
        <v>11</v>
      </c>
      <c r="S691" s="56" t="s">
        <v>782</v>
      </c>
    </row>
    <row r="692" spans="1:19" x14ac:dyDescent="0.3">
      <c r="A692" s="34">
        <v>823</v>
      </c>
      <c r="B692" s="3" t="s">
        <v>622</v>
      </c>
      <c r="C692" s="3" t="s">
        <v>623</v>
      </c>
      <c r="D692" s="3" t="s">
        <v>18</v>
      </c>
      <c r="E692" s="4">
        <v>106750</v>
      </c>
      <c r="F692" s="2">
        <v>0</v>
      </c>
      <c r="G692" s="2">
        <v>5</v>
      </c>
      <c r="H692" s="4">
        <v>140000</v>
      </c>
      <c r="I692" s="4">
        <f t="shared" si="20"/>
        <v>140000</v>
      </c>
      <c r="J692" s="5">
        <v>45260</v>
      </c>
      <c r="K692" s="3" t="s">
        <v>627</v>
      </c>
      <c r="L692" s="3" t="str">
        <f>VLOOKUP(DataSales[[#This Row],[Khách hàng]],'RFM Table'!$A:$I,9,FALSE)</f>
        <v>Khách hàng Trung thành</v>
      </c>
      <c r="M692" s="4">
        <f t="shared" si="21"/>
        <v>33250</v>
      </c>
      <c r="N692" s="6">
        <v>0.23749999999999999</v>
      </c>
      <c r="O692" s="2">
        <v>5</v>
      </c>
      <c r="P692" s="6">
        <v>0</v>
      </c>
      <c r="Q692" s="36">
        <v>2023</v>
      </c>
      <c r="R692" s="56">
        <f>MONTH(DataSales[[#This Row],[Ngày Xuất]])</f>
        <v>11</v>
      </c>
      <c r="S692" s="56" t="s">
        <v>782</v>
      </c>
    </row>
    <row r="693" spans="1:19" x14ac:dyDescent="0.3">
      <c r="A693" s="35">
        <v>824</v>
      </c>
      <c r="B693" s="8" t="s">
        <v>407</v>
      </c>
      <c r="C693" s="8" t="s">
        <v>408</v>
      </c>
      <c r="D693" s="8" t="s">
        <v>158</v>
      </c>
      <c r="E693" s="9">
        <v>260000</v>
      </c>
      <c r="F693" s="7">
        <v>0</v>
      </c>
      <c r="G693" s="7">
        <v>10</v>
      </c>
      <c r="H693" s="9">
        <v>240000</v>
      </c>
      <c r="I693" s="9">
        <f t="shared" si="20"/>
        <v>240000</v>
      </c>
      <c r="J693" s="10">
        <v>45260</v>
      </c>
      <c r="K693" s="8" t="s">
        <v>627</v>
      </c>
      <c r="L693" s="8" t="str">
        <f>VLOOKUP(DataSales[[#This Row],[Khách hàng]],'RFM Table'!$A:$I,9,FALSE)</f>
        <v>Khách hàng Trung thành</v>
      </c>
      <c r="M693" s="9">
        <f t="shared" si="21"/>
        <v>-20000</v>
      </c>
      <c r="N693" s="11">
        <v>-8.3333333333333329E-2</v>
      </c>
      <c r="O693" s="7">
        <v>10</v>
      </c>
      <c r="P693" s="11">
        <v>0</v>
      </c>
      <c r="Q693" s="37">
        <v>2023</v>
      </c>
      <c r="R693" s="56">
        <f>MONTH(DataSales[[#This Row],[Ngày Xuất]])</f>
        <v>11</v>
      </c>
      <c r="S693" s="56" t="s">
        <v>779</v>
      </c>
    </row>
    <row r="694" spans="1:19" x14ac:dyDescent="0.3">
      <c r="A694" s="34">
        <v>826</v>
      </c>
      <c r="B694" s="3" t="s">
        <v>57</v>
      </c>
      <c r="C694" s="3" t="s">
        <v>58</v>
      </c>
      <c r="D694" s="3" t="s">
        <v>18</v>
      </c>
      <c r="E694" s="4">
        <v>77000</v>
      </c>
      <c r="F694" s="2">
        <v>0</v>
      </c>
      <c r="G694" s="2">
        <v>10</v>
      </c>
      <c r="H694" s="4">
        <v>100000</v>
      </c>
      <c r="I694" s="4">
        <f t="shared" si="20"/>
        <v>100000</v>
      </c>
      <c r="J694" s="5">
        <v>45260</v>
      </c>
      <c r="K694" s="3" t="s">
        <v>628</v>
      </c>
      <c r="L694" s="3" t="str">
        <f>VLOOKUP(DataSales[[#This Row],[Khách hàng]],'RFM Table'!$A:$I,9,FALSE)</f>
        <v>Khách hàng Mới</v>
      </c>
      <c r="M694" s="4">
        <f t="shared" si="21"/>
        <v>23000</v>
      </c>
      <c r="N694" s="6">
        <v>0.23</v>
      </c>
      <c r="O694" s="2">
        <v>10</v>
      </c>
      <c r="P694" s="6">
        <v>0</v>
      </c>
      <c r="Q694" s="36">
        <v>2023</v>
      </c>
      <c r="R694" s="56">
        <f>MONTH(DataSales[[#This Row],[Ngày Xuất]])</f>
        <v>11</v>
      </c>
      <c r="S694" s="56" t="s">
        <v>775</v>
      </c>
    </row>
    <row r="695" spans="1:19" x14ac:dyDescent="0.3">
      <c r="A695" s="35">
        <v>827</v>
      </c>
      <c r="B695" s="8" t="s">
        <v>620</v>
      </c>
      <c r="C695" s="8" t="s">
        <v>621</v>
      </c>
      <c r="D695" s="8" t="s">
        <v>18</v>
      </c>
      <c r="E695" s="9">
        <v>43700</v>
      </c>
      <c r="F695" s="7">
        <v>0</v>
      </c>
      <c r="G695" s="7">
        <v>2</v>
      </c>
      <c r="H695" s="9">
        <v>56000</v>
      </c>
      <c r="I695" s="9">
        <f t="shared" si="20"/>
        <v>56000</v>
      </c>
      <c r="J695" s="10">
        <v>45260</v>
      </c>
      <c r="K695" s="8" t="s">
        <v>629</v>
      </c>
      <c r="L695" s="8" t="str">
        <f>VLOOKUP(DataSales[[#This Row],[Khách hàng]],'RFM Table'!$A:$I,9,FALSE)</f>
        <v>Khách hàng Trung thành</v>
      </c>
      <c r="M695" s="9">
        <f t="shared" si="21"/>
        <v>12300</v>
      </c>
      <c r="N695" s="11">
        <v>0.21964285714285711</v>
      </c>
      <c r="O695" s="7">
        <v>2</v>
      </c>
      <c r="P695" s="11">
        <v>0</v>
      </c>
      <c r="Q695" s="37">
        <v>2023</v>
      </c>
      <c r="R695" s="56">
        <f>MONTH(DataSales[[#This Row],[Ngày Xuất]])</f>
        <v>11</v>
      </c>
      <c r="S695" s="56" t="s">
        <v>782</v>
      </c>
    </row>
    <row r="696" spans="1:19" x14ac:dyDescent="0.3">
      <c r="A696" s="34">
        <v>828</v>
      </c>
      <c r="B696" s="3" t="s">
        <v>622</v>
      </c>
      <c r="C696" s="3" t="s">
        <v>623</v>
      </c>
      <c r="D696" s="3" t="s">
        <v>18</v>
      </c>
      <c r="E696" s="4">
        <v>42700</v>
      </c>
      <c r="F696" s="2">
        <v>0</v>
      </c>
      <c r="G696" s="2">
        <v>2</v>
      </c>
      <c r="H696" s="4">
        <v>52000</v>
      </c>
      <c r="I696" s="4">
        <f t="shared" si="20"/>
        <v>52000</v>
      </c>
      <c r="J696" s="5">
        <v>45260</v>
      </c>
      <c r="K696" s="3" t="s">
        <v>629</v>
      </c>
      <c r="L696" s="3" t="str">
        <f>VLOOKUP(DataSales[[#This Row],[Khách hàng]],'RFM Table'!$A:$I,9,FALSE)</f>
        <v>Khách hàng Trung thành</v>
      </c>
      <c r="M696" s="4">
        <f t="shared" si="21"/>
        <v>9300</v>
      </c>
      <c r="N696" s="6">
        <v>0.17884615384615379</v>
      </c>
      <c r="O696" s="2">
        <v>2</v>
      </c>
      <c r="P696" s="6">
        <v>0</v>
      </c>
      <c r="Q696" s="36">
        <v>2023</v>
      </c>
      <c r="R696" s="56">
        <f>MONTH(DataSales[[#This Row],[Ngày Xuất]])</f>
        <v>11</v>
      </c>
      <c r="S696" s="56" t="s">
        <v>782</v>
      </c>
    </row>
    <row r="697" spans="1:19" x14ac:dyDescent="0.3">
      <c r="A697" s="35">
        <v>830</v>
      </c>
      <c r="B697" s="8" t="s">
        <v>312</v>
      </c>
      <c r="C697" s="8" t="s">
        <v>313</v>
      </c>
      <c r="D697" s="8" t="s">
        <v>47</v>
      </c>
      <c r="E697" s="9">
        <v>260000</v>
      </c>
      <c r="F697" s="7">
        <v>0</v>
      </c>
      <c r="G697" s="7">
        <v>2</v>
      </c>
      <c r="H697" s="9">
        <v>560000</v>
      </c>
      <c r="I697" s="9">
        <f t="shared" si="20"/>
        <v>560000</v>
      </c>
      <c r="J697" s="10">
        <v>45260</v>
      </c>
      <c r="K697" s="8" t="s">
        <v>629</v>
      </c>
      <c r="L697" s="8" t="str">
        <f>VLOOKUP(DataSales[[#This Row],[Khách hàng]],'RFM Table'!$A:$I,9,FALSE)</f>
        <v>Khách hàng Trung thành</v>
      </c>
      <c r="M697" s="9">
        <f t="shared" si="21"/>
        <v>300000</v>
      </c>
      <c r="N697" s="11">
        <v>0.5357142857142857</v>
      </c>
      <c r="O697" s="7">
        <v>2</v>
      </c>
      <c r="P697" s="11">
        <v>0</v>
      </c>
      <c r="Q697" s="37">
        <v>2023</v>
      </c>
      <c r="R697" s="56">
        <f>MONTH(DataSales[[#This Row],[Ngày Xuất]])</f>
        <v>11</v>
      </c>
      <c r="S697" s="56" t="s">
        <v>779</v>
      </c>
    </row>
    <row r="698" spans="1:19" x14ac:dyDescent="0.3">
      <c r="A698" s="34">
        <v>831</v>
      </c>
      <c r="B698" s="3" t="s">
        <v>624</v>
      </c>
      <c r="C698" s="3" t="s">
        <v>625</v>
      </c>
      <c r="D698" s="3" t="s">
        <v>18</v>
      </c>
      <c r="E698" s="4">
        <v>54000</v>
      </c>
      <c r="F698" s="2">
        <v>0</v>
      </c>
      <c r="G698" s="2">
        <v>2</v>
      </c>
      <c r="H698" s="4">
        <v>66000</v>
      </c>
      <c r="I698" s="4">
        <f t="shared" si="20"/>
        <v>66000</v>
      </c>
      <c r="J698" s="5">
        <v>45260</v>
      </c>
      <c r="K698" s="3" t="s">
        <v>629</v>
      </c>
      <c r="L698" s="3" t="str">
        <f>VLOOKUP(DataSales[[#This Row],[Khách hàng]],'RFM Table'!$A:$I,9,FALSE)</f>
        <v>Khách hàng Trung thành</v>
      </c>
      <c r="M698" s="4">
        <f t="shared" si="21"/>
        <v>12000</v>
      </c>
      <c r="N698" s="6">
        <v>0.1818181818181818</v>
      </c>
      <c r="O698" s="2">
        <v>2</v>
      </c>
      <c r="P698" s="6">
        <v>0</v>
      </c>
      <c r="Q698" s="36">
        <v>2023</v>
      </c>
      <c r="R698" s="56">
        <f>MONTH(DataSales[[#This Row],[Ngày Xuất]])</f>
        <v>11</v>
      </c>
      <c r="S698" s="56" t="s">
        <v>776</v>
      </c>
    </row>
    <row r="699" spans="1:19" x14ac:dyDescent="0.3">
      <c r="A699" s="35">
        <v>832</v>
      </c>
      <c r="B699" s="8" t="s">
        <v>620</v>
      </c>
      <c r="C699" s="8" t="s">
        <v>621</v>
      </c>
      <c r="D699" s="8" t="s">
        <v>18</v>
      </c>
      <c r="E699" s="9">
        <v>109250</v>
      </c>
      <c r="F699" s="7">
        <v>0</v>
      </c>
      <c r="G699" s="7">
        <v>5</v>
      </c>
      <c r="H699" s="9">
        <v>140000</v>
      </c>
      <c r="I699" s="9">
        <f t="shared" si="20"/>
        <v>140000</v>
      </c>
      <c r="J699" s="10">
        <v>45260</v>
      </c>
      <c r="K699" s="8" t="s">
        <v>630</v>
      </c>
      <c r="L699" s="8" t="str">
        <f>VLOOKUP(DataSales[[#This Row],[Khách hàng]],'RFM Table'!$A:$I,9,FALSE)</f>
        <v>Khách hàng Trung thành</v>
      </c>
      <c r="M699" s="9">
        <f t="shared" si="21"/>
        <v>30750</v>
      </c>
      <c r="N699" s="11">
        <v>0.21964285714285711</v>
      </c>
      <c r="O699" s="7">
        <v>5</v>
      </c>
      <c r="P699" s="11">
        <v>0</v>
      </c>
      <c r="Q699" s="37">
        <v>2023</v>
      </c>
      <c r="R699" s="56">
        <f>MONTH(DataSales[[#This Row],[Ngày Xuất]])</f>
        <v>11</v>
      </c>
      <c r="S699" s="56" t="s">
        <v>782</v>
      </c>
    </row>
    <row r="700" spans="1:19" x14ac:dyDescent="0.3">
      <c r="A700" s="34">
        <v>833</v>
      </c>
      <c r="B700" s="3" t="s">
        <v>622</v>
      </c>
      <c r="C700" s="3" t="s">
        <v>623</v>
      </c>
      <c r="D700" s="3" t="s">
        <v>18</v>
      </c>
      <c r="E700" s="4">
        <v>106750</v>
      </c>
      <c r="F700" s="2">
        <v>0</v>
      </c>
      <c r="G700" s="2">
        <v>5</v>
      </c>
      <c r="H700" s="4">
        <v>140000</v>
      </c>
      <c r="I700" s="4">
        <f t="shared" si="20"/>
        <v>140000</v>
      </c>
      <c r="J700" s="5">
        <v>45260</v>
      </c>
      <c r="K700" s="3" t="s">
        <v>630</v>
      </c>
      <c r="L700" s="3" t="str">
        <f>VLOOKUP(DataSales[[#This Row],[Khách hàng]],'RFM Table'!$A:$I,9,FALSE)</f>
        <v>Khách hàng Trung thành</v>
      </c>
      <c r="M700" s="4">
        <f t="shared" si="21"/>
        <v>33250</v>
      </c>
      <c r="N700" s="6">
        <v>0.23749999999999999</v>
      </c>
      <c r="O700" s="2">
        <v>5</v>
      </c>
      <c r="P700" s="6">
        <v>0</v>
      </c>
      <c r="Q700" s="36">
        <v>2023</v>
      </c>
      <c r="R700" s="56">
        <f>MONTH(DataSales[[#This Row],[Ngày Xuất]])</f>
        <v>11</v>
      </c>
      <c r="S700" s="56" t="s">
        <v>782</v>
      </c>
    </row>
    <row r="701" spans="1:19" x14ac:dyDescent="0.3">
      <c r="A701" s="35">
        <v>834</v>
      </c>
      <c r="B701" s="8" t="s">
        <v>624</v>
      </c>
      <c r="C701" s="8" t="s">
        <v>625</v>
      </c>
      <c r="D701" s="8" t="s">
        <v>18</v>
      </c>
      <c r="E701" s="9">
        <v>135000</v>
      </c>
      <c r="F701" s="7">
        <v>0</v>
      </c>
      <c r="G701" s="7">
        <v>5</v>
      </c>
      <c r="H701" s="9">
        <v>165000</v>
      </c>
      <c r="I701" s="9">
        <f t="shared" si="20"/>
        <v>165000</v>
      </c>
      <c r="J701" s="10">
        <v>45260</v>
      </c>
      <c r="K701" s="8" t="s">
        <v>630</v>
      </c>
      <c r="L701" s="8" t="str">
        <f>VLOOKUP(DataSales[[#This Row],[Khách hàng]],'RFM Table'!$A:$I,9,FALSE)</f>
        <v>Khách hàng Trung thành</v>
      </c>
      <c r="M701" s="9">
        <f t="shared" si="21"/>
        <v>30000</v>
      </c>
      <c r="N701" s="11">
        <v>0.1818181818181818</v>
      </c>
      <c r="O701" s="7">
        <v>5</v>
      </c>
      <c r="P701" s="11">
        <v>0</v>
      </c>
      <c r="Q701" s="37">
        <v>2023</v>
      </c>
      <c r="R701" s="56">
        <f>MONTH(DataSales[[#This Row],[Ngày Xuất]])</f>
        <v>11</v>
      </c>
      <c r="S701" s="56" t="s">
        <v>776</v>
      </c>
    </row>
    <row r="702" spans="1:19" x14ac:dyDescent="0.3">
      <c r="A702" s="34">
        <v>837</v>
      </c>
      <c r="B702" s="3" t="s">
        <v>620</v>
      </c>
      <c r="C702" s="3" t="s">
        <v>621</v>
      </c>
      <c r="D702" s="3" t="s">
        <v>18</v>
      </c>
      <c r="E702" s="4">
        <v>43700</v>
      </c>
      <c r="F702" s="2">
        <v>0</v>
      </c>
      <c r="G702" s="2">
        <v>2</v>
      </c>
      <c r="H702" s="4">
        <v>60000</v>
      </c>
      <c r="I702" s="4">
        <f t="shared" si="20"/>
        <v>60000</v>
      </c>
      <c r="J702" s="5">
        <v>45260</v>
      </c>
      <c r="K702" s="3" t="s">
        <v>631</v>
      </c>
      <c r="L702" s="3" t="str">
        <f>VLOOKUP(DataSales[[#This Row],[Khách hàng]],'RFM Table'!$A:$I,9,FALSE)</f>
        <v>Khách hàng Trung thành</v>
      </c>
      <c r="M702" s="4">
        <f t="shared" si="21"/>
        <v>16300</v>
      </c>
      <c r="N702" s="6">
        <v>0.27166666666666672</v>
      </c>
      <c r="O702" s="2">
        <v>2</v>
      </c>
      <c r="P702" s="6">
        <v>0</v>
      </c>
      <c r="Q702" s="36">
        <v>2023</v>
      </c>
      <c r="R702" s="56">
        <f>MONTH(DataSales[[#This Row],[Ngày Xuất]])</f>
        <v>11</v>
      </c>
      <c r="S702" s="56" t="s">
        <v>782</v>
      </c>
    </row>
    <row r="703" spans="1:19" x14ac:dyDescent="0.3">
      <c r="A703" s="35">
        <v>838</v>
      </c>
      <c r="B703" s="8" t="s">
        <v>407</v>
      </c>
      <c r="C703" s="8" t="s">
        <v>408</v>
      </c>
      <c r="D703" s="8" t="s">
        <v>158</v>
      </c>
      <c r="E703" s="9">
        <v>260000</v>
      </c>
      <c r="F703" s="7">
        <v>0</v>
      </c>
      <c r="G703" s="7">
        <v>10</v>
      </c>
      <c r="H703" s="9">
        <v>230000</v>
      </c>
      <c r="I703" s="9">
        <f t="shared" si="20"/>
        <v>230000</v>
      </c>
      <c r="J703" s="10">
        <v>45260</v>
      </c>
      <c r="K703" s="8" t="s">
        <v>631</v>
      </c>
      <c r="L703" s="8" t="str">
        <f>VLOOKUP(DataSales[[#This Row],[Khách hàng]],'RFM Table'!$A:$I,9,FALSE)</f>
        <v>Khách hàng Trung thành</v>
      </c>
      <c r="M703" s="9">
        <f t="shared" si="21"/>
        <v>-30000</v>
      </c>
      <c r="N703" s="11">
        <v>-0.13043478260869559</v>
      </c>
      <c r="O703" s="7">
        <v>10</v>
      </c>
      <c r="P703" s="11">
        <v>0</v>
      </c>
      <c r="Q703" s="37">
        <v>2023</v>
      </c>
      <c r="R703" s="56">
        <f>MONTH(DataSales[[#This Row],[Ngày Xuất]])</f>
        <v>11</v>
      </c>
      <c r="S703" s="56" t="s">
        <v>779</v>
      </c>
    </row>
    <row r="704" spans="1:19" x14ac:dyDescent="0.3">
      <c r="A704" s="34">
        <v>839</v>
      </c>
      <c r="B704" s="3" t="s">
        <v>410</v>
      </c>
      <c r="C704" s="3" t="s">
        <v>411</v>
      </c>
      <c r="D704" s="3" t="s">
        <v>158</v>
      </c>
      <c r="E704" s="4">
        <v>245000</v>
      </c>
      <c r="F704" s="2">
        <v>0</v>
      </c>
      <c r="G704" s="2">
        <v>10</v>
      </c>
      <c r="H704" s="4">
        <v>230000</v>
      </c>
      <c r="I704" s="4">
        <f t="shared" si="20"/>
        <v>230000</v>
      </c>
      <c r="J704" s="5">
        <v>45260</v>
      </c>
      <c r="K704" s="3" t="s">
        <v>631</v>
      </c>
      <c r="L704" s="3" t="str">
        <f>VLOOKUP(DataSales[[#This Row],[Khách hàng]],'RFM Table'!$A:$I,9,FALSE)</f>
        <v>Khách hàng Trung thành</v>
      </c>
      <c r="M704" s="4">
        <f t="shared" si="21"/>
        <v>-15000</v>
      </c>
      <c r="N704" s="6">
        <v>-6.5217391304347824E-2</v>
      </c>
      <c r="O704" s="2">
        <v>10</v>
      </c>
      <c r="P704" s="6">
        <v>0</v>
      </c>
      <c r="Q704" s="36">
        <v>2023</v>
      </c>
      <c r="R704" s="56">
        <f>MONTH(DataSales[[#This Row],[Ngày Xuất]])</f>
        <v>11</v>
      </c>
      <c r="S704" s="56" t="s">
        <v>779</v>
      </c>
    </row>
    <row r="705" spans="1:19" x14ac:dyDescent="0.3">
      <c r="A705" s="35">
        <v>840</v>
      </c>
      <c r="B705" s="8" t="s">
        <v>226</v>
      </c>
      <c r="C705" s="8" t="s">
        <v>227</v>
      </c>
      <c r="D705" s="8" t="s">
        <v>32</v>
      </c>
      <c r="E705" s="9">
        <v>150000</v>
      </c>
      <c r="F705" s="7">
        <v>0</v>
      </c>
      <c r="G705" s="7">
        <v>6</v>
      </c>
      <c r="H705" s="9">
        <v>192000</v>
      </c>
      <c r="I705" s="9">
        <f t="shared" si="20"/>
        <v>192000</v>
      </c>
      <c r="J705" s="10">
        <v>45260</v>
      </c>
      <c r="K705" s="8" t="s">
        <v>631</v>
      </c>
      <c r="L705" s="8" t="str">
        <f>VLOOKUP(DataSales[[#This Row],[Khách hàng]],'RFM Table'!$A:$I,9,FALSE)</f>
        <v>Khách hàng Trung thành</v>
      </c>
      <c r="M705" s="9">
        <f t="shared" si="21"/>
        <v>42000</v>
      </c>
      <c r="N705" s="11">
        <v>0.21875</v>
      </c>
      <c r="O705" s="7">
        <v>6</v>
      </c>
      <c r="P705" s="11">
        <v>0</v>
      </c>
      <c r="Q705" s="37">
        <v>2023</v>
      </c>
      <c r="R705" s="56">
        <f>MONTH(DataSales[[#This Row],[Ngày Xuất]])</f>
        <v>11</v>
      </c>
      <c r="S705" s="56" t="s">
        <v>779</v>
      </c>
    </row>
    <row r="706" spans="1:19" x14ac:dyDescent="0.3">
      <c r="A706" s="41">
        <v>841</v>
      </c>
      <c r="B706" s="42" t="s">
        <v>624</v>
      </c>
      <c r="C706" s="42" t="s">
        <v>625</v>
      </c>
      <c r="D706" s="42" t="s">
        <v>18</v>
      </c>
      <c r="E706" s="43">
        <v>54000</v>
      </c>
      <c r="F706" s="44">
        <v>0</v>
      </c>
      <c r="G706" s="44">
        <v>2</v>
      </c>
      <c r="H706" s="43">
        <v>70000</v>
      </c>
      <c r="I706" s="43">
        <f t="shared" ref="I706" si="22">H706</f>
        <v>70000</v>
      </c>
      <c r="J706" s="45">
        <v>45260</v>
      </c>
      <c r="K706" s="42" t="s">
        <v>631</v>
      </c>
      <c r="L706" s="42" t="str">
        <f>VLOOKUP(DataSales[[#This Row],[Khách hàng]],'RFM Table'!$A:$I,9,FALSE)</f>
        <v>Khách hàng Trung thành</v>
      </c>
      <c r="M706" s="43">
        <f t="shared" si="21"/>
        <v>16000</v>
      </c>
      <c r="N706" s="46">
        <v>0.22857142857142859</v>
      </c>
      <c r="O706" s="44">
        <v>2</v>
      </c>
      <c r="P706" s="46">
        <v>0</v>
      </c>
      <c r="Q706" s="47">
        <v>2023</v>
      </c>
      <c r="R706" s="56">
        <f>MONTH(DataSales[[#This Row],[Ngày Xuất]])</f>
        <v>11</v>
      </c>
      <c r="S706" s="56" t="s">
        <v>776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3ACC-8916-48C8-B215-74D85ACDBF43}">
  <dimension ref="A1:BJ223"/>
  <sheetViews>
    <sheetView zoomScale="85" zoomScaleNormal="85" workbookViewId="0">
      <selection activeCell="I10" sqref="I10"/>
    </sheetView>
  </sheetViews>
  <sheetFormatPr defaultRowHeight="14.4" x14ac:dyDescent="0.3"/>
  <cols>
    <col min="1" max="1" width="13.44140625" bestFit="1" customWidth="1"/>
    <col min="2" max="2" width="15.77734375" bestFit="1" customWidth="1"/>
    <col min="3" max="3" width="20.6640625" bestFit="1" customWidth="1"/>
    <col min="4" max="4" width="13.44140625" bestFit="1" customWidth="1"/>
    <col min="5" max="5" width="19.109375" bestFit="1" customWidth="1"/>
    <col min="6" max="6" width="12.5546875" bestFit="1" customWidth="1"/>
    <col min="7" max="7" width="16.21875" bestFit="1" customWidth="1"/>
    <col min="8" max="8" width="14.44140625" bestFit="1" customWidth="1"/>
    <col min="9" max="9" width="18.109375" bestFit="1" customWidth="1"/>
    <col min="10" max="10" width="21.6640625" bestFit="1" customWidth="1"/>
    <col min="11" max="11" width="15.21875" bestFit="1" customWidth="1"/>
    <col min="12" max="13" width="16.44140625" bestFit="1" customWidth="1"/>
    <col min="15" max="15" width="29.109375" bestFit="1" customWidth="1"/>
    <col min="16" max="16" width="17.6640625" bestFit="1" customWidth="1"/>
    <col min="17" max="18" width="29" bestFit="1" customWidth="1"/>
    <col min="19" max="19" width="25.21875" bestFit="1" customWidth="1"/>
    <col min="20" max="20" width="14.21875" bestFit="1" customWidth="1"/>
    <col min="27" max="27" width="38.6640625" bestFit="1" customWidth="1"/>
    <col min="28" max="28" width="15.5546875" bestFit="1" customWidth="1"/>
    <col min="29" max="29" width="15.109375" bestFit="1" customWidth="1"/>
    <col min="34" max="34" width="21.6640625" bestFit="1" customWidth="1"/>
    <col min="35" max="35" width="17.6640625" bestFit="1" customWidth="1"/>
    <col min="36" max="36" width="17.109375" bestFit="1" customWidth="1"/>
    <col min="40" max="40" width="57.33203125" bestFit="1" customWidth="1"/>
    <col min="41" max="41" width="15.5546875" bestFit="1" customWidth="1"/>
    <col min="42" max="42" width="15.109375" bestFit="1" customWidth="1"/>
    <col min="53" max="53" width="19.21875" bestFit="1" customWidth="1"/>
    <col min="54" max="54" width="15.5546875" bestFit="1" customWidth="1"/>
  </cols>
  <sheetData>
    <row r="1" spans="1:62" x14ac:dyDescent="0.3">
      <c r="J1" s="50" t="s">
        <v>753</v>
      </c>
      <c r="K1" t="s">
        <v>748</v>
      </c>
      <c r="M1" t="s">
        <v>752</v>
      </c>
      <c r="O1" s="50" t="s">
        <v>753</v>
      </c>
      <c r="P1" t="s">
        <v>750</v>
      </c>
      <c r="S1" s="50" t="s">
        <v>753</v>
      </c>
      <c r="T1" t="s">
        <v>748</v>
      </c>
      <c r="Z1" t="str">
        <f>TEXT(VLOOKUP("Grand Total", J1:K11, 2, FALSE), "#,##0 ""VNĐ""")</f>
        <v>269,283,456 VNĐ</v>
      </c>
      <c r="AA1" s="50" t="s">
        <v>753</v>
      </c>
      <c r="AB1" t="s">
        <v>765</v>
      </c>
      <c r="AI1" s="50" t="s">
        <v>766</v>
      </c>
      <c r="AO1" s="50" t="s">
        <v>766</v>
      </c>
      <c r="AS1" t="s">
        <v>769</v>
      </c>
      <c r="AT1" t="s">
        <v>770</v>
      </c>
      <c r="AU1" t="s">
        <v>8</v>
      </c>
      <c r="BA1" s="50" t="s">
        <v>753</v>
      </c>
      <c r="BB1" t="s">
        <v>765</v>
      </c>
      <c r="BH1" t="s">
        <v>784</v>
      </c>
      <c r="BI1" t="s">
        <v>785</v>
      </c>
      <c r="BJ1" t="s">
        <v>786</v>
      </c>
    </row>
    <row r="2" spans="1:62" x14ac:dyDescent="0.3">
      <c r="J2" s="51" t="s">
        <v>641</v>
      </c>
      <c r="K2" s="48">
        <v>52659100</v>
      </c>
      <c r="M2" s="49">
        <v>4.6250101481939886E-2</v>
      </c>
      <c r="O2" s="51" t="s">
        <v>641</v>
      </c>
      <c r="P2" s="96">
        <v>127</v>
      </c>
      <c r="S2" s="51" t="s">
        <v>641</v>
      </c>
      <c r="T2" s="48">
        <v>52659100</v>
      </c>
      <c r="Z2" t="str">
        <f>TEXT(VLOOKUP("Grand Total", J12:L22, 2, FALSE), "#,##0 ""VNĐ""")</f>
        <v>56,843,559 VNĐ</v>
      </c>
      <c r="AA2" s="51" t="s">
        <v>352</v>
      </c>
      <c r="AB2" s="48">
        <v>5540000</v>
      </c>
      <c r="AH2" s="50" t="s">
        <v>753</v>
      </c>
      <c r="AI2" s="94" t="s">
        <v>765</v>
      </c>
      <c r="AJ2" s="94" t="s">
        <v>767</v>
      </c>
      <c r="AN2" s="50" t="s">
        <v>753</v>
      </c>
      <c r="AO2" t="s">
        <v>765</v>
      </c>
      <c r="AP2" t="s">
        <v>767</v>
      </c>
      <c r="AQ2" t="s">
        <v>768</v>
      </c>
      <c r="AS2" t="s">
        <v>267</v>
      </c>
      <c r="AT2" s="63">
        <v>0.7142857142857143</v>
      </c>
      <c r="AU2" s="48">
        <v>140000</v>
      </c>
      <c r="BA2" s="51" t="s">
        <v>779</v>
      </c>
      <c r="BB2" s="48">
        <v>86484000</v>
      </c>
      <c r="BH2" t="s">
        <v>787</v>
      </c>
      <c r="BI2" s="62">
        <v>19.600000000000001</v>
      </c>
      <c r="BJ2" s="48">
        <v>173298</v>
      </c>
    </row>
    <row r="3" spans="1:62" x14ac:dyDescent="0.3">
      <c r="A3" s="50" t="s">
        <v>753</v>
      </c>
      <c r="B3" s="48" t="s">
        <v>748</v>
      </c>
      <c r="D3" s="50" t="s">
        <v>753</v>
      </c>
      <c r="E3" s="48" t="s">
        <v>749</v>
      </c>
      <c r="J3" s="51" t="s">
        <v>650</v>
      </c>
      <c r="K3" s="48">
        <v>25980700</v>
      </c>
      <c r="O3" s="51" t="s">
        <v>650</v>
      </c>
      <c r="P3" s="96">
        <v>32</v>
      </c>
      <c r="S3" s="51" t="s">
        <v>650</v>
      </c>
      <c r="T3" s="48">
        <v>25980700</v>
      </c>
      <c r="Z3" t="str">
        <f>TEXT(VLOOKUP("Grand Total", J12:L22, 3, FALSE), "0.00%")</f>
        <v>17.43%</v>
      </c>
      <c r="AA3" s="51" t="s">
        <v>337</v>
      </c>
      <c r="AB3" s="48">
        <v>5824000</v>
      </c>
      <c r="AH3" s="51" t="s">
        <v>641</v>
      </c>
      <c r="AI3" s="48">
        <v>52659100</v>
      </c>
      <c r="AJ3" s="48">
        <v>9358117</v>
      </c>
      <c r="AN3" s="51" t="s">
        <v>261</v>
      </c>
      <c r="AO3" s="48">
        <v>3360000</v>
      </c>
      <c r="AP3" s="48">
        <v>360000</v>
      </c>
      <c r="AQ3" s="63">
        <f>IF($AO$3=0,0,$AP$3/$AO$3)</f>
        <v>0.10714285714285714</v>
      </c>
      <c r="AS3" t="s">
        <v>488</v>
      </c>
      <c r="AT3" s="63">
        <v>0.70370370370370372</v>
      </c>
      <c r="AU3" s="48">
        <v>121500</v>
      </c>
      <c r="BA3" s="51" t="s">
        <v>772</v>
      </c>
      <c r="BB3" s="48">
        <v>57804500</v>
      </c>
      <c r="BH3" t="s">
        <v>788</v>
      </c>
      <c r="BI3" s="62">
        <v>9.6</v>
      </c>
      <c r="BJ3" s="48">
        <v>324781</v>
      </c>
    </row>
    <row r="4" spans="1:62" x14ac:dyDescent="0.3">
      <c r="A4" s="51" t="s">
        <v>58</v>
      </c>
      <c r="B4" s="48">
        <v>5530000</v>
      </c>
      <c r="D4" s="51" t="s">
        <v>206</v>
      </c>
      <c r="E4" s="48">
        <v>3468000</v>
      </c>
      <c r="J4" s="51" t="s">
        <v>656</v>
      </c>
      <c r="K4" s="48">
        <v>5521000</v>
      </c>
      <c r="M4" s="49">
        <f>M2</f>
        <v>4.6250101481939886E-2</v>
      </c>
      <c r="O4" s="51" t="s">
        <v>656</v>
      </c>
      <c r="P4" s="96">
        <v>36</v>
      </c>
      <c r="S4" s="51" t="s">
        <v>656</v>
      </c>
      <c r="T4" s="48">
        <v>5521000</v>
      </c>
      <c r="AA4" s="51" t="s">
        <v>81</v>
      </c>
      <c r="AB4" s="48">
        <v>6816000</v>
      </c>
      <c r="AH4" s="51" t="s">
        <v>650</v>
      </c>
      <c r="AI4" s="48">
        <v>25980700</v>
      </c>
      <c r="AJ4" s="48">
        <v>7145178</v>
      </c>
      <c r="AN4" s="51" t="s">
        <v>569</v>
      </c>
      <c r="AO4" s="48">
        <v>441600</v>
      </c>
      <c r="AP4" s="48">
        <v>-230400</v>
      </c>
      <c r="AQ4" s="63">
        <f>IF($AO$4=0,0,$AP$4/$AO$4)</f>
        <v>-0.52173913043478259</v>
      </c>
      <c r="AS4" t="s">
        <v>486</v>
      </c>
      <c r="AT4" s="63">
        <v>0.65437788018433185</v>
      </c>
      <c r="AU4" s="48">
        <v>217000</v>
      </c>
      <c r="BA4" s="51" t="s">
        <v>773</v>
      </c>
      <c r="BB4" s="48">
        <v>30979556</v>
      </c>
      <c r="BH4" t="s">
        <v>789</v>
      </c>
      <c r="BI4" s="62">
        <v>2.1</v>
      </c>
      <c r="BJ4" s="48">
        <v>87193</v>
      </c>
    </row>
    <row r="5" spans="1:62" x14ac:dyDescent="0.3">
      <c r="A5" s="51" t="s">
        <v>352</v>
      </c>
      <c r="B5" s="48">
        <v>5540000</v>
      </c>
      <c r="D5" s="51" t="s">
        <v>17</v>
      </c>
      <c r="E5" s="48">
        <v>5330600</v>
      </c>
      <c r="J5" s="51" t="s">
        <v>644</v>
      </c>
      <c r="K5" s="48">
        <v>102689500</v>
      </c>
      <c r="O5" s="51" t="s">
        <v>644</v>
      </c>
      <c r="P5" s="96">
        <v>338</v>
      </c>
      <c r="S5" s="51" t="s">
        <v>644</v>
      </c>
      <c r="T5" s="48">
        <v>102689500</v>
      </c>
      <c r="AA5" s="51" t="s">
        <v>41</v>
      </c>
      <c r="AB5" s="48">
        <v>7874000</v>
      </c>
      <c r="AH5" s="51" t="s">
        <v>656</v>
      </c>
      <c r="AI5" s="48">
        <v>5521000</v>
      </c>
      <c r="AJ5" s="48">
        <v>1395083</v>
      </c>
      <c r="AN5" s="51" t="s">
        <v>571</v>
      </c>
      <c r="AO5" s="48">
        <v>217000</v>
      </c>
      <c r="AP5" s="48">
        <v>-113000</v>
      </c>
      <c r="AQ5" s="63">
        <f>IF($AO$5=0,0,$AP$5/$AO$5)</f>
        <v>-0.52073732718894006</v>
      </c>
      <c r="AS5" t="s">
        <v>484</v>
      </c>
      <c r="AT5" s="63">
        <v>0.63133640552995396</v>
      </c>
      <c r="AU5" s="48">
        <v>217000</v>
      </c>
      <c r="BA5" s="51" t="s">
        <v>780</v>
      </c>
      <c r="BB5" s="48">
        <v>26660400</v>
      </c>
      <c r="BH5" t="s">
        <v>790</v>
      </c>
      <c r="BI5" s="62">
        <v>38.1</v>
      </c>
      <c r="BJ5" s="48">
        <v>420000</v>
      </c>
    </row>
    <row r="6" spans="1:62" x14ac:dyDescent="0.3">
      <c r="A6" s="51" t="s">
        <v>337</v>
      </c>
      <c r="B6" s="48">
        <v>5824000</v>
      </c>
      <c r="D6" s="51" t="s">
        <v>120</v>
      </c>
      <c r="E6" s="48">
        <v>9141000</v>
      </c>
      <c r="J6" s="51" t="s">
        <v>659</v>
      </c>
      <c r="K6" s="48">
        <v>82433156</v>
      </c>
      <c r="O6" s="51" t="s">
        <v>659</v>
      </c>
      <c r="P6" s="96">
        <v>172</v>
      </c>
      <c r="S6" s="51" t="s">
        <v>659</v>
      </c>
      <c r="T6" s="48">
        <v>82433156</v>
      </c>
      <c r="Z6" t="str">
        <f>TEXT(VLOOKUP("Grand Total", J1:K11, 2, FALSE) / VLOOKUP("Grand Total", O1:P11, 2, FALSE), "#,##0 ""VNĐ/đơn""")</f>
        <v>381,962 VNĐ/đơn</v>
      </c>
      <c r="AA6" s="51" t="s">
        <v>28</v>
      </c>
      <c r="AB6" s="48">
        <v>7914000</v>
      </c>
      <c r="AH6" s="51" t="s">
        <v>644</v>
      </c>
      <c r="AI6" s="48">
        <v>102689500</v>
      </c>
      <c r="AJ6" s="48">
        <v>19740013</v>
      </c>
      <c r="AN6" s="51" t="s">
        <v>463</v>
      </c>
      <c r="AO6" s="48">
        <v>150000</v>
      </c>
      <c r="AP6" s="48">
        <v>-62500</v>
      </c>
      <c r="AQ6" s="63">
        <f>IF($AO$6=0,0,$AP$6/$AO$6)</f>
        <v>-0.41666666666666669</v>
      </c>
      <c r="AS6" t="s">
        <v>600</v>
      </c>
      <c r="AT6" s="63">
        <v>0.59166666666666667</v>
      </c>
      <c r="AU6" s="48">
        <v>1920000</v>
      </c>
      <c r="BA6" s="51" t="s">
        <v>775</v>
      </c>
      <c r="BB6" s="48">
        <v>19166000</v>
      </c>
      <c r="BH6" t="s">
        <v>791</v>
      </c>
      <c r="BI6" s="62">
        <v>30.6</v>
      </c>
      <c r="BJ6" s="48">
        <v>960258</v>
      </c>
    </row>
    <row r="7" spans="1:62" x14ac:dyDescent="0.3">
      <c r="A7" s="51" t="s">
        <v>81</v>
      </c>
      <c r="B7" s="48">
        <v>6816000</v>
      </c>
      <c r="D7" s="51" t="s">
        <v>717</v>
      </c>
      <c r="E7" s="48">
        <v>17939600</v>
      </c>
      <c r="J7" s="51" t="s">
        <v>717</v>
      </c>
      <c r="K7" s="48">
        <v>269283456</v>
      </c>
      <c r="O7" s="51" t="s">
        <v>717</v>
      </c>
      <c r="P7" s="96">
        <v>705</v>
      </c>
      <c r="S7" s="51" t="s">
        <v>717</v>
      </c>
      <c r="T7" s="48">
        <v>269283456</v>
      </c>
      <c r="AA7" s="51" t="s">
        <v>17</v>
      </c>
      <c r="AB7" s="48">
        <v>14834600</v>
      </c>
      <c r="AH7" s="51" t="s">
        <v>659</v>
      </c>
      <c r="AI7" s="48">
        <v>82433156</v>
      </c>
      <c r="AJ7" s="48">
        <v>19205168</v>
      </c>
      <c r="AN7" s="51" t="s">
        <v>328</v>
      </c>
      <c r="AO7" s="48">
        <v>2070000</v>
      </c>
      <c r="AP7" s="48">
        <v>-474000</v>
      </c>
      <c r="AQ7" s="63">
        <f>IF($AO$7=0,0,$AP$7/$AO$7)</f>
        <v>-0.22898550724637681</v>
      </c>
      <c r="BA7" s="51" t="s">
        <v>776</v>
      </c>
      <c r="BB7" s="48">
        <v>17603500</v>
      </c>
    </row>
    <row r="8" spans="1:62" x14ac:dyDescent="0.3">
      <c r="A8" s="51" t="s">
        <v>122</v>
      </c>
      <c r="B8" s="48">
        <v>7732000</v>
      </c>
      <c r="AA8" s="51" t="s">
        <v>58</v>
      </c>
      <c r="AB8" s="48">
        <v>5530000</v>
      </c>
      <c r="AH8" s="51" t="s">
        <v>717</v>
      </c>
      <c r="AI8" s="48">
        <v>269283456</v>
      </c>
      <c r="AJ8" s="48">
        <v>56843559</v>
      </c>
      <c r="AN8" s="51" t="s">
        <v>490</v>
      </c>
      <c r="AO8" s="48">
        <v>762000</v>
      </c>
      <c r="AP8" s="48">
        <v>-246000</v>
      </c>
      <c r="AQ8" s="63">
        <f>IF($AO$8=0,0,$AP$8/$AO$8)</f>
        <v>-0.32283464566929132</v>
      </c>
      <c r="BA8" s="51" t="s">
        <v>774</v>
      </c>
      <c r="BB8" s="48">
        <v>12408100</v>
      </c>
    </row>
    <row r="9" spans="1:62" ht="28.8" x14ac:dyDescent="0.3">
      <c r="A9" s="51" t="s">
        <v>41</v>
      </c>
      <c r="B9" s="48">
        <v>7874000</v>
      </c>
      <c r="J9" s="54"/>
      <c r="K9" s="58">
        <f>K3</f>
        <v>25980700</v>
      </c>
      <c r="L9" s="53"/>
      <c r="M9" s="54"/>
      <c r="P9">
        <f>P3</f>
        <v>32</v>
      </c>
      <c r="S9" s="54"/>
      <c r="T9" s="58">
        <f>T3</f>
        <v>25980700</v>
      </c>
      <c r="AA9" s="51" t="s">
        <v>122</v>
      </c>
      <c r="AB9" s="48">
        <v>7732000</v>
      </c>
      <c r="AN9" s="51" t="s">
        <v>505</v>
      </c>
      <c r="AO9" s="48">
        <v>105000</v>
      </c>
      <c r="AP9" s="48">
        <v>-55000</v>
      </c>
      <c r="AQ9" s="63">
        <f>IF($AO$9=0,0,$AP$9/$AO$9)</f>
        <v>-0.52380952380952384</v>
      </c>
      <c r="BA9" s="51" t="s">
        <v>777</v>
      </c>
      <c r="BB9" s="48">
        <v>7857800</v>
      </c>
    </row>
    <row r="10" spans="1:62" x14ac:dyDescent="0.3">
      <c r="A10" s="51" t="s">
        <v>28</v>
      </c>
      <c r="B10" s="48">
        <v>7914000</v>
      </c>
      <c r="AA10" s="51" t="s">
        <v>120</v>
      </c>
      <c r="AB10" s="48">
        <v>23241000</v>
      </c>
      <c r="AN10" s="51" t="s">
        <v>330</v>
      </c>
      <c r="AO10" s="48">
        <v>540000</v>
      </c>
      <c r="AP10" s="48">
        <v>0</v>
      </c>
      <c r="AQ10" s="63">
        <f>IF($AO$10=0,0,$AP$10/$AO$10)</f>
        <v>0</v>
      </c>
      <c r="BA10" s="51" t="s">
        <v>782</v>
      </c>
      <c r="BB10" s="48">
        <v>6208600</v>
      </c>
    </row>
    <row r="11" spans="1:62" x14ac:dyDescent="0.3">
      <c r="A11" s="51" t="s">
        <v>206</v>
      </c>
      <c r="B11" s="48">
        <v>8168000</v>
      </c>
      <c r="AA11" s="51" t="s">
        <v>206</v>
      </c>
      <c r="AB11" s="48">
        <v>8168000</v>
      </c>
      <c r="AN11" s="51" t="s">
        <v>406</v>
      </c>
      <c r="AO11" s="48">
        <v>358000</v>
      </c>
      <c r="AP11" s="48">
        <v>-142000</v>
      </c>
      <c r="AQ11" s="63">
        <f>IF($AO$11=0,0,$AP$11/$AO$11)</f>
        <v>-0.39664804469273746</v>
      </c>
      <c r="BA11" s="51" t="s">
        <v>781</v>
      </c>
      <c r="BB11" s="48">
        <v>2371000</v>
      </c>
    </row>
    <row r="12" spans="1:62" x14ac:dyDescent="0.3">
      <c r="A12" s="51" t="s">
        <v>17</v>
      </c>
      <c r="B12" s="48">
        <v>14834600</v>
      </c>
      <c r="J12" s="50" t="s">
        <v>753</v>
      </c>
      <c r="K12" s="95" t="s">
        <v>749</v>
      </c>
      <c r="L12" s="49" t="s">
        <v>755</v>
      </c>
      <c r="O12" s="50" t="s">
        <v>753</v>
      </c>
      <c r="P12" t="s">
        <v>765</v>
      </c>
      <c r="S12" s="50" t="s">
        <v>753</v>
      </c>
      <c r="T12" t="s">
        <v>751</v>
      </c>
      <c r="AA12" s="51" t="s">
        <v>717</v>
      </c>
      <c r="AB12" s="48">
        <v>93473600</v>
      </c>
      <c r="AN12" s="51" t="s">
        <v>332</v>
      </c>
      <c r="AO12" s="48">
        <v>1070000</v>
      </c>
      <c r="AP12" s="48">
        <v>-82000</v>
      </c>
      <c r="AQ12" s="63">
        <f>IF($AO$12=0,0,$AP$12/$AO$12)</f>
        <v>-7.6635514018691592E-2</v>
      </c>
      <c r="BA12" s="51" t="s">
        <v>778</v>
      </c>
      <c r="BB12" s="48">
        <v>1170000</v>
      </c>
    </row>
    <row r="13" spans="1:62" x14ac:dyDescent="0.3">
      <c r="A13" s="51" t="s">
        <v>120</v>
      </c>
      <c r="B13" s="48">
        <v>23241000</v>
      </c>
      <c r="D13" s="50" t="s">
        <v>753</v>
      </c>
      <c r="E13" s="61" t="s">
        <v>757</v>
      </c>
      <c r="F13" s="94" t="s">
        <v>758</v>
      </c>
      <c r="G13" s="94" t="s">
        <v>759</v>
      </c>
      <c r="J13" s="51" t="s">
        <v>641</v>
      </c>
      <c r="K13" s="48">
        <v>9358117</v>
      </c>
      <c r="L13" s="49">
        <v>0.19424003605642004</v>
      </c>
      <c r="O13" s="51" t="s">
        <v>61</v>
      </c>
      <c r="P13" s="96">
        <v>11022000</v>
      </c>
      <c r="S13" s="51">
        <v>9</v>
      </c>
      <c r="T13" s="96"/>
      <c r="AN13" s="51" t="s">
        <v>607</v>
      </c>
      <c r="AO13" s="48">
        <v>384000</v>
      </c>
      <c r="AP13" s="48">
        <v>78000</v>
      </c>
      <c r="AQ13" s="63">
        <f>IF($AO$13=0,0,$AP$13/$AO$13)</f>
        <v>0.203125</v>
      </c>
      <c r="BA13" s="51" t="s">
        <v>783</v>
      </c>
      <c r="BB13" s="48">
        <v>570000</v>
      </c>
    </row>
    <row r="14" spans="1:62" x14ac:dyDescent="0.3">
      <c r="A14" s="51" t="s">
        <v>717</v>
      </c>
      <c r="B14" s="48">
        <v>93473600</v>
      </c>
      <c r="D14" s="51" t="s">
        <v>326</v>
      </c>
      <c r="E14" s="49">
        <v>0</v>
      </c>
      <c r="F14" s="48">
        <v>15</v>
      </c>
      <c r="G14" s="48">
        <v>0</v>
      </c>
      <c r="J14" s="51" t="s">
        <v>650</v>
      </c>
      <c r="K14" s="48">
        <v>7145178</v>
      </c>
      <c r="L14" s="49">
        <v>0.17046093029218856</v>
      </c>
      <c r="O14" s="51" t="s">
        <v>85</v>
      </c>
      <c r="P14" s="96">
        <v>10078000</v>
      </c>
      <c r="S14" s="55" t="s">
        <v>641</v>
      </c>
      <c r="T14" s="96">
        <v>33</v>
      </c>
      <c r="AN14" s="51" t="s">
        <v>605</v>
      </c>
      <c r="AO14" s="48">
        <v>384000</v>
      </c>
      <c r="AP14" s="48">
        <v>78000</v>
      </c>
      <c r="AQ14" s="63">
        <f>IF($AO$14=0,0,$AP$14/$AO$14)</f>
        <v>0.203125</v>
      </c>
      <c r="BA14" s="51" t="s">
        <v>717</v>
      </c>
      <c r="BB14" s="48">
        <v>269283456</v>
      </c>
    </row>
    <row r="15" spans="1:62" x14ac:dyDescent="0.3">
      <c r="D15" s="51" t="s">
        <v>250</v>
      </c>
      <c r="E15" s="49">
        <v>0.15873015873015875</v>
      </c>
      <c r="F15" s="48">
        <v>32</v>
      </c>
      <c r="G15" s="48">
        <v>6</v>
      </c>
      <c r="J15" s="51" t="s">
        <v>656</v>
      </c>
      <c r="K15" s="48">
        <v>1395083</v>
      </c>
      <c r="L15" s="49">
        <v>0.12969009289157032</v>
      </c>
      <c r="O15" s="51" t="s">
        <v>398</v>
      </c>
      <c r="P15" s="96">
        <v>8626400</v>
      </c>
      <c r="S15" s="55" t="s">
        <v>650</v>
      </c>
      <c r="T15" s="96">
        <v>1</v>
      </c>
      <c r="AN15" s="51" t="s">
        <v>609</v>
      </c>
      <c r="AO15" s="48">
        <v>384000</v>
      </c>
      <c r="AP15" s="48">
        <v>78000</v>
      </c>
      <c r="AQ15" s="63">
        <f>IF($AO$15=0,0,$AP$15/$AO$15)</f>
        <v>0.203125</v>
      </c>
    </row>
    <row r="16" spans="1:62" x14ac:dyDescent="0.3">
      <c r="D16" s="51" t="s">
        <v>25</v>
      </c>
      <c r="E16" s="49">
        <v>3.0701754385964907E-2</v>
      </c>
      <c r="F16" s="48">
        <v>70</v>
      </c>
      <c r="G16" s="48">
        <v>3</v>
      </c>
      <c r="J16" s="51" t="s">
        <v>644</v>
      </c>
      <c r="K16" s="48">
        <v>19740013</v>
      </c>
      <c r="L16" s="49">
        <v>0.15564753286139321</v>
      </c>
      <c r="O16" s="51" t="s">
        <v>717</v>
      </c>
      <c r="P16" s="96">
        <v>29726400</v>
      </c>
      <c r="S16" s="55" t="s">
        <v>656</v>
      </c>
      <c r="T16" s="96">
        <v>1</v>
      </c>
      <c r="AN16" s="51" t="s">
        <v>282</v>
      </c>
      <c r="AO16" s="48">
        <v>240000</v>
      </c>
      <c r="AP16" s="48">
        <v>29580</v>
      </c>
      <c r="AQ16" s="63">
        <f>IF($AO$16=0,0,$AP$16/$AO$16)</f>
        <v>0.12325</v>
      </c>
    </row>
    <row r="17" spans="1:43" x14ac:dyDescent="0.3">
      <c r="D17" s="51" t="s">
        <v>335</v>
      </c>
      <c r="E17" s="49">
        <v>0</v>
      </c>
      <c r="F17" s="48">
        <v>3</v>
      </c>
      <c r="G17" s="48">
        <v>0</v>
      </c>
      <c r="J17" s="51" t="s">
        <v>659</v>
      </c>
      <c r="K17" s="48">
        <v>19205168</v>
      </c>
      <c r="L17" s="49">
        <v>0.20633796811788405</v>
      </c>
      <c r="S17" s="55" t="s">
        <v>644</v>
      </c>
      <c r="T17" s="96">
        <v>24</v>
      </c>
      <c r="AN17" s="51" t="s">
        <v>284</v>
      </c>
      <c r="AO17" s="48">
        <v>288000</v>
      </c>
      <c r="AP17" s="48">
        <v>35496</v>
      </c>
      <c r="AQ17" s="63">
        <f>IF($AO$17=0,0,$AP$17/$AO$17)</f>
        <v>0.12325</v>
      </c>
    </row>
    <row r="18" spans="1:43" x14ac:dyDescent="0.3">
      <c r="D18" s="51" t="s">
        <v>369</v>
      </c>
      <c r="E18" s="49">
        <v>0.1214285714285714</v>
      </c>
      <c r="F18" s="48">
        <v>21</v>
      </c>
      <c r="G18" s="48">
        <v>3</v>
      </c>
      <c r="J18" s="51" t="s">
        <v>717</v>
      </c>
      <c r="K18" s="48">
        <v>56843559</v>
      </c>
      <c r="L18" s="49">
        <v>0.17431358059012617</v>
      </c>
      <c r="S18" s="55" t="s">
        <v>659</v>
      </c>
      <c r="T18" s="96">
        <v>17</v>
      </c>
      <c r="AN18" s="51" t="s">
        <v>577</v>
      </c>
      <c r="AO18" s="48">
        <v>192000</v>
      </c>
      <c r="AP18" s="48">
        <v>25680</v>
      </c>
      <c r="AQ18" s="63">
        <f>IF($AO$18=0,0,$AP$18/$AO$18)</f>
        <v>0.13375000000000001</v>
      </c>
    </row>
    <row r="19" spans="1:43" x14ac:dyDescent="0.3">
      <c r="D19" s="51" t="s">
        <v>72</v>
      </c>
      <c r="E19" s="49">
        <v>4.638218923933209E-3</v>
      </c>
      <c r="F19" s="48">
        <v>510</v>
      </c>
      <c r="G19" s="48">
        <v>5</v>
      </c>
      <c r="S19" s="51">
        <v>10</v>
      </c>
      <c r="T19" s="96"/>
      <c r="AN19" s="51" t="s">
        <v>575</v>
      </c>
      <c r="AO19" s="48">
        <v>212000</v>
      </c>
      <c r="AP19" s="48">
        <v>24032</v>
      </c>
      <c r="AQ19" s="63">
        <f>IF($AO$19=0,0,$AP$19/$AO$19)</f>
        <v>0.11335849056603774</v>
      </c>
    </row>
    <row r="20" spans="1:43" x14ac:dyDescent="0.3">
      <c r="D20" s="51" t="s">
        <v>32</v>
      </c>
      <c r="E20" s="49">
        <v>4.524457024457023E-2</v>
      </c>
      <c r="F20" s="48">
        <v>1142</v>
      </c>
      <c r="G20" s="48">
        <v>65</v>
      </c>
      <c r="K20" s="48">
        <f>K14</f>
        <v>7145178</v>
      </c>
      <c r="L20" s="49">
        <f>L14</f>
        <v>0.17046093029218856</v>
      </c>
      <c r="S20" s="55" t="s">
        <v>641</v>
      </c>
      <c r="T20" s="96">
        <v>30</v>
      </c>
      <c r="AN20" s="51" t="s">
        <v>352</v>
      </c>
      <c r="AO20" s="48">
        <v>5540000</v>
      </c>
      <c r="AP20" s="48">
        <v>149300</v>
      </c>
      <c r="AQ20" s="63">
        <f>IF($AO$20=0,0,$AP$20/$AO$20)</f>
        <v>2.6949458483754511E-2</v>
      </c>
    </row>
    <row r="21" spans="1:43" x14ac:dyDescent="0.3">
      <c r="A21" s="50" t="s">
        <v>753</v>
      </c>
      <c r="B21" s="48" t="s">
        <v>748</v>
      </c>
      <c r="D21" s="51" t="s">
        <v>22</v>
      </c>
      <c r="E21" s="49">
        <v>4.2430186301154055E-2</v>
      </c>
      <c r="F21" s="48">
        <v>739</v>
      </c>
      <c r="G21" s="48">
        <v>45</v>
      </c>
      <c r="S21" s="55" t="s">
        <v>650</v>
      </c>
      <c r="T21" s="96">
        <v>2</v>
      </c>
      <c r="AN21" s="51" t="s">
        <v>350</v>
      </c>
      <c r="AO21" s="48">
        <v>5202000</v>
      </c>
      <c r="AP21" s="48">
        <v>-7500</v>
      </c>
      <c r="AQ21" s="63">
        <f>IF($AO$21=0,0,$AP$21/$AO$21)</f>
        <v>-1.4417531718569781E-3</v>
      </c>
    </row>
    <row r="22" spans="1:43" x14ac:dyDescent="0.3">
      <c r="A22" s="51">
        <v>10</v>
      </c>
      <c r="B22" s="48">
        <v>79300016</v>
      </c>
      <c r="D22" s="51" t="s">
        <v>214</v>
      </c>
      <c r="E22" s="49">
        <v>8.3333333333333356E-2</v>
      </c>
      <c r="F22" s="48">
        <v>20</v>
      </c>
      <c r="G22" s="48">
        <v>2</v>
      </c>
      <c r="S22" s="55" t="s">
        <v>656</v>
      </c>
      <c r="T22" s="96">
        <v>8</v>
      </c>
      <c r="AN22" s="51" t="s">
        <v>337</v>
      </c>
      <c r="AO22" s="48">
        <v>5824000</v>
      </c>
      <c r="AP22" s="48">
        <v>-336800</v>
      </c>
      <c r="AQ22" s="63">
        <f>IF($AO$22=0,0,$AP$22/$AO$22)</f>
        <v>-5.7829670329670332E-2</v>
      </c>
    </row>
    <row r="23" spans="1:43" x14ac:dyDescent="0.3">
      <c r="A23" s="51" t="s">
        <v>717</v>
      </c>
      <c r="B23" s="48">
        <v>79300016</v>
      </c>
      <c r="D23" s="51" t="s">
        <v>158</v>
      </c>
      <c r="E23" s="49">
        <v>6.8027210884353713E-3</v>
      </c>
      <c r="F23" s="48">
        <v>132</v>
      </c>
      <c r="G23" s="48">
        <v>2</v>
      </c>
      <c r="J23" s="50" t="s">
        <v>753</v>
      </c>
      <c r="K23" t="s">
        <v>754</v>
      </c>
      <c r="S23" s="55" t="s">
        <v>644</v>
      </c>
      <c r="T23" s="96">
        <v>27</v>
      </c>
      <c r="AN23" s="51" t="s">
        <v>529</v>
      </c>
      <c r="AO23" s="48">
        <v>84000</v>
      </c>
      <c r="AP23" s="48">
        <v>1500</v>
      </c>
      <c r="AQ23" s="63">
        <f>IF($AO$23=0,0,$AP$23/$AO$23)</f>
        <v>1.7857142857142856E-2</v>
      </c>
    </row>
    <row r="24" spans="1:43" x14ac:dyDescent="0.3">
      <c r="D24" s="51" t="s">
        <v>18</v>
      </c>
      <c r="E24" s="49">
        <v>2.3120945123094462E-2</v>
      </c>
      <c r="F24" s="48">
        <v>6894</v>
      </c>
      <c r="G24" s="48">
        <v>208</v>
      </c>
      <c r="J24" s="51" t="s">
        <v>641</v>
      </c>
      <c r="K24" s="96">
        <v>54</v>
      </c>
      <c r="S24" s="55" t="s">
        <v>659</v>
      </c>
      <c r="T24" s="96">
        <v>13</v>
      </c>
      <c r="AN24" s="51" t="s">
        <v>531</v>
      </c>
      <c r="AO24" s="48">
        <v>84000</v>
      </c>
      <c r="AP24" s="48">
        <v>1500</v>
      </c>
      <c r="AQ24" s="63">
        <f>IF($AO$24=0,0,$AP$24/$AO$24)</f>
        <v>1.7857142857142856E-2</v>
      </c>
    </row>
    <row r="25" spans="1:43" x14ac:dyDescent="0.3">
      <c r="D25" s="51" t="s">
        <v>47</v>
      </c>
      <c r="E25" s="49">
        <v>8.9980359293155468E-2</v>
      </c>
      <c r="F25" s="48">
        <v>1513</v>
      </c>
      <c r="G25" s="48">
        <v>232</v>
      </c>
      <c r="J25" s="51" t="s">
        <v>650</v>
      </c>
      <c r="K25" s="96">
        <v>22</v>
      </c>
      <c r="S25" s="51">
        <v>11</v>
      </c>
      <c r="T25" s="96"/>
      <c r="AN25" s="51" t="s">
        <v>533</v>
      </c>
      <c r="AO25" s="48">
        <v>84000</v>
      </c>
      <c r="AP25" s="48">
        <v>1500</v>
      </c>
      <c r="AQ25" s="63">
        <f>IF($AO$25=0,0,$AP$25/$AO$25)</f>
        <v>1.7857142857142856E-2</v>
      </c>
    </row>
    <row r="26" spans="1:43" x14ac:dyDescent="0.3">
      <c r="D26" s="51" t="s">
        <v>104</v>
      </c>
      <c r="E26" s="49">
        <v>0</v>
      </c>
      <c r="F26" s="48">
        <v>17</v>
      </c>
      <c r="G26" s="48">
        <v>0</v>
      </c>
      <c r="J26" s="51" t="s">
        <v>656</v>
      </c>
      <c r="K26" s="96">
        <v>16</v>
      </c>
      <c r="S26" s="55" t="s">
        <v>650</v>
      </c>
      <c r="T26" s="96">
        <v>22</v>
      </c>
      <c r="AN26" s="51" t="s">
        <v>535</v>
      </c>
      <c r="AO26" s="48">
        <v>84000</v>
      </c>
      <c r="AP26" s="48">
        <v>1500</v>
      </c>
      <c r="AQ26" s="63">
        <f>IF($AO$26=0,0,$AP$26/$AO$26)</f>
        <v>1.7857142857142856E-2</v>
      </c>
    </row>
    <row r="27" spans="1:43" x14ac:dyDescent="0.3">
      <c r="D27" s="51" t="s">
        <v>155</v>
      </c>
      <c r="E27" s="49">
        <v>0</v>
      </c>
      <c r="F27" s="48">
        <v>151</v>
      </c>
      <c r="G27" s="48">
        <v>0</v>
      </c>
      <c r="J27" s="51" t="s">
        <v>644</v>
      </c>
      <c r="K27" s="96">
        <v>47</v>
      </c>
      <c r="S27" s="55" t="s">
        <v>656</v>
      </c>
      <c r="T27" s="96">
        <v>8</v>
      </c>
      <c r="AN27" s="51" t="s">
        <v>238</v>
      </c>
      <c r="AO27" s="48">
        <v>434000</v>
      </c>
      <c r="AP27" s="48">
        <v>56000</v>
      </c>
      <c r="AQ27" s="63">
        <f>IF($AO$27=0,0,$AP$27/$AO$27)</f>
        <v>0.12903225806451613</v>
      </c>
    </row>
    <row r="28" spans="1:43" x14ac:dyDescent="0.3">
      <c r="D28" s="51" t="s">
        <v>170</v>
      </c>
      <c r="E28" s="49">
        <v>0</v>
      </c>
      <c r="F28" s="48">
        <v>14</v>
      </c>
      <c r="G28" s="48">
        <v>0</v>
      </c>
      <c r="J28" s="51" t="s">
        <v>659</v>
      </c>
      <c r="K28" s="96">
        <v>20</v>
      </c>
      <c r="S28" s="55" t="s">
        <v>644</v>
      </c>
      <c r="T28" s="96">
        <v>42</v>
      </c>
      <c r="AN28" s="51" t="s">
        <v>149</v>
      </c>
      <c r="AO28" s="48">
        <v>285000</v>
      </c>
      <c r="AP28" s="48">
        <v>33000</v>
      </c>
      <c r="AQ28" s="63">
        <f>IF($AO$28=0,0,$AP$28/$AO$28)</f>
        <v>0.11578947368421053</v>
      </c>
    </row>
    <row r="29" spans="1:43" x14ac:dyDescent="0.3">
      <c r="D29" s="51" t="s">
        <v>92</v>
      </c>
      <c r="E29" s="49">
        <v>6.4027379298315257E-2</v>
      </c>
      <c r="F29" s="48">
        <v>409</v>
      </c>
      <c r="G29" s="48">
        <v>61</v>
      </c>
      <c r="J29" s="51" t="s">
        <v>717</v>
      </c>
      <c r="K29" s="96">
        <v>159</v>
      </c>
      <c r="S29" s="55" t="s">
        <v>659</v>
      </c>
      <c r="T29" s="96">
        <v>20</v>
      </c>
      <c r="AN29" s="51" t="s">
        <v>374</v>
      </c>
      <c r="AO29" s="48">
        <v>2021200</v>
      </c>
      <c r="AP29" s="48">
        <v>120400</v>
      </c>
      <c r="AQ29" s="63">
        <f>IF($AO$29=0,0,$AP$29/$AO$29)</f>
        <v>5.956857312487631E-2</v>
      </c>
    </row>
    <row r="30" spans="1:43" x14ac:dyDescent="0.3">
      <c r="D30" s="51" t="s">
        <v>55</v>
      </c>
      <c r="E30" s="49">
        <v>2.222222222222222E-2</v>
      </c>
      <c r="F30" s="48">
        <v>13</v>
      </c>
      <c r="G30" s="48">
        <v>1</v>
      </c>
      <c r="S30" s="51" t="s">
        <v>717</v>
      </c>
      <c r="T30" s="96">
        <v>159</v>
      </c>
      <c r="AN30" s="51" t="s">
        <v>377</v>
      </c>
      <c r="AO30" s="48">
        <v>1861200</v>
      </c>
      <c r="AP30" s="48">
        <v>-39600</v>
      </c>
      <c r="AQ30" s="63">
        <f>IF($AO$30=0,0,$AP$30/$AO$30)</f>
        <v>-2.1276595744680851E-2</v>
      </c>
    </row>
    <row r="31" spans="1:43" x14ac:dyDescent="0.3">
      <c r="D31" s="51" t="s">
        <v>717</v>
      </c>
      <c r="E31" s="49">
        <v>4.6250101481939886E-2</v>
      </c>
      <c r="F31" s="48">
        <v>11695</v>
      </c>
      <c r="G31" s="48">
        <v>633</v>
      </c>
      <c r="K31">
        <f>K25</f>
        <v>22</v>
      </c>
      <c r="AN31" s="51" t="s">
        <v>513</v>
      </c>
      <c r="AO31" s="48">
        <v>402000</v>
      </c>
      <c r="AP31" s="48">
        <v>58800</v>
      </c>
      <c r="AQ31" s="63">
        <f>IF($AO$31=0,0,$AP$31/$AO$31)</f>
        <v>0.14626865671641792</v>
      </c>
    </row>
    <row r="32" spans="1:43" x14ac:dyDescent="0.3">
      <c r="AN32" s="51" t="s">
        <v>517</v>
      </c>
      <c r="AO32" s="48">
        <v>335000</v>
      </c>
      <c r="AP32" s="48">
        <v>49000</v>
      </c>
      <c r="AQ32" s="63">
        <f>IF($AO$32=0,0,$AP$32/$AO$32)</f>
        <v>0.14626865671641792</v>
      </c>
    </row>
    <row r="33" spans="10:43" x14ac:dyDescent="0.3">
      <c r="AN33" s="51" t="s">
        <v>515</v>
      </c>
      <c r="AO33" s="48">
        <v>402000</v>
      </c>
      <c r="AP33" s="48">
        <v>58800</v>
      </c>
      <c r="AQ33" s="63">
        <f>IF($AO$33=0,0,$AP$33/$AO$33)</f>
        <v>0.14626865671641792</v>
      </c>
    </row>
    <row r="34" spans="10:43" x14ac:dyDescent="0.3">
      <c r="AN34" s="51" t="s">
        <v>520</v>
      </c>
      <c r="AO34" s="48">
        <v>147000</v>
      </c>
      <c r="AP34" s="48">
        <v>21600</v>
      </c>
      <c r="AQ34" s="63">
        <f>IF($AO$34=0,0,$AP$34/$AO$34)</f>
        <v>0.14693877551020409</v>
      </c>
    </row>
    <row r="35" spans="10:43" x14ac:dyDescent="0.3">
      <c r="AN35" s="51" t="s">
        <v>522</v>
      </c>
      <c r="AO35" s="48">
        <v>147000</v>
      </c>
      <c r="AP35" s="48">
        <v>21600</v>
      </c>
      <c r="AQ35" s="63">
        <f>IF($AO$35=0,0,$AP$35/$AO$35)</f>
        <v>0.14693877551020409</v>
      </c>
    </row>
    <row r="36" spans="10:43" x14ac:dyDescent="0.3">
      <c r="AN36" s="51" t="s">
        <v>503</v>
      </c>
      <c r="AO36" s="48">
        <v>140000</v>
      </c>
      <c r="AP36" s="48">
        <v>-16400</v>
      </c>
      <c r="AQ36" s="63">
        <f>IF($AO$36=0,0,$AP$36/$AO$36)</f>
        <v>-0.11714285714285715</v>
      </c>
    </row>
    <row r="37" spans="10:43" x14ac:dyDescent="0.3">
      <c r="AN37" s="51" t="s">
        <v>461</v>
      </c>
      <c r="AO37" s="48">
        <v>150000</v>
      </c>
      <c r="AP37" s="48">
        <v>-20200</v>
      </c>
      <c r="AQ37" s="63">
        <f>IF($AO$37=0,0,$AP$37/$AO$37)</f>
        <v>-0.13466666666666666</v>
      </c>
    </row>
    <row r="38" spans="10:43" x14ac:dyDescent="0.3">
      <c r="AN38" s="51" t="s">
        <v>501</v>
      </c>
      <c r="AO38" s="48">
        <v>105000</v>
      </c>
      <c r="AP38" s="48">
        <v>-5400</v>
      </c>
      <c r="AQ38" s="63">
        <f>IF($AO$38=0,0,$AP$38/$AO$38)</f>
        <v>-5.1428571428571428E-2</v>
      </c>
    </row>
    <row r="39" spans="10:43" x14ac:dyDescent="0.3">
      <c r="AN39" s="51" t="s">
        <v>264</v>
      </c>
      <c r="AO39" s="48">
        <v>630000</v>
      </c>
      <c r="AP39" s="48">
        <v>198000</v>
      </c>
      <c r="AQ39" s="63">
        <f>IF($AO$39=0,0,$AP$39/$AO$39)</f>
        <v>0.31428571428571428</v>
      </c>
    </row>
    <row r="40" spans="10:43" x14ac:dyDescent="0.3">
      <c r="AN40" s="51" t="s">
        <v>484</v>
      </c>
      <c r="AO40" s="48">
        <v>217000</v>
      </c>
      <c r="AP40" s="48">
        <v>137000</v>
      </c>
      <c r="AQ40" s="63">
        <f>IF($AO$40=0,0,$AP$40/$AO$40)</f>
        <v>0.63133640552995396</v>
      </c>
    </row>
    <row r="41" spans="10:43" x14ac:dyDescent="0.3">
      <c r="AN41" s="51" t="s">
        <v>587</v>
      </c>
      <c r="AO41" s="48">
        <v>620000</v>
      </c>
      <c r="AP41" s="48">
        <v>305000</v>
      </c>
      <c r="AQ41" s="63">
        <f>IF($AO$41=0,0,$AP$41/$AO$41)</f>
        <v>0.49193548387096775</v>
      </c>
    </row>
    <row r="42" spans="10:43" x14ac:dyDescent="0.3">
      <c r="AN42" s="51" t="s">
        <v>486</v>
      </c>
      <c r="AO42" s="48">
        <v>217000</v>
      </c>
      <c r="AP42" s="48">
        <v>142000</v>
      </c>
      <c r="AQ42" s="63">
        <f>IF($AO$42=0,0,$AP$42/$AO$42)</f>
        <v>0.65437788018433185</v>
      </c>
    </row>
    <row r="43" spans="10:43" x14ac:dyDescent="0.3">
      <c r="AN43" s="51" t="s">
        <v>465</v>
      </c>
      <c r="AO43" s="48">
        <v>400000</v>
      </c>
      <c r="AP43" s="48">
        <v>125000</v>
      </c>
      <c r="AQ43" s="63">
        <f>IF($AO$43=0,0,$AP$43/$AO$43)</f>
        <v>0.3125</v>
      </c>
    </row>
    <row r="44" spans="10:43" x14ac:dyDescent="0.3">
      <c r="AN44" s="51" t="s">
        <v>267</v>
      </c>
      <c r="AO44" s="48">
        <v>140000</v>
      </c>
      <c r="AP44" s="48">
        <v>100000</v>
      </c>
      <c r="AQ44" s="63">
        <f>IF($AO$44=0,0,$AP$44/$AO$44)</f>
        <v>0.7142857142857143</v>
      </c>
    </row>
    <row r="45" spans="10:43" x14ac:dyDescent="0.3">
      <c r="AN45" s="51" t="s">
        <v>488</v>
      </c>
      <c r="AO45" s="48">
        <v>121500</v>
      </c>
      <c r="AP45" s="48">
        <v>85500</v>
      </c>
      <c r="AQ45" s="63">
        <f>IF($AO$45=0,0,$AP$45/$AO$45)</f>
        <v>0.70370370370370372</v>
      </c>
    </row>
    <row r="46" spans="10:43" x14ac:dyDescent="0.3">
      <c r="AN46" s="51" t="s">
        <v>537</v>
      </c>
      <c r="AO46" s="48">
        <v>930000</v>
      </c>
      <c r="AP46" s="48">
        <v>355000</v>
      </c>
      <c r="AQ46" s="63">
        <f>IF($AO$46=0,0,$AP$46/$AO$46)</f>
        <v>0.38172043010752688</v>
      </c>
    </row>
    <row r="47" spans="10:43" x14ac:dyDescent="0.3">
      <c r="AN47" s="51" t="s">
        <v>492</v>
      </c>
      <c r="AO47" s="48">
        <v>232000</v>
      </c>
      <c r="AP47" s="48">
        <v>45328</v>
      </c>
      <c r="AQ47" s="63">
        <f>IF($AO$47=0,0,$AP$47/$AO$47)</f>
        <v>0.19537931034482758</v>
      </c>
    </row>
    <row r="48" spans="10:43" x14ac:dyDescent="0.3">
      <c r="J48" s="59"/>
      <c r="K48" s="59"/>
      <c r="L48" s="59"/>
      <c r="M48" s="59"/>
      <c r="AN48" s="51" t="s">
        <v>494</v>
      </c>
      <c r="AO48" s="48">
        <v>232000</v>
      </c>
      <c r="AP48" s="48">
        <v>45328</v>
      </c>
      <c r="AQ48" s="63">
        <f>IF($AO$48=0,0,$AP$48/$AO$48)</f>
        <v>0.19537931034482758</v>
      </c>
    </row>
    <row r="49" spans="10:43" x14ac:dyDescent="0.3">
      <c r="AN49" s="51" t="s">
        <v>496</v>
      </c>
      <c r="AO49" s="48">
        <v>133000</v>
      </c>
      <c r="AP49" s="48">
        <v>-53672</v>
      </c>
      <c r="AQ49" s="63">
        <f>IF($AO$49=0,0,$AP$49/$AO$49)</f>
        <v>-0.4035488721804511</v>
      </c>
    </row>
    <row r="50" spans="10:43" x14ac:dyDescent="0.3">
      <c r="J50" s="59"/>
      <c r="K50" s="59"/>
      <c r="L50" s="59"/>
      <c r="M50" s="59"/>
      <c r="R50" s="60"/>
      <c r="S50" s="60"/>
      <c r="T50" s="60"/>
      <c r="U50" s="60"/>
      <c r="AN50" s="51" t="s">
        <v>366</v>
      </c>
      <c r="AO50" s="48">
        <v>168000</v>
      </c>
      <c r="AP50" s="48">
        <v>48000</v>
      </c>
      <c r="AQ50" s="63">
        <f>IF($AO$50=0,0,$AP$50/$AO$50)</f>
        <v>0.2857142857142857</v>
      </c>
    </row>
    <row r="51" spans="10:43" x14ac:dyDescent="0.3">
      <c r="AN51" s="51" t="s">
        <v>31</v>
      </c>
      <c r="AO51" s="48">
        <v>132000</v>
      </c>
      <c r="AP51" s="48">
        <v>38400</v>
      </c>
      <c r="AQ51" s="63">
        <f>IF($AO$51=0,0,$AP$51/$AO$51)</f>
        <v>0.29090909090909089</v>
      </c>
    </row>
    <row r="52" spans="10:43" x14ac:dyDescent="0.3">
      <c r="AN52" s="51" t="s">
        <v>35</v>
      </c>
      <c r="AO52" s="48">
        <v>282000</v>
      </c>
      <c r="AP52" s="48">
        <v>94800</v>
      </c>
      <c r="AQ52" s="63">
        <f>IF($AO$52=0,0,$AP$52/$AO$52)</f>
        <v>0.33617021276595743</v>
      </c>
    </row>
    <row r="53" spans="10:43" x14ac:dyDescent="0.3">
      <c r="AN53" s="51" t="s">
        <v>37</v>
      </c>
      <c r="AO53" s="48">
        <v>132000</v>
      </c>
      <c r="AP53" s="48">
        <v>38400</v>
      </c>
      <c r="AQ53" s="63">
        <f>IF($AO$53=0,0,$AP$53/$AO$53)</f>
        <v>0.29090909090909089</v>
      </c>
    </row>
    <row r="54" spans="10:43" x14ac:dyDescent="0.3">
      <c r="AN54" s="51" t="s">
        <v>621</v>
      </c>
      <c r="AO54" s="48">
        <v>546000</v>
      </c>
      <c r="AP54" s="48">
        <v>130850</v>
      </c>
      <c r="AQ54" s="63">
        <f>IF($AO$54=0,0,$AP$54/$AO$54)</f>
        <v>0.23965201465201466</v>
      </c>
    </row>
    <row r="55" spans="10:43" x14ac:dyDescent="0.3">
      <c r="AN55" s="51" t="s">
        <v>436</v>
      </c>
      <c r="AO55" s="48">
        <v>792000</v>
      </c>
      <c r="AP55" s="48">
        <v>99000</v>
      </c>
      <c r="AQ55" s="63">
        <f>IF($AO$55=0,0,$AP$55/$AO$55)</f>
        <v>0.125</v>
      </c>
    </row>
    <row r="56" spans="10:43" x14ac:dyDescent="0.3">
      <c r="AN56" s="51" t="s">
        <v>98</v>
      </c>
      <c r="AO56" s="48">
        <v>84000</v>
      </c>
      <c r="AP56" s="48">
        <v>0</v>
      </c>
      <c r="AQ56" s="63">
        <f>IF($AO$56=0,0,$AP$56/$AO$56)</f>
        <v>0</v>
      </c>
    </row>
    <row r="57" spans="10:43" x14ac:dyDescent="0.3">
      <c r="AN57" s="51" t="s">
        <v>193</v>
      </c>
      <c r="AO57" s="48">
        <v>180000</v>
      </c>
      <c r="AP57" s="48">
        <v>36000</v>
      </c>
      <c r="AQ57" s="63">
        <f>IF($AO$57=0,0,$AP$57/$AO$57)</f>
        <v>0.2</v>
      </c>
    </row>
    <row r="58" spans="10:43" x14ac:dyDescent="0.3">
      <c r="AN58" s="51" t="s">
        <v>508</v>
      </c>
      <c r="AO58" s="48">
        <v>210000</v>
      </c>
      <c r="AP58" s="48">
        <v>-110004</v>
      </c>
      <c r="AQ58" s="63">
        <f>IF($AO$58=0,0,$AP$58/$AO$58)</f>
        <v>-0.52382857142857142</v>
      </c>
    </row>
    <row r="59" spans="10:43" x14ac:dyDescent="0.3">
      <c r="AN59" s="51" t="s">
        <v>141</v>
      </c>
      <c r="AO59" s="48">
        <v>424000</v>
      </c>
      <c r="AP59" s="48">
        <v>119000</v>
      </c>
      <c r="AQ59" s="63">
        <f>IF($AO$59=0,0,$AP$59/$AO$59)</f>
        <v>0.28066037735849059</v>
      </c>
    </row>
    <row r="60" spans="10:43" x14ac:dyDescent="0.3">
      <c r="AN60" s="51" t="s">
        <v>510</v>
      </c>
      <c r="AO60" s="48">
        <v>3339000</v>
      </c>
      <c r="AP60" s="48">
        <v>868140</v>
      </c>
      <c r="AQ60" s="63">
        <f>IF($AO$60=0,0,$AP$60/$AO$60)</f>
        <v>0.26</v>
      </c>
    </row>
    <row r="61" spans="10:43" x14ac:dyDescent="0.3">
      <c r="AN61" s="51" t="s">
        <v>432</v>
      </c>
      <c r="AO61" s="48">
        <v>408000</v>
      </c>
      <c r="AP61" s="48">
        <v>76480</v>
      </c>
      <c r="AQ61" s="63">
        <f>IF($AO$61=0,0,$AP$61/$AO$61)</f>
        <v>0.18745098039215685</v>
      </c>
    </row>
    <row r="62" spans="10:43" x14ac:dyDescent="0.3">
      <c r="AN62" s="51" t="s">
        <v>623</v>
      </c>
      <c r="AO62" s="48">
        <v>482000</v>
      </c>
      <c r="AP62" s="48">
        <v>119050</v>
      </c>
      <c r="AQ62" s="63">
        <f>IF($AO$62=0,0,$AP$62/$AO$62)</f>
        <v>0.24699170124481329</v>
      </c>
    </row>
    <row r="63" spans="10:43" x14ac:dyDescent="0.3">
      <c r="AN63" s="51" t="s">
        <v>157</v>
      </c>
      <c r="AO63" s="48">
        <v>380000</v>
      </c>
      <c r="AP63" s="48">
        <v>58000</v>
      </c>
      <c r="AQ63" s="63">
        <f>IF($AO$63=0,0,$AP$63/$AO$63)</f>
        <v>0.15263157894736842</v>
      </c>
    </row>
    <row r="64" spans="10:43" x14ac:dyDescent="0.3">
      <c r="AN64" s="51" t="s">
        <v>75</v>
      </c>
      <c r="AO64" s="48">
        <v>1177500</v>
      </c>
      <c r="AP64" s="48">
        <v>160000</v>
      </c>
      <c r="AQ64" s="63">
        <f>IF($AO$64=0,0,$AP$64/$AO$64)</f>
        <v>0.13588110403397027</v>
      </c>
    </row>
    <row r="65" spans="40:43" x14ac:dyDescent="0.3">
      <c r="AN65" s="51" t="s">
        <v>71</v>
      </c>
      <c r="AO65" s="48">
        <v>1627500</v>
      </c>
      <c r="AP65" s="48">
        <v>225000</v>
      </c>
      <c r="AQ65" s="63">
        <f>IF($AO$65=0,0,$AP$65/$AO$65)</f>
        <v>0.13824884792626729</v>
      </c>
    </row>
    <row r="66" spans="40:43" x14ac:dyDescent="0.3">
      <c r="AN66" s="51" t="s">
        <v>152</v>
      </c>
      <c r="AO66" s="48">
        <v>130000</v>
      </c>
      <c r="AP66" s="48">
        <v>20000</v>
      </c>
      <c r="AQ66" s="63">
        <f>IF($AO$66=0,0,$AP$66/$AO$66)</f>
        <v>0.15384615384615385</v>
      </c>
    </row>
    <row r="67" spans="40:43" x14ac:dyDescent="0.3">
      <c r="AN67" s="51" t="s">
        <v>103</v>
      </c>
      <c r="AO67" s="48">
        <v>60000</v>
      </c>
      <c r="AP67" s="48">
        <v>7500</v>
      </c>
      <c r="AQ67" s="63">
        <f>IF($AO$67=0,0,$AP$67/$AO$67)</f>
        <v>0.125</v>
      </c>
    </row>
    <row r="68" spans="40:43" x14ac:dyDescent="0.3">
      <c r="AN68" s="51" t="s">
        <v>54</v>
      </c>
      <c r="AO68" s="48">
        <v>364000</v>
      </c>
      <c r="AP68" s="48">
        <v>73600</v>
      </c>
      <c r="AQ68" s="63">
        <f>IF($AO$68=0,0,$AP$68/$AO$68)</f>
        <v>0.2021978021978022</v>
      </c>
    </row>
    <row r="69" spans="40:43" x14ac:dyDescent="0.3">
      <c r="AN69" s="51" t="s">
        <v>305</v>
      </c>
      <c r="AO69" s="48">
        <v>60000</v>
      </c>
      <c r="AP69" s="48">
        <v>12000</v>
      </c>
      <c r="AQ69" s="63">
        <f>IF($AO$69=0,0,$AP$69/$AO$69)</f>
        <v>0.2</v>
      </c>
    </row>
    <row r="70" spans="40:43" x14ac:dyDescent="0.3">
      <c r="AN70" s="51" t="s">
        <v>249</v>
      </c>
      <c r="AO70" s="48">
        <v>1317000</v>
      </c>
      <c r="AP70" s="48">
        <v>-27000</v>
      </c>
      <c r="AQ70" s="63">
        <f>IF($AO$70=0,0,$AP$70/$AO$70)</f>
        <v>-2.0501138952164009E-2</v>
      </c>
    </row>
    <row r="71" spans="40:43" x14ac:dyDescent="0.3">
      <c r="AN71" s="51" t="s">
        <v>325</v>
      </c>
      <c r="AO71" s="48">
        <v>1060000</v>
      </c>
      <c r="AP71" s="48">
        <v>205000</v>
      </c>
      <c r="AQ71" s="63">
        <f>IF($AO$71=0,0,$AP$71/$AO$71)</f>
        <v>0.19339622641509435</v>
      </c>
    </row>
    <row r="72" spans="40:43" x14ac:dyDescent="0.3">
      <c r="AN72" s="51" t="s">
        <v>213</v>
      </c>
      <c r="AO72" s="48">
        <v>270000</v>
      </c>
      <c r="AP72" s="48">
        <v>3000</v>
      </c>
      <c r="AQ72" s="63">
        <f>IF($AO$72=0,0,$AP$72/$AO$72)</f>
        <v>1.1111111111111112E-2</v>
      </c>
    </row>
    <row r="73" spans="40:43" x14ac:dyDescent="0.3">
      <c r="AN73" s="51" t="s">
        <v>270</v>
      </c>
      <c r="AO73" s="48">
        <v>720000</v>
      </c>
      <c r="AP73" s="48">
        <v>189984</v>
      </c>
      <c r="AQ73" s="63">
        <f>IF($AO$73=0,0,$AP$73/$AO$73)</f>
        <v>0.26386666666666669</v>
      </c>
    </row>
    <row r="74" spans="40:43" x14ac:dyDescent="0.3">
      <c r="AN74" s="51" t="s">
        <v>550</v>
      </c>
      <c r="AO74" s="48">
        <v>80000</v>
      </c>
      <c r="AP74" s="48">
        <v>16000</v>
      </c>
      <c r="AQ74" s="63">
        <f>IF($AO$74=0,0,$AP$74/$AO$74)</f>
        <v>0.2</v>
      </c>
    </row>
    <row r="75" spans="40:43" x14ac:dyDescent="0.3">
      <c r="AN75" s="51" t="s">
        <v>198</v>
      </c>
      <c r="AO75" s="48">
        <v>1310000</v>
      </c>
      <c r="AP75" s="48">
        <v>230000</v>
      </c>
      <c r="AQ75" s="63">
        <f>IF($AO$75=0,0,$AP$75/$AO$75)</f>
        <v>0.17557251908396945</v>
      </c>
    </row>
    <row r="76" spans="40:43" x14ac:dyDescent="0.3">
      <c r="AN76" s="51" t="s">
        <v>101</v>
      </c>
      <c r="AO76" s="48">
        <v>2694000</v>
      </c>
      <c r="AP76" s="48">
        <v>490000</v>
      </c>
      <c r="AQ76" s="63">
        <f>IF($AO$76=0,0,$AP$76/$AO$76)</f>
        <v>0.18188567186340016</v>
      </c>
    </row>
    <row r="77" spans="40:43" x14ac:dyDescent="0.3">
      <c r="AN77" s="51" t="s">
        <v>227</v>
      </c>
      <c r="AO77" s="48">
        <v>3383000</v>
      </c>
      <c r="AP77" s="48">
        <v>983000</v>
      </c>
      <c r="AQ77" s="63">
        <f>IF($AO$77=0,0,$AP$77/$AO$77)</f>
        <v>0.29057049955660658</v>
      </c>
    </row>
    <row r="78" spans="40:43" x14ac:dyDescent="0.3">
      <c r="AN78" s="51" t="s">
        <v>391</v>
      </c>
      <c r="AO78" s="48">
        <v>222000</v>
      </c>
      <c r="AP78" s="48">
        <v>66996</v>
      </c>
      <c r="AQ78" s="63">
        <f>IF($AO$78=0,0,$AP$78/$AO$78)</f>
        <v>0.30178378378378379</v>
      </c>
    </row>
    <row r="79" spans="40:43" x14ac:dyDescent="0.3">
      <c r="AN79" s="51" t="s">
        <v>403</v>
      </c>
      <c r="AO79" s="48">
        <v>170000</v>
      </c>
      <c r="AP79" s="48">
        <v>60000</v>
      </c>
      <c r="AQ79" s="63">
        <f>IF($AO$79=0,0,$AP$79/$AO$79)</f>
        <v>0.35294117647058826</v>
      </c>
    </row>
    <row r="80" spans="40:43" x14ac:dyDescent="0.3">
      <c r="AN80" s="51" t="s">
        <v>414</v>
      </c>
      <c r="AO80" s="48">
        <v>320000</v>
      </c>
      <c r="AP80" s="48">
        <v>110000</v>
      </c>
      <c r="AQ80" s="63">
        <f>IF($AO$80=0,0,$AP$80/$AO$80)</f>
        <v>0.34375</v>
      </c>
    </row>
    <row r="81" spans="40:43" x14ac:dyDescent="0.3">
      <c r="AN81" s="51" t="s">
        <v>253</v>
      </c>
      <c r="AO81" s="48">
        <v>3937000</v>
      </c>
      <c r="AP81" s="48">
        <v>836920</v>
      </c>
      <c r="AQ81" s="63">
        <f>IF($AO$81=0,0,$AP$81/$AO$81)</f>
        <v>0.21257810515621031</v>
      </c>
    </row>
    <row r="82" spans="40:43" x14ac:dyDescent="0.3">
      <c r="AN82" s="51" t="s">
        <v>201</v>
      </c>
      <c r="AO82" s="48">
        <v>2597000</v>
      </c>
      <c r="AP82" s="48">
        <v>670559</v>
      </c>
      <c r="AQ82" s="63">
        <f>IF($AO$82=0,0,$AP$82/$AO$82)</f>
        <v>0.25820523681170582</v>
      </c>
    </row>
    <row r="83" spans="40:43" x14ac:dyDescent="0.3">
      <c r="AN83" s="51" t="s">
        <v>320</v>
      </c>
      <c r="AO83" s="48">
        <v>195000</v>
      </c>
      <c r="AP83" s="48">
        <v>8500</v>
      </c>
      <c r="AQ83" s="63">
        <f>IF($AO$83=0,0,$AP$83/$AO$83)</f>
        <v>4.3589743589743588E-2</v>
      </c>
    </row>
    <row r="84" spans="40:43" x14ac:dyDescent="0.3">
      <c r="AN84" s="51" t="s">
        <v>257</v>
      </c>
      <c r="AO84" s="48">
        <v>444000</v>
      </c>
      <c r="AP84" s="48">
        <v>-23508</v>
      </c>
      <c r="AQ84" s="63">
        <f>IF($AO$84=0,0,$AP$84/$AO$84)</f>
        <v>-5.2945945945945948E-2</v>
      </c>
    </row>
    <row r="85" spans="40:43" x14ac:dyDescent="0.3">
      <c r="AN85" s="51" t="s">
        <v>241</v>
      </c>
      <c r="AO85" s="48">
        <v>1500000</v>
      </c>
      <c r="AP85" s="48">
        <v>600000</v>
      </c>
      <c r="AQ85" s="63">
        <f>IF($AO$85=0,0,$AP$85/$AO$85)</f>
        <v>0.4</v>
      </c>
    </row>
    <row r="86" spans="40:43" x14ac:dyDescent="0.3">
      <c r="AN86" s="51" t="s">
        <v>81</v>
      </c>
      <c r="AO86" s="48">
        <v>6816000</v>
      </c>
      <c r="AP86" s="48">
        <v>1056000</v>
      </c>
      <c r="AQ86" s="63">
        <f>IF($AO$86=0,0,$AP$86/$AO$86)</f>
        <v>0.15492957746478872</v>
      </c>
    </row>
    <row r="87" spans="40:43" x14ac:dyDescent="0.3">
      <c r="AN87" s="51" t="s">
        <v>221</v>
      </c>
      <c r="AO87" s="48">
        <v>2616000</v>
      </c>
      <c r="AP87" s="48">
        <v>816000</v>
      </c>
      <c r="AQ87" s="63">
        <f>IF($AO$87=0,0,$AP$87/$AO$87)</f>
        <v>0.31192660550458717</v>
      </c>
    </row>
    <row r="88" spans="40:43" x14ac:dyDescent="0.3">
      <c r="AN88" s="51" t="s">
        <v>613</v>
      </c>
      <c r="AO88" s="48">
        <v>243000</v>
      </c>
      <c r="AP88" s="48">
        <v>-10800</v>
      </c>
      <c r="AQ88" s="63">
        <f>IF($AO$88=0,0,$AP$88/$AO$88)</f>
        <v>-4.4444444444444446E-2</v>
      </c>
    </row>
    <row r="89" spans="40:43" x14ac:dyDescent="0.3">
      <c r="AN89" s="51" t="s">
        <v>313</v>
      </c>
      <c r="AO89" s="48">
        <v>2800000</v>
      </c>
      <c r="AP89" s="48">
        <v>1500000</v>
      </c>
      <c r="AQ89" s="63">
        <f>IF($AO$89=0,0,$AP$89/$AO$89)</f>
        <v>0.5357142857142857</v>
      </c>
    </row>
    <row r="90" spans="40:43" x14ac:dyDescent="0.3">
      <c r="AN90" s="51" t="s">
        <v>479</v>
      </c>
      <c r="AO90" s="48">
        <v>3640000</v>
      </c>
      <c r="AP90" s="48">
        <v>1950000</v>
      </c>
      <c r="AQ90" s="63">
        <f>IF($AO$90=0,0,$AP$90/$AO$90)</f>
        <v>0.5357142857142857</v>
      </c>
    </row>
    <row r="91" spans="40:43" x14ac:dyDescent="0.3">
      <c r="AN91" s="51" t="s">
        <v>118</v>
      </c>
      <c r="AO91" s="48">
        <v>388000</v>
      </c>
      <c r="AP91" s="48">
        <v>188000</v>
      </c>
      <c r="AQ91" s="63">
        <f>IF($AO$91=0,0,$AP$91/$AO$91)</f>
        <v>0.4845360824742268</v>
      </c>
    </row>
    <row r="92" spans="40:43" x14ac:dyDescent="0.3">
      <c r="AN92" s="51" t="s">
        <v>219</v>
      </c>
      <c r="AO92" s="48">
        <v>3240000</v>
      </c>
      <c r="AP92" s="48">
        <v>810000</v>
      </c>
      <c r="AQ92" s="63">
        <f>IF($AO$92=0,0,$AP$92/$AO$92)</f>
        <v>0.25</v>
      </c>
    </row>
    <row r="93" spans="40:43" x14ac:dyDescent="0.3">
      <c r="AN93" s="51" t="s">
        <v>95</v>
      </c>
      <c r="AO93" s="48">
        <v>782000</v>
      </c>
      <c r="AP93" s="48">
        <v>242000</v>
      </c>
      <c r="AQ93" s="63">
        <f>IF($AO$93=0,0,$AP$93/$AO$93)</f>
        <v>0.30946291560102301</v>
      </c>
    </row>
    <row r="94" spans="40:43" x14ac:dyDescent="0.3">
      <c r="AN94" s="51" t="s">
        <v>129</v>
      </c>
      <c r="AO94" s="48">
        <v>282000</v>
      </c>
      <c r="AP94" s="48">
        <v>102000</v>
      </c>
      <c r="AQ94" s="63">
        <f>IF($AO$94=0,0,$AP$94/$AO$94)</f>
        <v>0.36170212765957449</v>
      </c>
    </row>
    <row r="95" spans="40:43" x14ac:dyDescent="0.3">
      <c r="AN95" s="51" t="s">
        <v>172</v>
      </c>
      <c r="AO95" s="48">
        <v>165000</v>
      </c>
      <c r="AP95" s="48">
        <v>75000</v>
      </c>
      <c r="AQ95" s="63">
        <f>IF($AO$95=0,0,$AP$95/$AO$95)</f>
        <v>0.45454545454545453</v>
      </c>
    </row>
    <row r="96" spans="40:43" x14ac:dyDescent="0.3">
      <c r="AN96" s="51" t="s">
        <v>175</v>
      </c>
      <c r="AO96" s="48">
        <v>336000</v>
      </c>
      <c r="AP96" s="48">
        <v>156000</v>
      </c>
      <c r="AQ96" s="63">
        <f>IF($AO$96=0,0,$AP$96/$AO$96)</f>
        <v>0.4642857142857143</v>
      </c>
    </row>
    <row r="97" spans="40:43" x14ac:dyDescent="0.3">
      <c r="AN97" s="51" t="s">
        <v>323</v>
      </c>
      <c r="AO97" s="48">
        <v>144000</v>
      </c>
      <c r="AP97" s="48">
        <v>33996</v>
      </c>
      <c r="AQ97" s="63">
        <f>IF($AO$97=0,0,$AP$97/$AO$97)</f>
        <v>0.23608333333333334</v>
      </c>
    </row>
    <row r="98" spans="40:43" x14ac:dyDescent="0.3">
      <c r="AN98" s="51" t="s">
        <v>424</v>
      </c>
      <c r="AO98" s="48">
        <v>297000</v>
      </c>
      <c r="AP98" s="48">
        <v>17007</v>
      </c>
      <c r="AQ98" s="63">
        <f>IF($AO$98=0,0,$AP$98/$AO$98)</f>
        <v>5.7262626262626265E-2</v>
      </c>
    </row>
    <row r="99" spans="40:43" x14ac:dyDescent="0.3">
      <c r="AN99" s="51" t="s">
        <v>426</v>
      </c>
      <c r="AO99" s="48">
        <v>250000</v>
      </c>
      <c r="AP99" s="48">
        <v>-3327</v>
      </c>
      <c r="AQ99" s="63">
        <f>IF($AO$99=0,0,$AP$99/$AO$99)</f>
        <v>-1.3308E-2</v>
      </c>
    </row>
    <row r="100" spans="40:43" x14ac:dyDescent="0.3">
      <c r="AN100" s="51" t="s">
        <v>368</v>
      </c>
      <c r="AO100" s="48">
        <v>288000</v>
      </c>
      <c r="AP100" s="48">
        <v>8004</v>
      </c>
      <c r="AQ100" s="63">
        <f>IF($AO$100=0,0,$AP$100/$AO$100)</f>
        <v>2.7791666666666666E-2</v>
      </c>
    </row>
    <row r="101" spans="40:43" x14ac:dyDescent="0.3">
      <c r="AN101" s="51" t="s">
        <v>46</v>
      </c>
      <c r="AO101" s="48">
        <v>2401000</v>
      </c>
      <c r="AP101" s="48">
        <v>-255632</v>
      </c>
      <c r="AQ101" s="63">
        <f>IF($AO$101=0,0,$AP$101/$AO$101)</f>
        <v>-0.10646897126197417</v>
      </c>
    </row>
    <row r="102" spans="40:43" x14ac:dyDescent="0.3">
      <c r="AN102" s="51" t="s">
        <v>527</v>
      </c>
      <c r="AO102" s="48">
        <v>92500</v>
      </c>
      <c r="AP102" s="48">
        <v>14180</v>
      </c>
      <c r="AQ102" s="63">
        <f>IF($AO$102=0,0,$AP$102/$AO$102)</f>
        <v>0.1532972972972973</v>
      </c>
    </row>
    <row r="103" spans="40:43" x14ac:dyDescent="0.3">
      <c r="AN103" s="51" t="s">
        <v>579</v>
      </c>
      <c r="AO103" s="48">
        <v>90000</v>
      </c>
      <c r="AP103" s="48">
        <v>14672</v>
      </c>
      <c r="AQ103" s="63">
        <f>IF($AO$103=0,0,$AP$103/$AO$103)</f>
        <v>0.16302222222222224</v>
      </c>
    </row>
    <row r="104" spans="40:43" x14ac:dyDescent="0.3">
      <c r="AN104" s="51" t="s">
        <v>354</v>
      </c>
      <c r="AO104" s="48">
        <v>662000</v>
      </c>
      <c r="AP104" s="48">
        <v>62000</v>
      </c>
      <c r="AQ104" s="63">
        <f>IF($AO$104=0,0,$AP$104/$AO$104)</f>
        <v>9.3655589123867067E-2</v>
      </c>
    </row>
    <row r="105" spans="40:43" x14ac:dyDescent="0.3">
      <c r="AN105" s="51" t="s">
        <v>420</v>
      </c>
      <c r="AO105" s="48">
        <v>330000</v>
      </c>
      <c r="AP105" s="48">
        <v>25000</v>
      </c>
      <c r="AQ105" s="63">
        <f>IF($AO$105=0,0,$AP$105/$AO$105)</f>
        <v>7.575757575757576E-2</v>
      </c>
    </row>
    <row r="106" spans="40:43" x14ac:dyDescent="0.3">
      <c r="AN106" s="51" t="s">
        <v>348</v>
      </c>
      <c r="AO106" s="48">
        <v>119000</v>
      </c>
      <c r="AP106" s="48">
        <v>29750</v>
      </c>
      <c r="AQ106" s="63">
        <f>IF($AO$106=0,0,$AP$106/$AO$106)</f>
        <v>0.25</v>
      </c>
    </row>
    <row r="107" spans="40:43" x14ac:dyDescent="0.3">
      <c r="AN107" s="51" t="s">
        <v>136</v>
      </c>
      <c r="AO107" s="48">
        <v>378000</v>
      </c>
      <c r="AP107" s="48">
        <v>-13500</v>
      </c>
      <c r="AQ107" s="63">
        <f>IF($AO$107=0,0,$AP$107/$AO$107)</f>
        <v>-3.5714285714285712E-2</v>
      </c>
    </row>
    <row r="108" spans="40:43" x14ac:dyDescent="0.3">
      <c r="AN108" s="51" t="s">
        <v>443</v>
      </c>
      <c r="AO108" s="48">
        <v>90000</v>
      </c>
      <c r="AP108" s="48">
        <v>3600</v>
      </c>
      <c r="AQ108" s="63">
        <f>IF($AO$108=0,0,$AP$108/$AO$108)</f>
        <v>0.04</v>
      </c>
    </row>
    <row r="109" spans="40:43" x14ac:dyDescent="0.3">
      <c r="AN109" s="51" t="s">
        <v>418</v>
      </c>
      <c r="AO109" s="48">
        <v>343000</v>
      </c>
      <c r="AP109" s="48">
        <v>25800</v>
      </c>
      <c r="AQ109" s="63">
        <f>IF($AO$109=0,0,$AP$109/$AO$109)</f>
        <v>7.5218658892128282E-2</v>
      </c>
    </row>
    <row r="110" spans="40:43" x14ac:dyDescent="0.3">
      <c r="AN110" s="51" t="s">
        <v>345</v>
      </c>
      <c r="AO110" s="48">
        <v>119000</v>
      </c>
      <c r="AP110" s="48">
        <v>-22750</v>
      </c>
      <c r="AQ110" s="63">
        <f>IF($AO$110=0,0,$AP$110/$AO$110)</f>
        <v>-0.19117647058823528</v>
      </c>
    </row>
    <row r="111" spans="40:43" x14ac:dyDescent="0.3">
      <c r="AN111" s="51" t="s">
        <v>133</v>
      </c>
      <c r="AO111" s="48">
        <v>574000</v>
      </c>
      <c r="AP111" s="48">
        <v>-20500</v>
      </c>
      <c r="AQ111" s="63">
        <f>IF($AO$111=0,0,$AP$111/$AO$111)</f>
        <v>-3.5714285714285712E-2</v>
      </c>
    </row>
    <row r="112" spans="40:43" x14ac:dyDescent="0.3">
      <c r="AN112" s="51" t="s">
        <v>441</v>
      </c>
      <c r="AO112" s="48">
        <v>90000</v>
      </c>
      <c r="AP112" s="48">
        <v>3600</v>
      </c>
      <c r="AQ112" s="63">
        <f>IF($AO$112=0,0,$AP$112/$AO$112)</f>
        <v>0.04</v>
      </c>
    </row>
    <row r="113" spans="40:43" x14ac:dyDescent="0.3">
      <c r="AN113" s="51" t="s">
        <v>416</v>
      </c>
      <c r="AO113" s="48">
        <v>320000</v>
      </c>
      <c r="AP113" s="48">
        <v>15000</v>
      </c>
      <c r="AQ113" s="63">
        <f>IF($AO$113=0,0,$AP$113/$AO$113)</f>
        <v>4.6875E-2</v>
      </c>
    </row>
    <row r="114" spans="40:43" x14ac:dyDescent="0.3">
      <c r="AN114" s="51" t="s">
        <v>422</v>
      </c>
      <c r="AO114" s="48">
        <v>624000</v>
      </c>
      <c r="AP114" s="48">
        <v>62800</v>
      </c>
      <c r="AQ114" s="63">
        <f>IF($AO$114=0,0,$AP$114/$AO$114)</f>
        <v>0.10064102564102564</v>
      </c>
    </row>
    <row r="115" spans="40:43" x14ac:dyDescent="0.3">
      <c r="AN115" s="51" t="s">
        <v>293</v>
      </c>
      <c r="AO115" s="48">
        <v>392000</v>
      </c>
      <c r="AP115" s="48">
        <v>98000</v>
      </c>
      <c r="AQ115" s="63">
        <f>IF($AO$115=0,0,$AP$115/$AO$115)</f>
        <v>0.25</v>
      </c>
    </row>
    <row r="116" spans="40:43" x14ac:dyDescent="0.3">
      <c r="AN116" s="51" t="s">
        <v>138</v>
      </c>
      <c r="AO116" s="48">
        <v>294000</v>
      </c>
      <c r="AP116" s="48">
        <v>-10500</v>
      </c>
      <c r="AQ116" s="63">
        <f>IF($AO$116=0,0,$AP$116/$AO$116)</f>
        <v>-3.5714285714285712E-2</v>
      </c>
    </row>
    <row r="117" spans="40:43" x14ac:dyDescent="0.3">
      <c r="AN117" s="51" t="s">
        <v>428</v>
      </c>
      <c r="AO117" s="48">
        <v>30000</v>
      </c>
      <c r="AP117" s="48">
        <v>-7585</v>
      </c>
      <c r="AQ117" s="63">
        <f>IF($AO$117=0,0,$AP$117/$AO$117)</f>
        <v>-0.25283333333333335</v>
      </c>
    </row>
    <row r="118" spans="40:43" x14ac:dyDescent="0.3">
      <c r="AN118" s="51" t="s">
        <v>364</v>
      </c>
      <c r="AO118" s="48">
        <v>51000</v>
      </c>
      <c r="AP118" s="48">
        <v>3000</v>
      </c>
      <c r="AQ118" s="63">
        <f>IF($AO$118=0,0,$AP$118/$AO$118)</f>
        <v>5.8823529411764705E-2</v>
      </c>
    </row>
    <row r="119" spans="40:43" x14ac:dyDescent="0.3">
      <c r="AN119" s="51" t="s">
        <v>161</v>
      </c>
      <c r="AO119" s="48">
        <v>137000</v>
      </c>
      <c r="AP119" s="48">
        <v>60000</v>
      </c>
      <c r="AQ119" s="63">
        <f>IF($AO$119=0,0,$AP$119/$AO$119)</f>
        <v>0.43795620437956206</v>
      </c>
    </row>
    <row r="120" spans="40:43" x14ac:dyDescent="0.3">
      <c r="AN120" s="51" t="s">
        <v>544</v>
      </c>
      <c r="AO120" s="48">
        <v>380000</v>
      </c>
      <c r="AP120" s="48">
        <v>80000</v>
      </c>
      <c r="AQ120" s="63">
        <f>IF($AO$120=0,0,$AP$120/$AO$120)</f>
        <v>0.21052631578947367</v>
      </c>
    </row>
    <row r="121" spans="40:43" x14ac:dyDescent="0.3">
      <c r="AN121" s="51" t="s">
        <v>50</v>
      </c>
      <c r="AO121" s="48">
        <v>287500</v>
      </c>
      <c r="AP121" s="48">
        <v>41800</v>
      </c>
      <c r="AQ121" s="63">
        <f>IF($AO$121=0,0,$AP$121/$AO$121)</f>
        <v>0.1453913043478261</v>
      </c>
    </row>
    <row r="122" spans="40:43" x14ac:dyDescent="0.3">
      <c r="AN122" s="51" t="s">
        <v>343</v>
      </c>
      <c r="AO122" s="48">
        <v>2270200</v>
      </c>
      <c r="AP122" s="48">
        <v>22129</v>
      </c>
      <c r="AQ122" s="63">
        <f>IF($AO$122=0,0,$AP$122/$AO$122)</f>
        <v>9.747599330455466E-3</v>
      </c>
    </row>
    <row r="123" spans="40:43" x14ac:dyDescent="0.3">
      <c r="AN123" s="51" t="s">
        <v>360</v>
      </c>
      <c r="AO123" s="48">
        <v>4951000</v>
      </c>
      <c r="AP123" s="48">
        <v>-569000</v>
      </c>
      <c r="AQ123" s="63">
        <f>IF($AO$123=0,0,$AP$123/$AO$123)</f>
        <v>-0.11492627751969299</v>
      </c>
    </row>
    <row r="124" spans="40:43" x14ac:dyDescent="0.3">
      <c r="AN124" s="51" t="s">
        <v>455</v>
      </c>
      <c r="AO124" s="48">
        <v>472000</v>
      </c>
      <c r="AP124" s="48">
        <v>-77120</v>
      </c>
      <c r="AQ124" s="63">
        <f>IF($AO$124=0,0,$AP$124/$AO$124)</f>
        <v>-0.16338983050847458</v>
      </c>
    </row>
    <row r="125" spans="40:43" x14ac:dyDescent="0.3">
      <c r="AN125" s="51" t="s">
        <v>558</v>
      </c>
      <c r="AO125" s="48">
        <v>648000</v>
      </c>
      <c r="AP125" s="48">
        <v>-44064</v>
      </c>
      <c r="AQ125" s="63">
        <f>IF($AO$125=0,0,$AP$125/$AO$125)</f>
        <v>-6.8000000000000005E-2</v>
      </c>
    </row>
    <row r="126" spans="40:43" x14ac:dyDescent="0.3">
      <c r="AN126" s="51" t="s">
        <v>60</v>
      </c>
      <c r="AO126" s="48">
        <v>2931200</v>
      </c>
      <c r="AP126" s="48">
        <v>800</v>
      </c>
      <c r="AQ126" s="63">
        <f>IF($AO$126=0,0,$AP$126/$AO$126)</f>
        <v>2.7292576419213972E-4</v>
      </c>
    </row>
    <row r="127" spans="40:43" x14ac:dyDescent="0.3">
      <c r="AN127" s="51" t="s">
        <v>291</v>
      </c>
      <c r="AO127" s="48">
        <v>30000</v>
      </c>
      <c r="AP127" s="48">
        <v>8000</v>
      </c>
      <c r="AQ127" s="63">
        <f>IF($AO$127=0,0,$AP$127/$AO$127)</f>
        <v>0.26666666666666666</v>
      </c>
    </row>
    <row r="128" spans="40:43" x14ac:dyDescent="0.3">
      <c r="AN128" s="51" t="s">
        <v>127</v>
      </c>
      <c r="AO128" s="48">
        <v>2282500</v>
      </c>
      <c r="AP128" s="48">
        <v>264250</v>
      </c>
      <c r="AQ128" s="63">
        <f>IF($AO$128=0,0,$AP$128/$AO$128)</f>
        <v>0.11577217962760132</v>
      </c>
    </row>
    <row r="129" spans="40:43" x14ac:dyDescent="0.3">
      <c r="AN129" s="51" t="s">
        <v>66</v>
      </c>
      <c r="AO129" s="48">
        <v>1720500</v>
      </c>
      <c r="AP129" s="48">
        <v>187090</v>
      </c>
      <c r="AQ129" s="63">
        <f>IF($AO$129=0,0,$AP$129/$AO$129)</f>
        <v>0.10874164487067713</v>
      </c>
    </row>
    <row r="130" spans="40:43" x14ac:dyDescent="0.3">
      <c r="AN130" s="51" t="s">
        <v>41</v>
      </c>
      <c r="AO130" s="48">
        <v>7874000</v>
      </c>
      <c r="AP130" s="48">
        <v>-420000</v>
      </c>
      <c r="AQ130" s="63">
        <f>IF($AO$130=0,0,$AP$130/$AO$130)</f>
        <v>-5.3340106680213363E-2</v>
      </c>
    </row>
    <row r="131" spans="40:43" x14ac:dyDescent="0.3">
      <c r="AN131" s="51" t="s">
        <v>188</v>
      </c>
      <c r="AO131" s="48">
        <v>5111000</v>
      </c>
      <c r="AP131" s="48">
        <v>911000</v>
      </c>
      <c r="AQ131" s="63">
        <f>IF($AO$131=0,0,$AP$131/$AO$131)</f>
        <v>0.17824300528272355</v>
      </c>
    </row>
    <row r="132" spans="40:43" x14ac:dyDescent="0.3">
      <c r="AN132" s="51" t="s">
        <v>146</v>
      </c>
      <c r="AO132" s="48">
        <v>5120000</v>
      </c>
      <c r="AP132" s="48">
        <v>1172000</v>
      </c>
      <c r="AQ132" s="63">
        <f>IF($AO$132=0,0,$AP$132/$AO$132)</f>
        <v>0.22890625000000001</v>
      </c>
    </row>
    <row r="133" spans="40:43" x14ac:dyDescent="0.3">
      <c r="AN133" s="51" t="s">
        <v>28</v>
      </c>
      <c r="AO133" s="48">
        <v>7914000</v>
      </c>
      <c r="AP133" s="48">
        <v>1866000</v>
      </c>
      <c r="AQ133" s="63">
        <f>IF($AO$133=0,0,$AP$133/$AO$133)</f>
        <v>0.23578468536770281</v>
      </c>
    </row>
    <row r="134" spans="40:43" x14ac:dyDescent="0.3">
      <c r="AN134" s="51" t="s">
        <v>17</v>
      </c>
      <c r="AO134" s="48">
        <v>14834600</v>
      </c>
      <c r="AP134" s="48">
        <v>5330600</v>
      </c>
      <c r="AQ134" s="63">
        <f>IF($AO$134=0,0,$AP$134/$AO$134)</f>
        <v>0.35933560729645558</v>
      </c>
    </row>
    <row r="135" spans="40:43" x14ac:dyDescent="0.3">
      <c r="AN135" s="51" t="s">
        <v>164</v>
      </c>
      <c r="AO135" s="48">
        <v>136000</v>
      </c>
      <c r="AP135" s="48">
        <v>65600</v>
      </c>
      <c r="AQ135" s="63">
        <f>IF($AO$135=0,0,$AP$135/$AO$135)</f>
        <v>0.4823529411764706</v>
      </c>
    </row>
    <row r="136" spans="40:43" x14ac:dyDescent="0.3">
      <c r="AN136" s="51" t="s">
        <v>539</v>
      </c>
      <c r="AO136" s="48">
        <v>459000</v>
      </c>
      <c r="AP136" s="48">
        <v>117000</v>
      </c>
      <c r="AQ136" s="63">
        <f>IF($AO$136=0,0,$AP$136/$AO$136)</f>
        <v>0.25490196078431371</v>
      </c>
    </row>
    <row r="137" spans="40:43" x14ac:dyDescent="0.3">
      <c r="AN137" s="51" t="s">
        <v>547</v>
      </c>
      <c r="AO137" s="48">
        <v>144000</v>
      </c>
      <c r="AP137" s="48">
        <v>39600</v>
      </c>
      <c r="AQ137" s="63">
        <f>IF($AO$137=0,0,$AP$137/$AO$137)</f>
        <v>0.27500000000000002</v>
      </c>
    </row>
    <row r="138" spans="40:43" x14ac:dyDescent="0.3">
      <c r="AN138" s="51" t="s">
        <v>573</v>
      </c>
      <c r="AO138" s="48">
        <v>480000</v>
      </c>
      <c r="AP138" s="48">
        <v>-24000</v>
      </c>
      <c r="AQ138" s="63">
        <f>IF($AO$138=0,0,$AP$138/$AO$138)</f>
        <v>-0.05</v>
      </c>
    </row>
    <row r="139" spans="40:43" x14ac:dyDescent="0.3">
      <c r="AN139" s="51" t="s">
        <v>554</v>
      </c>
      <c r="AO139" s="48">
        <v>1967000</v>
      </c>
      <c r="AP139" s="48">
        <v>217000</v>
      </c>
      <c r="AQ139" s="63">
        <f>IF($AO$139=0,0,$AP$139/$AO$139)</f>
        <v>0.1103202846975089</v>
      </c>
    </row>
    <row r="140" spans="40:43" x14ac:dyDescent="0.3">
      <c r="AN140" s="51" t="s">
        <v>125</v>
      </c>
      <c r="AO140" s="48">
        <v>1105000</v>
      </c>
      <c r="AP140" s="48">
        <v>385000</v>
      </c>
      <c r="AQ140" s="63">
        <f>IF($AO$140=0,0,$AP$140/$AO$140)</f>
        <v>0.34841628959276016</v>
      </c>
    </row>
    <row r="141" spans="40:43" x14ac:dyDescent="0.3">
      <c r="AN141" s="51" t="s">
        <v>445</v>
      </c>
      <c r="AO141" s="48">
        <v>1210000</v>
      </c>
      <c r="AP141" s="48">
        <v>580000</v>
      </c>
      <c r="AQ141" s="63">
        <f>IF($AO$141=0,0,$AP$141/$AO$141)</f>
        <v>0.47933884297520662</v>
      </c>
    </row>
    <row r="142" spans="40:43" x14ac:dyDescent="0.3">
      <c r="AN142" s="51" t="s">
        <v>39</v>
      </c>
      <c r="AO142" s="48">
        <v>1768000</v>
      </c>
      <c r="AP142" s="48">
        <v>544000</v>
      </c>
      <c r="AQ142" s="63">
        <f>IF($AO$142=0,0,$AP$142/$AO$142)</f>
        <v>0.30769230769230771</v>
      </c>
    </row>
    <row r="143" spans="40:43" x14ac:dyDescent="0.3">
      <c r="AN143" s="51" t="s">
        <v>230</v>
      </c>
      <c r="AO143" s="48">
        <v>710000</v>
      </c>
      <c r="AP143" s="48">
        <v>192000</v>
      </c>
      <c r="AQ143" s="63">
        <f>IF($AO$143=0,0,$AP$143/$AO$143)</f>
        <v>0.27042253521126758</v>
      </c>
    </row>
    <row r="144" spans="40:43" x14ac:dyDescent="0.3">
      <c r="AN144" s="51" t="s">
        <v>379</v>
      </c>
      <c r="AO144" s="48">
        <v>540000</v>
      </c>
      <c r="AP144" s="48">
        <v>240000</v>
      </c>
      <c r="AQ144" s="63">
        <f>IF($AO$144=0,0,$AP$144/$AO$144)</f>
        <v>0.44444444444444442</v>
      </c>
    </row>
    <row r="145" spans="40:43" x14ac:dyDescent="0.3">
      <c r="AN145" s="51" t="s">
        <v>106</v>
      </c>
      <c r="AO145" s="48">
        <v>125000</v>
      </c>
      <c r="AP145" s="48">
        <v>4165</v>
      </c>
      <c r="AQ145" s="63">
        <f>IF($AO$145=0,0,$AP$145/$AO$145)</f>
        <v>3.3320000000000002E-2</v>
      </c>
    </row>
    <row r="146" spans="40:43" x14ac:dyDescent="0.3">
      <c r="AN146" s="51" t="s">
        <v>63</v>
      </c>
      <c r="AO146" s="48">
        <v>3540000</v>
      </c>
      <c r="AP146" s="48">
        <v>1545000</v>
      </c>
      <c r="AQ146" s="63">
        <f>IF($AO$146=0,0,$AP$146/$AO$146)</f>
        <v>0.4364406779661017</v>
      </c>
    </row>
    <row r="147" spans="40:43" x14ac:dyDescent="0.3">
      <c r="AN147" s="51" t="s">
        <v>616</v>
      </c>
      <c r="AO147" s="48">
        <v>720000</v>
      </c>
      <c r="AP147" s="48">
        <v>320000</v>
      </c>
      <c r="AQ147" s="63">
        <f>IF($AO$147=0,0,$AP$147/$AO$147)</f>
        <v>0.44444444444444442</v>
      </c>
    </row>
    <row r="148" spans="40:43" x14ac:dyDescent="0.3">
      <c r="AN148" s="51" t="s">
        <v>585</v>
      </c>
      <c r="AO148" s="48">
        <v>150000</v>
      </c>
      <c r="AP148" s="48">
        <v>50000</v>
      </c>
      <c r="AQ148" s="63">
        <f>IF($AO$148=0,0,$AP$148/$AO$148)</f>
        <v>0.33333333333333331</v>
      </c>
    </row>
    <row r="149" spans="40:43" x14ac:dyDescent="0.3">
      <c r="AN149" s="51" t="s">
        <v>58</v>
      </c>
      <c r="AO149" s="48">
        <v>5530000</v>
      </c>
      <c r="AP149" s="48">
        <v>1179500</v>
      </c>
      <c r="AQ149" s="63">
        <f>IF($AO$149=0,0,$AP$149/$AO$149)</f>
        <v>0.21329113924050633</v>
      </c>
    </row>
    <row r="150" spans="40:43" x14ac:dyDescent="0.3">
      <c r="AN150" s="51" t="s">
        <v>395</v>
      </c>
      <c r="AO150" s="48">
        <v>712000</v>
      </c>
      <c r="AP150" s="48">
        <v>252000</v>
      </c>
      <c r="AQ150" s="63">
        <f>IF($AO$150=0,0,$AP$150/$AO$150)</f>
        <v>0.3539325842696629</v>
      </c>
    </row>
    <row r="151" spans="40:43" x14ac:dyDescent="0.3">
      <c r="AN151" s="51" t="s">
        <v>434</v>
      </c>
      <c r="AO151" s="48">
        <v>160000</v>
      </c>
      <c r="AP151" s="48">
        <v>60000</v>
      </c>
      <c r="AQ151" s="63">
        <f>IF($AO$151=0,0,$AP$151/$AO$151)</f>
        <v>0.375</v>
      </c>
    </row>
    <row r="152" spans="40:43" x14ac:dyDescent="0.3">
      <c r="AN152" s="51" t="s">
        <v>295</v>
      </c>
      <c r="AO152" s="48">
        <v>305000</v>
      </c>
      <c r="AP152" s="48">
        <v>30000</v>
      </c>
      <c r="AQ152" s="63">
        <f>IF($AO$152=0,0,$AP$152/$AO$152)</f>
        <v>9.8360655737704916E-2</v>
      </c>
    </row>
    <row r="153" spans="40:43" x14ac:dyDescent="0.3">
      <c r="AN153" s="51" t="s">
        <v>430</v>
      </c>
      <c r="AO153" s="48">
        <v>165000</v>
      </c>
      <c r="AP153" s="48">
        <v>50000</v>
      </c>
      <c r="AQ153" s="63">
        <f>IF($AO$153=0,0,$AP$153/$AO$153)</f>
        <v>0.30303030303030304</v>
      </c>
    </row>
    <row r="154" spans="40:43" x14ac:dyDescent="0.3">
      <c r="AN154" s="51" t="s">
        <v>600</v>
      </c>
      <c r="AO154" s="48">
        <v>1920000</v>
      </c>
      <c r="AP154" s="48">
        <v>1136000</v>
      </c>
      <c r="AQ154" s="63">
        <f>IF($AO$154=0,0,$AP$154/$AO$154)</f>
        <v>0.59166666666666667</v>
      </c>
    </row>
    <row r="155" spans="40:43" x14ac:dyDescent="0.3">
      <c r="AN155" s="51" t="s">
        <v>598</v>
      </c>
      <c r="AO155" s="48">
        <v>1920000</v>
      </c>
      <c r="AP155" s="48">
        <v>1136000</v>
      </c>
      <c r="AQ155" s="63">
        <f>IF($AO$155=0,0,$AP$155/$AO$155)</f>
        <v>0.59166666666666667</v>
      </c>
    </row>
    <row r="156" spans="40:43" x14ac:dyDescent="0.3">
      <c r="AN156" s="51" t="s">
        <v>583</v>
      </c>
      <c r="AO156" s="48">
        <v>180000</v>
      </c>
      <c r="AP156" s="48">
        <v>20000</v>
      </c>
      <c r="AQ156" s="63">
        <f>IF($AO$156=0,0,$AP$156/$AO$156)</f>
        <v>0.1111111111111111</v>
      </c>
    </row>
    <row r="157" spans="40:43" x14ac:dyDescent="0.3">
      <c r="AN157" s="51" t="s">
        <v>286</v>
      </c>
      <c r="AO157" s="48">
        <v>200000</v>
      </c>
      <c r="AP157" s="48">
        <v>20000</v>
      </c>
      <c r="AQ157" s="63">
        <f>IF($AO$157=0,0,$AP$157/$AO$157)</f>
        <v>0.1</v>
      </c>
    </row>
    <row r="158" spans="40:43" x14ac:dyDescent="0.3">
      <c r="AN158" s="51" t="s">
        <v>289</v>
      </c>
      <c r="AO158" s="48">
        <v>100000</v>
      </c>
      <c r="AP158" s="48">
        <v>10000</v>
      </c>
      <c r="AQ158" s="63">
        <f>IF($AO$158=0,0,$AP$158/$AO$158)</f>
        <v>0.1</v>
      </c>
    </row>
    <row r="159" spans="40:43" x14ac:dyDescent="0.3">
      <c r="AN159" s="51" t="s">
        <v>397</v>
      </c>
      <c r="AO159" s="48">
        <v>415000</v>
      </c>
      <c r="AP159" s="48">
        <v>67000</v>
      </c>
      <c r="AQ159" s="63">
        <f>IF($AO$159=0,0,$AP$159/$AO$159)</f>
        <v>0.16144578313253011</v>
      </c>
    </row>
    <row r="160" spans="40:43" x14ac:dyDescent="0.3">
      <c r="AN160" s="51" t="s">
        <v>144</v>
      </c>
      <c r="AO160" s="48">
        <v>310000</v>
      </c>
      <c r="AP160" s="48">
        <v>16000</v>
      </c>
      <c r="AQ160" s="63">
        <f>IF($AO$160=0,0,$AP$160/$AO$160)</f>
        <v>5.1612903225806452E-2</v>
      </c>
    </row>
    <row r="161" spans="40:43" x14ac:dyDescent="0.3">
      <c r="AN161" s="51" t="s">
        <v>448</v>
      </c>
      <c r="AO161" s="48">
        <v>793000</v>
      </c>
      <c r="AP161" s="48">
        <v>253000</v>
      </c>
      <c r="AQ161" s="63">
        <f>IF($AO$161=0,0,$AP$161/$AO$161)</f>
        <v>0.31904161412358134</v>
      </c>
    </row>
    <row r="162" spans="40:43" x14ac:dyDescent="0.3">
      <c r="AN162" s="51" t="s">
        <v>279</v>
      </c>
      <c r="AO162" s="48">
        <v>1656000</v>
      </c>
      <c r="AP162" s="48">
        <v>514944</v>
      </c>
      <c r="AQ162" s="63">
        <f>IF($AO$162=0,0,$AP$162/$AO$162)</f>
        <v>0.31095652173913041</v>
      </c>
    </row>
    <row r="163" spans="40:43" x14ac:dyDescent="0.3">
      <c r="AN163" s="51" t="s">
        <v>389</v>
      </c>
      <c r="AO163" s="48">
        <v>304000</v>
      </c>
      <c r="AP163" s="48">
        <v>91616</v>
      </c>
      <c r="AQ163" s="63">
        <f>IF($AO$163=0,0,$AP$163/$AO$163)</f>
        <v>0.30136842105263156</v>
      </c>
    </row>
    <row r="164" spans="40:43" x14ac:dyDescent="0.3">
      <c r="AN164" s="51" t="s">
        <v>317</v>
      </c>
      <c r="AO164" s="48">
        <v>0</v>
      </c>
      <c r="AP164" s="48">
        <v>-90000</v>
      </c>
      <c r="AQ164" s="63">
        <f>IF($AO$164=0,0,$AP$164/$AO$164)</f>
        <v>0</v>
      </c>
    </row>
    <row r="165" spans="40:43" x14ac:dyDescent="0.3">
      <c r="AN165" s="51" t="s">
        <v>77</v>
      </c>
      <c r="AO165" s="48">
        <v>250000</v>
      </c>
      <c r="AP165" s="48">
        <v>10000</v>
      </c>
      <c r="AQ165" s="63">
        <f>IF($AO$165=0,0,$AP$165/$AO$165)</f>
        <v>0.04</v>
      </c>
    </row>
    <row r="166" spans="40:43" x14ac:dyDescent="0.3">
      <c r="AN166" s="51" t="s">
        <v>400</v>
      </c>
      <c r="AO166" s="48">
        <v>240000</v>
      </c>
      <c r="AP166" s="48">
        <v>0</v>
      </c>
      <c r="AQ166" s="63">
        <f>IF($AO$166=0,0,$AP$166/$AO$166)</f>
        <v>0</v>
      </c>
    </row>
    <row r="167" spans="40:43" x14ac:dyDescent="0.3">
      <c r="AN167" s="51" t="s">
        <v>438</v>
      </c>
      <c r="AO167" s="48">
        <v>250000</v>
      </c>
      <c r="AP167" s="48">
        <v>10000</v>
      </c>
      <c r="AQ167" s="63">
        <f>IF($AO$167=0,0,$AP$167/$AO$167)</f>
        <v>0.04</v>
      </c>
    </row>
    <row r="168" spans="40:43" x14ac:dyDescent="0.3">
      <c r="AN168" s="51" t="s">
        <v>79</v>
      </c>
      <c r="AO168" s="48">
        <v>250000</v>
      </c>
      <c r="AP168" s="48">
        <v>10000</v>
      </c>
      <c r="AQ168" s="63">
        <f>IF($AO$168=0,0,$AP$168/$AO$168)</f>
        <v>0.04</v>
      </c>
    </row>
    <row r="169" spans="40:43" x14ac:dyDescent="0.3">
      <c r="AN169" s="51" t="s">
        <v>475</v>
      </c>
      <c r="AO169" s="48">
        <v>125000</v>
      </c>
      <c r="AP169" s="48">
        <v>40000</v>
      </c>
      <c r="AQ169" s="63">
        <f>IF($AO$169=0,0,$AP$169/$AO$169)</f>
        <v>0.32</v>
      </c>
    </row>
    <row r="170" spans="40:43" x14ac:dyDescent="0.3">
      <c r="AN170" s="51" t="s">
        <v>472</v>
      </c>
      <c r="AO170" s="48">
        <v>250000</v>
      </c>
      <c r="AP170" s="48">
        <v>80000</v>
      </c>
      <c r="AQ170" s="63">
        <f>IF($AO$170=0,0,$AP$170/$AO$170)</f>
        <v>0.32</v>
      </c>
    </row>
    <row r="171" spans="40:43" x14ac:dyDescent="0.3">
      <c r="AN171" s="51" t="s">
        <v>452</v>
      </c>
      <c r="AO171" s="48">
        <v>240000</v>
      </c>
      <c r="AP171" s="48">
        <v>70000</v>
      </c>
      <c r="AQ171" s="63">
        <f>IF($AO$171=0,0,$AP$171/$AO$171)</f>
        <v>0.29166666666666669</v>
      </c>
    </row>
    <row r="172" spans="40:43" x14ac:dyDescent="0.3">
      <c r="AN172" s="51" t="s">
        <v>68</v>
      </c>
      <c r="AO172" s="48">
        <v>1280000</v>
      </c>
      <c r="AP172" s="48">
        <v>430000</v>
      </c>
      <c r="AQ172" s="63">
        <f>IF($AO$172=0,0,$AP$172/$AO$172)</f>
        <v>0.3359375</v>
      </c>
    </row>
    <row r="173" spans="40:43" x14ac:dyDescent="0.3">
      <c r="AN173" s="51" t="s">
        <v>381</v>
      </c>
      <c r="AO173" s="48">
        <v>525000</v>
      </c>
      <c r="AP173" s="48">
        <v>119000</v>
      </c>
      <c r="AQ173" s="63">
        <f>IF($AO$173=0,0,$AP$173/$AO$173)</f>
        <v>0.22666666666666666</v>
      </c>
    </row>
    <row r="174" spans="40:43" x14ac:dyDescent="0.3">
      <c r="AN174" s="51" t="s">
        <v>299</v>
      </c>
      <c r="AO174" s="48">
        <v>1053000</v>
      </c>
      <c r="AP174" s="48">
        <v>461000</v>
      </c>
      <c r="AQ174" s="63">
        <f>IF($AO$174=0,0,$AP$174/$AO$174)</f>
        <v>0.43779677113010446</v>
      </c>
    </row>
    <row r="175" spans="40:43" x14ac:dyDescent="0.3">
      <c r="AN175" s="51" t="s">
        <v>385</v>
      </c>
      <c r="AO175" s="48">
        <v>75000</v>
      </c>
      <c r="AP175" s="48">
        <v>17000</v>
      </c>
      <c r="AQ175" s="63">
        <f>IF($AO$175=0,0,$AP$175/$AO$175)</f>
        <v>0.22666666666666666</v>
      </c>
    </row>
    <row r="176" spans="40:43" x14ac:dyDescent="0.3">
      <c r="AN176" s="51" t="s">
        <v>383</v>
      </c>
      <c r="AO176" s="48">
        <v>150000</v>
      </c>
      <c r="AP176" s="48">
        <v>34000</v>
      </c>
      <c r="AQ176" s="63">
        <f>IF($AO$176=0,0,$AP$176/$AO$176)</f>
        <v>0.22666666666666666</v>
      </c>
    </row>
    <row r="177" spans="40:43" x14ac:dyDescent="0.3">
      <c r="AN177" s="51" t="s">
        <v>301</v>
      </c>
      <c r="AO177" s="48">
        <v>1620000</v>
      </c>
      <c r="AP177" s="48">
        <v>658000</v>
      </c>
      <c r="AQ177" s="63">
        <f>IF($AO$177=0,0,$AP$177/$AO$177)</f>
        <v>0.40617283950617283</v>
      </c>
    </row>
    <row r="178" spans="40:43" x14ac:dyDescent="0.3">
      <c r="AN178" s="51" t="s">
        <v>387</v>
      </c>
      <c r="AO178" s="48">
        <v>75000</v>
      </c>
      <c r="AP178" s="48">
        <v>17000</v>
      </c>
      <c r="AQ178" s="63">
        <f>IF($AO$178=0,0,$AP$178/$AO$178)</f>
        <v>0.22666666666666666</v>
      </c>
    </row>
    <row r="179" spans="40:43" x14ac:dyDescent="0.3">
      <c r="AN179" s="51" t="s">
        <v>224</v>
      </c>
      <c r="AO179" s="48">
        <v>1630000</v>
      </c>
      <c r="AP179" s="48">
        <v>535000</v>
      </c>
      <c r="AQ179" s="63">
        <f>IF($AO$179=0,0,$AP$179/$AO$179)</f>
        <v>0.32822085889570551</v>
      </c>
    </row>
    <row r="180" spans="40:43" x14ac:dyDescent="0.3">
      <c r="AN180" s="51" t="s">
        <v>24</v>
      </c>
      <c r="AO180" s="48">
        <v>3540000</v>
      </c>
      <c r="AP180" s="48">
        <v>802500</v>
      </c>
      <c r="AQ180" s="63">
        <f>IF($AO$180=0,0,$AP$180/$AO$180)</f>
        <v>0.22669491525423729</v>
      </c>
    </row>
    <row r="181" spans="40:43" x14ac:dyDescent="0.3">
      <c r="AN181" s="51" t="s">
        <v>84</v>
      </c>
      <c r="AO181" s="48">
        <v>1968000</v>
      </c>
      <c r="AP181" s="48">
        <v>933000</v>
      </c>
      <c r="AQ181" s="63">
        <f>IF($AO$181=0,0,$AP$181/$AO$181)</f>
        <v>0.47408536585365851</v>
      </c>
    </row>
    <row r="182" spans="40:43" x14ac:dyDescent="0.3">
      <c r="AN182" s="51" t="s">
        <v>297</v>
      </c>
      <c r="AO182" s="48">
        <v>168000</v>
      </c>
      <c r="AP182" s="48">
        <v>53000</v>
      </c>
      <c r="AQ182" s="63">
        <f>IF($AO$182=0,0,$AP$182/$AO$182)</f>
        <v>0.31547619047619047</v>
      </c>
    </row>
    <row r="183" spans="40:43" x14ac:dyDescent="0.3">
      <c r="AN183" s="51" t="s">
        <v>247</v>
      </c>
      <c r="AO183" s="48">
        <v>175000</v>
      </c>
      <c r="AP183" s="48">
        <v>11515</v>
      </c>
      <c r="AQ183" s="63">
        <f>IF($AO$183=0,0,$AP$183/$AO$183)</f>
        <v>6.5799999999999997E-2</v>
      </c>
    </row>
    <row r="184" spans="40:43" x14ac:dyDescent="0.3">
      <c r="AN184" s="51" t="s">
        <v>169</v>
      </c>
      <c r="AO184" s="48">
        <v>553000</v>
      </c>
      <c r="AP184" s="48">
        <v>62545</v>
      </c>
      <c r="AQ184" s="63">
        <f>IF($AO$184=0,0,$AP$184/$AO$184)</f>
        <v>0.11310126582278481</v>
      </c>
    </row>
    <row r="185" spans="40:43" x14ac:dyDescent="0.3">
      <c r="AN185" s="51" t="s">
        <v>334</v>
      </c>
      <c r="AO185" s="48">
        <v>745000</v>
      </c>
      <c r="AP185" s="48">
        <v>19000</v>
      </c>
      <c r="AQ185" s="63">
        <f>IF($AO$185=0,0,$AP$185/$AO$185)</f>
        <v>2.5503355704697986E-2</v>
      </c>
    </row>
    <row r="186" spans="40:43" x14ac:dyDescent="0.3">
      <c r="AN186" s="51" t="s">
        <v>190</v>
      </c>
      <c r="AO186" s="48">
        <v>718000</v>
      </c>
      <c r="AP186" s="48">
        <v>16000</v>
      </c>
      <c r="AQ186" s="63">
        <f>IF($AO$186=0,0,$AP$186/$AO$186)</f>
        <v>2.2284122562674095E-2</v>
      </c>
    </row>
    <row r="187" spans="40:43" x14ac:dyDescent="0.3">
      <c r="AN187" s="51" t="s">
        <v>186</v>
      </c>
      <c r="AO187" s="48">
        <v>156000</v>
      </c>
      <c r="AP187" s="48">
        <v>17400</v>
      </c>
      <c r="AQ187" s="63">
        <f>IF($AO$187=0,0,$AP$187/$AO$187)</f>
        <v>0.11153846153846154</v>
      </c>
    </row>
    <row r="188" spans="40:43" x14ac:dyDescent="0.3">
      <c r="AN188" s="51" t="s">
        <v>180</v>
      </c>
      <c r="AO188" s="48">
        <v>252000</v>
      </c>
      <c r="AP188" s="48">
        <v>30240</v>
      </c>
      <c r="AQ188" s="63">
        <f>IF($AO$188=0,0,$AP$188/$AO$188)</f>
        <v>0.12</v>
      </c>
    </row>
    <row r="189" spans="40:43" x14ac:dyDescent="0.3">
      <c r="AN189" s="51" t="s">
        <v>596</v>
      </c>
      <c r="AO189" s="48">
        <v>124000</v>
      </c>
      <c r="AP189" s="48">
        <v>13120</v>
      </c>
      <c r="AQ189" s="63">
        <f>IF($AO$189=0,0,$AP$189/$AO$189)</f>
        <v>0.10580645161290322</v>
      </c>
    </row>
    <row r="190" spans="40:43" x14ac:dyDescent="0.3">
      <c r="AN190" s="51" t="s">
        <v>177</v>
      </c>
      <c r="AO190" s="48">
        <v>252000</v>
      </c>
      <c r="AP190" s="48">
        <v>30240</v>
      </c>
      <c r="AQ190" s="63">
        <f>IF($AO$190=0,0,$AP$190/$AO$190)</f>
        <v>0.12</v>
      </c>
    </row>
    <row r="191" spans="40:43" x14ac:dyDescent="0.3">
      <c r="AN191" s="51" t="s">
        <v>184</v>
      </c>
      <c r="AO191" s="48">
        <v>636000</v>
      </c>
      <c r="AP191" s="48">
        <v>81600</v>
      </c>
      <c r="AQ191" s="63">
        <f>IF($AO$191=0,0,$AP$191/$AO$191)</f>
        <v>0.12830188679245283</v>
      </c>
    </row>
    <row r="192" spans="40:43" x14ac:dyDescent="0.3">
      <c r="AN192" s="51" t="s">
        <v>182</v>
      </c>
      <c r="AO192" s="48">
        <v>220000</v>
      </c>
      <c r="AP192" s="48">
        <v>25960</v>
      </c>
      <c r="AQ192" s="63">
        <f>IF($AO$192=0,0,$AP$192/$AO$192)</f>
        <v>0.11799999999999999</v>
      </c>
    </row>
    <row r="193" spans="40:43" x14ac:dyDescent="0.3">
      <c r="AN193" s="51" t="s">
        <v>166</v>
      </c>
      <c r="AO193" s="48">
        <v>175000</v>
      </c>
      <c r="AP193" s="48">
        <v>97500</v>
      </c>
      <c r="AQ193" s="63">
        <f>IF($AO$193=0,0,$AP$193/$AO$193)</f>
        <v>0.55714285714285716</v>
      </c>
    </row>
    <row r="194" spans="40:43" x14ac:dyDescent="0.3">
      <c r="AN194" s="51" t="s">
        <v>154</v>
      </c>
      <c r="AO194" s="48">
        <v>2846000</v>
      </c>
      <c r="AP194" s="48">
        <v>41600</v>
      </c>
      <c r="AQ194" s="63">
        <f>IF($AO$194=0,0,$AP$194/$AO$194)</f>
        <v>1.4617006324666199E-2</v>
      </c>
    </row>
    <row r="195" spans="40:43" x14ac:dyDescent="0.3">
      <c r="AN195" s="51" t="s">
        <v>232</v>
      </c>
      <c r="AO195" s="48">
        <v>180000</v>
      </c>
      <c r="AP195" s="48">
        <v>18000</v>
      </c>
      <c r="AQ195" s="63">
        <f>IF($AO$195=0,0,$AP$195/$AO$195)</f>
        <v>0.1</v>
      </c>
    </row>
    <row r="196" spans="40:43" x14ac:dyDescent="0.3">
      <c r="AN196" s="51" t="s">
        <v>255</v>
      </c>
      <c r="AO196" s="48">
        <v>4059600</v>
      </c>
      <c r="AP196" s="48">
        <v>448800</v>
      </c>
      <c r="AQ196" s="63">
        <f>IF($AO$196=0,0,$AP$196/$AO$196)</f>
        <v>0.11055276381909548</v>
      </c>
    </row>
    <row r="197" spans="40:43" x14ac:dyDescent="0.3">
      <c r="AN197" s="51" t="s">
        <v>52</v>
      </c>
      <c r="AO197" s="48">
        <v>1474300</v>
      </c>
      <c r="AP197" s="48">
        <v>203800</v>
      </c>
      <c r="AQ197" s="63">
        <f>IF($AO$197=0,0,$AP$197/$AO$197)</f>
        <v>0.13823509462117614</v>
      </c>
    </row>
    <row r="198" spans="40:43" x14ac:dyDescent="0.3">
      <c r="AN198" s="51" t="s">
        <v>315</v>
      </c>
      <c r="AO198" s="48">
        <v>1119300</v>
      </c>
      <c r="AP198" s="48">
        <v>221550</v>
      </c>
      <c r="AQ198" s="63">
        <f>IF($AO$198=0,0,$AP$198/$AO$198)</f>
        <v>0.19793621013133209</v>
      </c>
    </row>
    <row r="199" spans="40:43" x14ac:dyDescent="0.3">
      <c r="AN199" s="51" t="s">
        <v>110</v>
      </c>
      <c r="AO199" s="48">
        <v>624000</v>
      </c>
      <c r="AP199" s="48">
        <v>41232</v>
      </c>
      <c r="AQ199" s="63">
        <f>IF($AO$199=0,0,$AP$199/$AO$199)</f>
        <v>6.6076923076923075E-2</v>
      </c>
    </row>
    <row r="200" spans="40:43" x14ac:dyDescent="0.3">
      <c r="AN200" s="51" t="s">
        <v>113</v>
      </c>
      <c r="AO200" s="48">
        <v>1334200</v>
      </c>
      <c r="AP200" s="48">
        <v>84700</v>
      </c>
      <c r="AQ200" s="63">
        <f>IF($AO$200=0,0,$AP$200/$AO$200)</f>
        <v>6.348373557187828E-2</v>
      </c>
    </row>
    <row r="201" spans="40:43" x14ac:dyDescent="0.3">
      <c r="AN201" s="51" t="s">
        <v>196</v>
      </c>
      <c r="AO201" s="48">
        <v>1320000</v>
      </c>
      <c r="AP201" s="48">
        <v>186000</v>
      </c>
      <c r="AQ201" s="63">
        <f>IF($AO$201=0,0,$AP$201/$AO$201)</f>
        <v>0.1409090909090909</v>
      </c>
    </row>
    <row r="202" spans="40:43" x14ac:dyDescent="0.3">
      <c r="AN202" s="51" t="s">
        <v>91</v>
      </c>
      <c r="AO202" s="48">
        <v>930000</v>
      </c>
      <c r="AP202" s="48">
        <v>48000</v>
      </c>
      <c r="AQ202" s="63">
        <f>IF($AO$202=0,0,$AP$202/$AO$202)</f>
        <v>5.1612903225806452E-2</v>
      </c>
    </row>
    <row r="203" spans="40:43" x14ac:dyDescent="0.3">
      <c r="AN203" s="51" t="s">
        <v>234</v>
      </c>
      <c r="AO203" s="48">
        <v>440000</v>
      </c>
      <c r="AP203" s="48">
        <v>110000</v>
      </c>
      <c r="AQ203" s="63">
        <f>IF($AO$203=0,0,$AP$203/$AO$203)</f>
        <v>0.25</v>
      </c>
    </row>
    <row r="204" spans="40:43" x14ac:dyDescent="0.3">
      <c r="AN204" s="51" t="s">
        <v>357</v>
      </c>
      <c r="AO204" s="48">
        <v>168000</v>
      </c>
      <c r="AP204" s="48">
        <v>30000</v>
      </c>
      <c r="AQ204" s="63">
        <f>IF($AO$204=0,0,$AP$204/$AO$204)</f>
        <v>0.17857142857142858</v>
      </c>
    </row>
    <row r="205" spans="40:43" x14ac:dyDescent="0.3">
      <c r="AN205" s="51" t="s">
        <v>498</v>
      </c>
      <c r="AO205" s="48">
        <v>62500</v>
      </c>
      <c r="AP205" s="48">
        <v>24165</v>
      </c>
      <c r="AQ205" s="63">
        <f>IF($AO$205=0,0,$AP$205/$AO$205)</f>
        <v>0.38663999999999998</v>
      </c>
    </row>
    <row r="206" spans="40:43" x14ac:dyDescent="0.3">
      <c r="AN206" s="51" t="s">
        <v>21</v>
      </c>
      <c r="AO206" s="48">
        <v>1540056</v>
      </c>
      <c r="AP206" s="48">
        <v>420000</v>
      </c>
      <c r="AQ206" s="63">
        <f>IF($AO$206=0,0,$AP$206/$AO$206)</f>
        <v>0.27271735573251882</v>
      </c>
    </row>
    <row r="207" spans="40:43" x14ac:dyDescent="0.3">
      <c r="AN207" s="51" t="s">
        <v>87</v>
      </c>
      <c r="AO207" s="48">
        <v>4666000</v>
      </c>
      <c r="AP207" s="48">
        <v>1435864</v>
      </c>
      <c r="AQ207" s="63">
        <f>IF($AO$207=0,0,$AP$207/$AO$207)</f>
        <v>0.3077291041577368</v>
      </c>
    </row>
    <row r="208" spans="40:43" x14ac:dyDescent="0.3">
      <c r="AN208" s="51" t="s">
        <v>108</v>
      </c>
      <c r="AO208" s="48">
        <v>80000</v>
      </c>
      <c r="AP208" s="48">
        <v>21000</v>
      </c>
      <c r="AQ208" s="63">
        <f>IF($AO$208=0,0,$AP$208/$AO$208)</f>
        <v>0.26250000000000001</v>
      </c>
    </row>
    <row r="209" spans="40:43" x14ac:dyDescent="0.3">
      <c r="AN209" s="51" t="s">
        <v>272</v>
      </c>
      <c r="AO209" s="48">
        <v>356000</v>
      </c>
      <c r="AP209" s="48">
        <v>93776</v>
      </c>
      <c r="AQ209" s="63">
        <f>IF($AO$209=0,0,$AP$209/$AO$209)</f>
        <v>0.26341573033707866</v>
      </c>
    </row>
    <row r="210" spans="40:43" x14ac:dyDescent="0.3">
      <c r="AN210" s="51" t="s">
        <v>411</v>
      </c>
      <c r="AO210" s="48">
        <v>638000</v>
      </c>
      <c r="AP210" s="48">
        <v>-23500</v>
      </c>
      <c r="AQ210" s="63">
        <f>IF($AO$210=0,0,$AP$210/$AO$210)</f>
        <v>-3.6833855799373039E-2</v>
      </c>
    </row>
    <row r="211" spans="40:43" x14ac:dyDescent="0.3">
      <c r="AN211" s="51" t="s">
        <v>408</v>
      </c>
      <c r="AO211" s="48">
        <v>1560000</v>
      </c>
      <c r="AP211" s="48">
        <v>-130000</v>
      </c>
      <c r="AQ211" s="63">
        <f>IF($AO$211=0,0,$AP$211/$AO$211)</f>
        <v>-8.3333333333333329E-2</v>
      </c>
    </row>
    <row r="212" spans="40:43" x14ac:dyDescent="0.3">
      <c r="AN212" s="51" t="s">
        <v>611</v>
      </c>
      <c r="AO212" s="48">
        <v>570000</v>
      </c>
      <c r="AP212" s="48">
        <v>-254040</v>
      </c>
      <c r="AQ212" s="63">
        <f>IF($AO$212=0,0,$AP$212/$AO$212)</f>
        <v>-0.44568421052631579</v>
      </c>
    </row>
    <row r="213" spans="40:43" x14ac:dyDescent="0.3">
      <c r="AN213" s="51" t="s">
        <v>276</v>
      </c>
      <c r="AO213" s="48">
        <v>388000</v>
      </c>
      <c r="AP213" s="48">
        <v>108628</v>
      </c>
      <c r="AQ213" s="63">
        <f>IF($AO$213=0,0,$AP$213/$AO$213)</f>
        <v>0.27996907216494843</v>
      </c>
    </row>
    <row r="214" spans="40:43" x14ac:dyDescent="0.3">
      <c r="AN214" s="51" t="s">
        <v>211</v>
      </c>
      <c r="AO214" s="48">
        <v>1619000</v>
      </c>
      <c r="AP214" s="48">
        <v>233000</v>
      </c>
      <c r="AQ214" s="63">
        <f>IF($AO$214=0,0,$AP$214/$AO$214)</f>
        <v>0.14391599752933909</v>
      </c>
    </row>
    <row r="215" spans="40:43" x14ac:dyDescent="0.3">
      <c r="AN215" s="51" t="s">
        <v>625</v>
      </c>
      <c r="AO215" s="48">
        <v>476000</v>
      </c>
      <c r="AP215" s="48">
        <v>98000</v>
      </c>
      <c r="AQ215" s="63">
        <f>IF($AO$215=0,0,$AP$215/$AO$215)</f>
        <v>0.20588235294117646</v>
      </c>
    </row>
    <row r="216" spans="40:43" x14ac:dyDescent="0.3">
      <c r="AN216" s="51" t="s">
        <v>122</v>
      </c>
      <c r="AO216" s="48">
        <v>7732000</v>
      </c>
      <c r="AP216" s="48">
        <v>2632000</v>
      </c>
      <c r="AQ216" s="63">
        <f>IF($AO$216=0,0,$AP$216/$AO$216)</f>
        <v>0.34040351784790479</v>
      </c>
    </row>
    <row r="217" spans="40:43" x14ac:dyDescent="0.3">
      <c r="AN217" s="51" t="s">
        <v>581</v>
      </c>
      <c r="AO217" s="48">
        <v>741000</v>
      </c>
      <c r="AP217" s="48">
        <v>277000</v>
      </c>
      <c r="AQ217" s="63">
        <f>IF($AO$217=0,0,$AP$217/$AO$217)</f>
        <v>0.37381916329284748</v>
      </c>
    </row>
    <row r="218" spans="40:43" x14ac:dyDescent="0.3">
      <c r="AN218" s="51" t="s">
        <v>115</v>
      </c>
      <c r="AO218" s="48">
        <v>218000</v>
      </c>
      <c r="AP218" s="48">
        <v>123000</v>
      </c>
      <c r="AQ218" s="63">
        <f>IF($AO$218=0,0,$AP$218/$AO$218)</f>
        <v>0.56422018348623848</v>
      </c>
    </row>
    <row r="219" spans="40:43" x14ac:dyDescent="0.3">
      <c r="AN219" s="51" t="s">
        <v>602</v>
      </c>
      <c r="AO219" s="48">
        <v>137000</v>
      </c>
      <c r="AP219" s="48">
        <v>57000</v>
      </c>
      <c r="AQ219" s="63">
        <f>IF($AO$219=0,0,$AP$219/$AO$219)</f>
        <v>0.41605839416058393</v>
      </c>
    </row>
    <row r="220" spans="40:43" x14ac:dyDescent="0.3">
      <c r="AN220" s="51" t="s">
        <v>120</v>
      </c>
      <c r="AO220" s="48">
        <v>23241000</v>
      </c>
      <c r="AP220" s="48">
        <v>9141000</v>
      </c>
      <c r="AQ220" s="63">
        <f>IF($AO$220=0,0,$AP$220/$AO$220)</f>
        <v>0.39331354072544211</v>
      </c>
    </row>
    <row r="221" spans="40:43" x14ac:dyDescent="0.3">
      <c r="AN221" s="51" t="s">
        <v>243</v>
      </c>
      <c r="AO221" s="48">
        <v>1368000</v>
      </c>
      <c r="AP221" s="48">
        <v>708000</v>
      </c>
      <c r="AQ221" s="63">
        <f>IF($AO$221=0,0,$AP$221/$AO$221)</f>
        <v>0.51754385964912286</v>
      </c>
    </row>
    <row r="222" spans="40:43" x14ac:dyDescent="0.3">
      <c r="AN222" s="51" t="s">
        <v>206</v>
      </c>
      <c r="AO222" s="48">
        <v>8168000</v>
      </c>
      <c r="AP222" s="48">
        <v>3468000</v>
      </c>
      <c r="AQ222" s="63">
        <f>IF($AO$222=0,0,$AP$222/$AO$222)</f>
        <v>0.42458374142997063</v>
      </c>
    </row>
    <row r="223" spans="40:43" x14ac:dyDescent="0.3">
      <c r="AN223" s="51" t="s">
        <v>717</v>
      </c>
      <c r="AO223" s="48">
        <v>269283456</v>
      </c>
      <c r="AP223" s="48">
        <v>56843559</v>
      </c>
      <c r="AQ223" s="49">
        <f>IF($AO$223=0,0,$AP$223/$AO$223)</f>
        <v>0.21109190978297604</v>
      </c>
    </row>
  </sheetData>
  <pageMargins left="0.7" right="0.7" top="0.75" bottom="0.75" header="0.3" footer="0.3"/>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996-7491-4D21-8538-839F32EB903A}">
  <dimension ref="A1:AB57"/>
  <sheetViews>
    <sheetView zoomScale="72" zoomScaleNormal="70" workbookViewId="0">
      <selection activeCell="Z1" sqref="Z1"/>
    </sheetView>
  </sheetViews>
  <sheetFormatPr defaultRowHeight="14.4" x14ac:dyDescent="0.3"/>
  <cols>
    <col min="1" max="1" width="21.88671875" bestFit="1" customWidth="1"/>
    <col min="2" max="2" width="15" bestFit="1" customWidth="1"/>
    <col min="3" max="3" width="15.33203125" bestFit="1" customWidth="1"/>
    <col min="4" max="4" width="15.44140625" bestFit="1" customWidth="1"/>
    <col min="5" max="5" width="16.44140625" bestFit="1" customWidth="1"/>
    <col min="6" max="6" width="33" bestFit="1" customWidth="1"/>
    <col min="7" max="7" width="16.77734375" bestFit="1" customWidth="1"/>
    <col min="9" max="9" width="25.21875" bestFit="1" customWidth="1"/>
    <col min="10" max="10" width="25.33203125" bestFit="1" customWidth="1"/>
    <col min="11" max="11" width="13.5546875" bestFit="1" customWidth="1"/>
    <col min="12" max="13" width="15.44140625" bestFit="1" customWidth="1"/>
    <col min="15" max="15" width="30.109375" bestFit="1" customWidth="1"/>
    <col min="16" max="16" width="15.5546875" bestFit="1" customWidth="1"/>
  </cols>
  <sheetData>
    <row r="1" spans="1:28" x14ac:dyDescent="0.3">
      <c r="A1" s="50" t="s">
        <v>753</v>
      </c>
      <c r="B1" t="s">
        <v>748</v>
      </c>
      <c r="D1" t="s">
        <v>752</v>
      </c>
      <c r="F1" s="50" t="s">
        <v>753</v>
      </c>
      <c r="G1" t="s">
        <v>750</v>
      </c>
      <c r="J1" s="50" t="s">
        <v>753</v>
      </c>
      <c r="K1" t="s">
        <v>748</v>
      </c>
      <c r="Y1" t="s">
        <v>760</v>
      </c>
      <c r="Z1" t="str">
        <f>TEXT(VLOOKUP("Grand Total", 'Customer Pivot'!$A$1:$B$11, 2, FALSE), "#,##0 ""VNĐ""")</f>
        <v>269,283,456 VNĐ</v>
      </c>
    </row>
    <row r="2" spans="1:28" x14ac:dyDescent="0.3">
      <c r="A2" s="51" t="s">
        <v>641</v>
      </c>
      <c r="B2" s="48">
        <v>52659100</v>
      </c>
      <c r="D2" s="49">
        <v>4.6250101481939886E-2</v>
      </c>
      <c r="F2" s="51" t="s">
        <v>641</v>
      </c>
      <c r="G2" s="96">
        <v>127</v>
      </c>
      <c r="J2" s="51" t="s">
        <v>641</v>
      </c>
      <c r="K2" s="48">
        <v>52659100</v>
      </c>
      <c r="Y2" t="s">
        <v>761</v>
      </c>
      <c r="Z2" t="str">
        <f>TEXT(VLOOKUP("Grand Total", 'Customer Pivot'!$A$12:$C$22, 2, FALSE), "#,##0 ""VNĐ""")</f>
        <v>56,843,559 VNĐ</v>
      </c>
    </row>
    <row r="3" spans="1:28" x14ac:dyDescent="0.3">
      <c r="A3" s="51" t="s">
        <v>650</v>
      </c>
      <c r="B3" s="48">
        <v>25980700</v>
      </c>
      <c r="F3" s="51" t="s">
        <v>650</v>
      </c>
      <c r="G3" s="96">
        <v>32</v>
      </c>
      <c r="J3" s="51" t="s">
        <v>650</v>
      </c>
      <c r="K3" s="48">
        <v>25980700</v>
      </c>
      <c r="Y3" t="s">
        <v>762</v>
      </c>
      <c r="Z3" t="str">
        <f>TEXT(VLOOKUP("Grand Total", 'Customer Pivot'!$A$12:$C$22, 3, FALSE), "0.00%")</f>
        <v>17.43%</v>
      </c>
    </row>
    <row r="4" spans="1:28" x14ac:dyDescent="0.3">
      <c r="A4" s="51" t="s">
        <v>656</v>
      </c>
      <c r="B4" s="48">
        <v>5521000</v>
      </c>
      <c r="D4" s="49">
        <f>D2</f>
        <v>4.6250101481939886E-2</v>
      </c>
      <c r="F4" s="51" t="s">
        <v>656</v>
      </c>
      <c r="G4" s="96">
        <v>36</v>
      </c>
      <c r="J4" s="51" t="s">
        <v>656</v>
      </c>
      <c r="K4" s="48">
        <v>5521000</v>
      </c>
      <c r="Y4" t="s">
        <v>761</v>
      </c>
      <c r="Z4" t="str">
        <f>TEXT(VLOOKUP("Grand Total", 'Customer Pivot'!$F$1:$G$11, 2, FALSE), "#,##0 ""đơn""")</f>
        <v>705 đơn</v>
      </c>
    </row>
    <row r="5" spans="1:28" x14ac:dyDescent="0.3">
      <c r="A5" s="51" t="s">
        <v>644</v>
      </c>
      <c r="B5" s="48">
        <v>102689500</v>
      </c>
      <c r="F5" s="51" t="s">
        <v>644</v>
      </c>
      <c r="G5" s="96">
        <v>338</v>
      </c>
      <c r="J5" s="51" t="s">
        <v>644</v>
      </c>
      <c r="K5" s="48">
        <v>102689500</v>
      </c>
      <c r="Y5" t="s">
        <v>763</v>
      </c>
      <c r="Z5" t="str">
        <f>TEXT(VLOOKUP("Grand Total", 'Customer Pivot'!$A$23:$B$33, 2, FALSE), "#,##0 ""khách""")</f>
        <v>159 khách</v>
      </c>
    </row>
    <row r="6" spans="1:28" x14ac:dyDescent="0.3">
      <c r="A6" s="51" t="s">
        <v>659</v>
      </c>
      <c r="B6" s="48">
        <v>82433156</v>
      </c>
      <c r="F6" s="51" t="s">
        <v>659</v>
      </c>
      <c r="G6" s="96">
        <v>172</v>
      </c>
      <c r="J6" s="51" t="s">
        <v>659</v>
      </c>
      <c r="K6" s="48">
        <v>82433156</v>
      </c>
      <c r="Y6" t="s">
        <v>764</v>
      </c>
      <c r="Z6" t="str">
        <f>TEXT(VLOOKUP("Grand Total", 'Customer Pivot'!$A$1:$B$11, 2, FALSE) / VLOOKUP("Grand Total", 'Customer Pivot'!$F$1:$G$11, 2, FALSE), "#,##0 ""VNĐ/đơn""")</f>
        <v>381,962 VNĐ/đơn</v>
      </c>
    </row>
    <row r="7" spans="1:28" x14ac:dyDescent="0.3">
      <c r="A7" s="51" t="s">
        <v>717</v>
      </c>
      <c r="B7" s="48">
        <v>269283456</v>
      </c>
      <c r="F7" s="51" t="s">
        <v>717</v>
      </c>
      <c r="G7" s="96">
        <v>705</v>
      </c>
      <c r="J7" s="51" t="s">
        <v>717</v>
      </c>
      <c r="K7" s="48">
        <v>269283456</v>
      </c>
    </row>
    <row r="9" spans="1:28" ht="17.399999999999999" customHeight="1" x14ac:dyDescent="0.3">
      <c r="A9" s="54"/>
      <c r="B9" s="58">
        <f>B3</f>
        <v>25980700</v>
      </c>
      <c r="C9" s="53"/>
      <c r="D9" s="54"/>
      <c r="G9">
        <f>G3</f>
        <v>32</v>
      </c>
      <c r="J9" s="54"/>
      <c r="K9" s="58">
        <f>K3</f>
        <v>25980700</v>
      </c>
    </row>
    <row r="10" spans="1:28" x14ac:dyDescent="0.3">
      <c r="Z10">
        <f>GETPIVOTDATA("[Measures].[Sum of Doanh Thu]", $A$1)</f>
        <v>269283456</v>
      </c>
      <c r="AA10" t="s">
        <v>10</v>
      </c>
      <c r="AB10" t="s">
        <v>8</v>
      </c>
    </row>
    <row r="11" spans="1:28" x14ac:dyDescent="0.3">
      <c r="AA11" t="s">
        <v>217</v>
      </c>
      <c r="AB11">
        <v>7758000</v>
      </c>
    </row>
    <row r="12" spans="1:28" x14ac:dyDescent="0.3">
      <c r="A12" s="50" t="s">
        <v>753</v>
      </c>
      <c r="B12" s="95" t="s">
        <v>749</v>
      </c>
      <c r="C12" s="49" t="s">
        <v>755</v>
      </c>
      <c r="F12" s="50" t="s">
        <v>753</v>
      </c>
      <c r="G12" t="s">
        <v>765</v>
      </c>
      <c r="J12" s="50" t="s">
        <v>753</v>
      </c>
      <c r="K12" t="s">
        <v>751</v>
      </c>
      <c r="AA12" t="s">
        <v>239</v>
      </c>
      <c r="AB12">
        <v>5321000</v>
      </c>
    </row>
    <row r="13" spans="1:28" x14ac:dyDescent="0.3">
      <c r="A13" s="51" t="s">
        <v>641</v>
      </c>
      <c r="B13" s="48">
        <v>9358117</v>
      </c>
      <c r="C13" s="49">
        <v>0.19424003605642004</v>
      </c>
      <c r="F13" s="51" t="s">
        <v>61</v>
      </c>
      <c r="G13" s="96">
        <v>11022000</v>
      </c>
      <c r="J13" s="51">
        <v>9</v>
      </c>
      <c r="K13" s="96"/>
      <c r="AA13" t="s">
        <v>61</v>
      </c>
      <c r="AB13">
        <v>4965000</v>
      </c>
    </row>
    <row r="14" spans="1:28" x14ac:dyDescent="0.3">
      <c r="A14" s="51" t="s">
        <v>650</v>
      </c>
      <c r="B14" s="48">
        <v>7145178</v>
      </c>
      <c r="C14" s="49">
        <v>0.17046093029218856</v>
      </c>
      <c r="F14" s="51" t="s">
        <v>85</v>
      </c>
      <c r="G14" s="96">
        <v>10078000</v>
      </c>
      <c r="J14" s="55" t="s">
        <v>641</v>
      </c>
      <c r="K14" s="96">
        <v>33</v>
      </c>
      <c r="AA14" t="s">
        <v>29</v>
      </c>
      <c r="AB14">
        <v>3744000</v>
      </c>
    </row>
    <row r="15" spans="1:28" x14ac:dyDescent="0.3">
      <c r="A15" s="51" t="s">
        <v>656</v>
      </c>
      <c r="B15" s="48">
        <v>1395083</v>
      </c>
      <c r="C15" s="49">
        <v>0.12969009289157032</v>
      </c>
      <c r="F15" s="51" t="s">
        <v>398</v>
      </c>
      <c r="G15" s="96">
        <v>8626400</v>
      </c>
      <c r="J15" s="55" t="s">
        <v>650</v>
      </c>
      <c r="K15" s="96">
        <v>1</v>
      </c>
      <c r="AA15" t="s">
        <v>262</v>
      </c>
      <c r="AB15">
        <v>3360000</v>
      </c>
    </row>
    <row r="16" spans="1:28" x14ac:dyDescent="0.3">
      <c r="A16" s="51" t="s">
        <v>644</v>
      </c>
      <c r="B16" s="48">
        <v>19740013</v>
      </c>
      <c r="C16" s="49">
        <v>0.15564753286139321</v>
      </c>
      <c r="F16" s="51" t="s">
        <v>217</v>
      </c>
      <c r="G16" s="96">
        <v>8520000</v>
      </c>
      <c r="J16" s="55" t="s">
        <v>656</v>
      </c>
      <c r="K16" s="96">
        <v>1</v>
      </c>
      <c r="AA16" t="s">
        <v>82</v>
      </c>
      <c r="AB16">
        <v>3014400</v>
      </c>
    </row>
    <row r="17" spans="1:28" x14ac:dyDescent="0.3">
      <c r="A17" s="51" t="s">
        <v>659</v>
      </c>
      <c r="B17" s="48">
        <v>19205168</v>
      </c>
      <c r="C17" s="49">
        <v>0.20633796811788405</v>
      </c>
      <c r="F17" s="51" t="s">
        <v>29</v>
      </c>
      <c r="G17" s="96">
        <v>8334000</v>
      </c>
      <c r="J17" s="55" t="s">
        <v>644</v>
      </c>
      <c r="K17" s="96">
        <v>24</v>
      </c>
      <c r="AA17" t="s">
        <v>259</v>
      </c>
      <c r="AB17">
        <v>2995000</v>
      </c>
    </row>
    <row r="18" spans="1:28" ht="17.399999999999999" customHeight="1" x14ac:dyDescent="0.3">
      <c r="A18" s="51" t="s">
        <v>717</v>
      </c>
      <c r="B18" s="48">
        <v>56843559</v>
      </c>
      <c r="C18" s="49">
        <v>0.17431358059012617</v>
      </c>
      <c r="F18" s="51" t="s">
        <v>717</v>
      </c>
      <c r="G18" s="96">
        <v>46580400</v>
      </c>
      <c r="J18" s="55" t="s">
        <v>659</v>
      </c>
      <c r="K18" s="96">
        <v>17</v>
      </c>
      <c r="AA18" t="s">
        <v>33</v>
      </c>
      <c r="AB18">
        <v>2598000</v>
      </c>
    </row>
    <row r="19" spans="1:28" x14ac:dyDescent="0.3">
      <c r="J19" s="51">
        <v>10</v>
      </c>
      <c r="K19" s="96"/>
      <c r="AA19" t="s">
        <v>85</v>
      </c>
      <c r="AB19">
        <v>2360000</v>
      </c>
    </row>
    <row r="20" spans="1:28" x14ac:dyDescent="0.3">
      <c r="B20" s="48">
        <f>B14</f>
        <v>7145178</v>
      </c>
      <c r="C20" s="49">
        <f>C14</f>
        <v>0.17046093029218856</v>
      </c>
      <c r="J20" s="55" t="s">
        <v>641</v>
      </c>
      <c r="K20" s="96">
        <v>30</v>
      </c>
      <c r="AA20" t="s">
        <v>19</v>
      </c>
      <c r="AB20">
        <v>2136840</v>
      </c>
    </row>
    <row r="21" spans="1:28" x14ac:dyDescent="0.3">
      <c r="J21" s="55" t="s">
        <v>650</v>
      </c>
      <c r="K21" s="96">
        <v>2</v>
      </c>
    </row>
    <row r="22" spans="1:28" x14ac:dyDescent="0.3">
      <c r="J22" s="55" t="s">
        <v>656</v>
      </c>
      <c r="K22" s="96">
        <v>8</v>
      </c>
    </row>
    <row r="23" spans="1:28" x14ac:dyDescent="0.3">
      <c r="A23" s="50" t="s">
        <v>753</v>
      </c>
      <c r="B23" t="s">
        <v>754</v>
      </c>
      <c r="J23" s="55" t="s">
        <v>644</v>
      </c>
      <c r="K23" s="96">
        <v>27</v>
      </c>
    </row>
    <row r="24" spans="1:28" x14ac:dyDescent="0.3">
      <c r="A24" s="51" t="s">
        <v>641</v>
      </c>
      <c r="B24" s="96">
        <v>54</v>
      </c>
      <c r="J24" s="55" t="s">
        <v>659</v>
      </c>
      <c r="K24" s="96">
        <v>13</v>
      </c>
    </row>
    <row r="25" spans="1:28" x14ac:dyDescent="0.3">
      <c r="A25" s="51" t="s">
        <v>650</v>
      </c>
      <c r="B25" s="96">
        <v>22</v>
      </c>
      <c r="J25" s="51">
        <v>11</v>
      </c>
      <c r="K25" s="96"/>
    </row>
    <row r="26" spans="1:28" x14ac:dyDescent="0.3">
      <c r="A26" s="51" t="s">
        <v>656</v>
      </c>
      <c r="B26" s="96">
        <v>16</v>
      </c>
      <c r="J26" s="55" t="s">
        <v>650</v>
      </c>
      <c r="K26" s="96">
        <v>22</v>
      </c>
    </row>
    <row r="27" spans="1:28" x14ac:dyDescent="0.3">
      <c r="A27" s="51" t="s">
        <v>644</v>
      </c>
      <c r="B27" s="96">
        <v>47</v>
      </c>
      <c r="J27" s="55" t="s">
        <v>656</v>
      </c>
      <c r="K27" s="96">
        <v>8</v>
      </c>
    </row>
    <row r="28" spans="1:28" x14ac:dyDescent="0.3">
      <c r="A28" s="51" t="s">
        <v>659</v>
      </c>
      <c r="B28" s="96">
        <v>20</v>
      </c>
      <c r="J28" s="55" t="s">
        <v>644</v>
      </c>
      <c r="K28" s="96">
        <v>42</v>
      </c>
    </row>
    <row r="29" spans="1:28" x14ac:dyDescent="0.3">
      <c r="A29" s="51" t="s">
        <v>717</v>
      </c>
      <c r="B29" s="96">
        <v>159</v>
      </c>
      <c r="J29" s="55" t="s">
        <v>659</v>
      </c>
      <c r="K29" s="96">
        <v>20</v>
      </c>
    </row>
    <row r="30" spans="1:28" x14ac:dyDescent="0.3">
      <c r="J30" s="51" t="s">
        <v>717</v>
      </c>
      <c r="K30" s="96">
        <v>159</v>
      </c>
    </row>
    <row r="31" spans="1:28" x14ac:dyDescent="0.3">
      <c r="B31">
        <f>B25</f>
        <v>22</v>
      </c>
    </row>
    <row r="33" spans="1:4" ht="16.8" customHeight="1" x14ac:dyDescent="0.3"/>
    <row r="48" spans="1:4" x14ac:dyDescent="0.3">
      <c r="A48" s="59"/>
      <c r="B48" s="59"/>
      <c r="C48" s="59"/>
      <c r="D48" s="59"/>
    </row>
    <row r="50" spans="1:12" x14ac:dyDescent="0.3">
      <c r="A50" s="59"/>
      <c r="B50" s="59"/>
      <c r="C50" s="59"/>
      <c r="D50" s="59"/>
      <c r="I50" s="60"/>
      <c r="J50" s="60"/>
      <c r="K50" s="60"/>
      <c r="L50" s="60"/>
    </row>
    <row r="54" spans="1:12" x14ac:dyDescent="0.3">
      <c r="I54" s="59"/>
      <c r="J54" s="59"/>
      <c r="K54" s="59"/>
      <c r="L54" s="59"/>
    </row>
    <row r="57" spans="1:12" x14ac:dyDescent="0.3">
      <c r="I57" s="59"/>
      <c r="J57" s="59"/>
      <c r="K57" s="59"/>
      <c r="L57" s="59"/>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0"/>
  <sheetViews>
    <sheetView workbookViewId="0">
      <pane ySplit="1" topLeftCell="A147" activePane="bottomLeft" state="frozen"/>
      <selection pane="bottomLeft" activeCell="H12" sqref="H12"/>
    </sheetView>
  </sheetViews>
  <sheetFormatPr defaultRowHeight="14.4" x14ac:dyDescent="0.3"/>
  <cols>
    <col min="1" max="1" width="39" customWidth="1"/>
    <col min="2" max="2" width="21" customWidth="1"/>
    <col min="3" max="3" width="12" customWidth="1"/>
    <col min="4" max="4" width="11" customWidth="1"/>
    <col min="5" max="8" width="8" customWidth="1"/>
    <col min="9" max="9" width="24" customWidth="1"/>
  </cols>
  <sheetData>
    <row r="1" spans="1:9" x14ac:dyDescent="0.3">
      <c r="A1" s="1" t="s">
        <v>10</v>
      </c>
      <c r="B1" s="1" t="s">
        <v>632</v>
      </c>
      <c r="C1" s="1" t="s">
        <v>633</v>
      </c>
      <c r="D1" s="1" t="s">
        <v>634</v>
      </c>
      <c r="E1" s="1" t="s">
        <v>635</v>
      </c>
      <c r="F1" s="1" t="s">
        <v>636</v>
      </c>
      <c r="G1" s="1" t="s">
        <v>637</v>
      </c>
      <c r="H1" s="1" t="s">
        <v>638</v>
      </c>
      <c r="I1" s="1" t="s">
        <v>639</v>
      </c>
    </row>
    <row r="2" spans="1:9" x14ac:dyDescent="0.3">
      <c r="A2" s="3" t="s">
        <v>404</v>
      </c>
      <c r="B2" s="5">
        <v>45213</v>
      </c>
      <c r="C2" s="2">
        <v>3</v>
      </c>
      <c r="D2" s="4">
        <v>1034000</v>
      </c>
      <c r="E2" s="2">
        <v>2</v>
      </c>
      <c r="F2" s="2">
        <v>3</v>
      </c>
      <c r="G2" s="2">
        <v>3</v>
      </c>
      <c r="H2" s="2" t="s">
        <v>640</v>
      </c>
      <c r="I2" s="12" t="s">
        <v>641</v>
      </c>
    </row>
    <row r="3" spans="1:9" x14ac:dyDescent="0.3">
      <c r="A3" s="8" t="s">
        <v>202</v>
      </c>
      <c r="B3" s="10">
        <v>45185</v>
      </c>
      <c r="C3" s="7">
        <v>1</v>
      </c>
      <c r="D3" s="9">
        <v>360000</v>
      </c>
      <c r="E3" s="7">
        <v>1</v>
      </c>
      <c r="F3" s="7">
        <v>1</v>
      </c>
      <c r="G3" s="7">
        <v>2</v>
      </c>
      <c r="H3" s="7" t="s">
        <v>642</v>
      </c>
      <c r="I3" s="12" t="s">
        <v>641</v>
      </c>
    </row>
    <row r="4" spans="1:9" x14ac:dyDescent="0.3">
      <c r="A4" s="3" t="s">
        <v>630</v>
      </c>
      <c r="B4" s="5">
        <v>45260</v>
      </c>
      <c r="C4" s="2">
        <v>3</v>
      </c>
      <c r="D4" s="4">
        <v>445000</v>
      </c>
      <c r="E4" s="2">
        <v>5</v>
      </c>
      <c r="F4" s="2">
        <v>3</v>
      </c>
      <c r="G4" s="2">
        <v>2</v>
      </c>
      <c r="H4" s="2" t="s">
        <v>643</v>
      </c>
      <c r="I4" s="13" t="s">
        <v>644</v>
      </c>
    </row>
    <row r="5" spans="1:9" x14ac:dyDescent="0.3">
      <c r="A5" s="8" t="s">
        <v>449</v>
      </c>
      <c r="B5" s="10">
        <v>45226</v>
      </c>
      <c r="C5" s="7">
        <v>1</v>
      </c>
      <c r="D5" s="9">
        <v>360000</v>
      </c>
      <c r="E5" s="7">
        <v>2</v>
      </c>
      <c r="F5" s="7">
        <v>1</v>
      </c>
      <c r="G5" s="7">
        <v>2</v>
      </c>
      <c r="H5" s="7" t="s">
        <v>645</v>
      </c>
      <c r="I5" s="12" t="s">
        <v>641</v>
      </c>
    </row>
    <row r="6" spans="1:9" x14ac:dyDescent="0.3">
      <c r="A6" s="3" t="s">
        <v>159</v>
      </c>
      <c r="B6" s="5">
        <v>45239</v>
      </c>
      <c r="C6" s="2">
        <v>12</v>
      </c>
      <c r="D6" s="4">
        <v>3277000</v>
      </c>
      <c r="E6" s="2">
        <v>3</v>
      </c>
      <c r="F6" s="2">
        <v>5</v>
      </c>
      <c r="G6" s="2">
        <v>5</v>
      </c>
      <c r="H6" s="2" t="s">
        <v>646</v>
      </c>
      <c r="I6" s="13" t="s">
        <v>644</v>
      </c>
    </row>
    <row r="7" spans="1:9" x14ac:dyDescent="0.3">
      <c r="A7" s="8" t="s">
        <v>222</v>
      </c>
      <c r="B7" s="10">
        <v>45213</v>
      </c>
      <c r="C7" s="7">
        <v>5</v>
      </c>
      <c r="D7" s="9">
        <v>1941000</v>
      </c>
      <c r="E7" s="7">
        <v>2</v>
      </c>
      <c r="F7" s="7">
        <v>4</v>
      </c>
      <c r="G7" s="7">
        <v>4</v>
      </c>
      <c r="H7" s="7" t="s">
        <v>647</v>
      </c>
      <c r="I7" s="12" t="s">
        <v>641</v>
      </c>
    </row>
    <row r="8" spans="1:9" x14ac:dyDescent="0.3">
      <c r="A8" s="3" t="s">
        <v>627</v>
      </c>
      <c r="B8" s="5">
        <v>45260</v>
      </c>
      <c r="C8" s="2">
        <v>3</v>
      </c>
      <c r="D8" s="4">
        <v>520000</v>
      </c>
      <c r="E8" s="2">
        <v>5</v>
      </c>
      <c r="F8" s="2">
        <v>3</v>
      </c>
      <c r="G8" s="2">
        <v>2</v>
      </c>
      <c r="H8" s="2" t="s">
        <v>643</v>
      </c>
      <c r="I8" s="13" t="s">
        <v>644</v>
      </c>
    </row>
    <row r="9" spans="1:9" x14ac:dyDescent="0.3">
      <c r="A9" s="8" t="s">
        <v>401</v>
      </c>
      <c r="B9" s="10">
        <v>45213</v>
      </c>
      <c r="C9" s="7">
        <v>1</v>
      </c>
      <c r="D9" s="9">
        <v>312000</v>
      </c>
      <c r="E9" s="7">
        <v>2</v>
      </c>
      <c r="F9" s="7">
        <v>1</v>
      </c>
      <c r="G9" s="7">
        <v>2</v>
      </c>
      <c r="H9" s="7" t="s">
        <v>645</v>
      </c>
      <c r="I9" s="12" t="s">
        <v>641</v>
      </c>
    </row>
    <row r="10" spans="1:9" x14ac:dyDescent="0.3">
      <c r="A10" s="3" t="s">
        <v>167</v>
      </c>
      <c r="B10" s="5">
        <v>45239</v>
      </c>
      <c r="C10" s="2">
        <v>10</v>
      </c>
      <c r="D10" s="4">
        <v>1022000</v>
      </c>
      <c r="E10" s="2">
        <v>3</v>
      </c>
      <c r="F10" s="2">
        <v>5</v>
      </c>
      <c r="G10" s="2">
        <v>3</v>
      </c>
      <c r="H10" s="2" t="s">
        <v>648</v>
      </c>
      <c r="I10" s="13" t="s">
        <v>644</v>
      </c>
    </row>
    <row r="11" spans="1:9" x14ac:dyDescent="0.3">
      <c r="A11" s="8" t="s">
        <v>564</v>
      </c>
      <c r="B11" s="10">
        <v>45243</v>
      </c>
      <c r="C11" s="7">
        <v>2</v>
      </c>
      <c r="D11" s="9">
        <v>275000</v>
      </c>
      <c r="E11" s="7">
        <v>4</v>
      </c>
      <c r="F11" s="7">
        <v>2</v>
      </c>
      <c r="G11" s="7">
        <v>1</v>
      </c>
      <c r="H11" s="7" t="s">
        <v>649</v>
      </c>
      <c r="I11" s="14" t="s">
        <v>650</v>
      </c>
    </row>
    <row r="12" spans="1:9" x14ac:dyDescent="0.3">
      <c r="A12" s="3" t="s">
        <v>142</v>
      </c>
      <c r="B12" s="5">
        <v>45183</v>
      </c>
      <c r="C12" s="2">
        <v>2</v>
      </c>
      <c r="D12" s="4">
        <v>734000</v>
      </c>
      <c r="E12" s="2">
        <v>1</v>
      </c>
      <c r="F12" s="2">
        <v>2</v>
      </c>
      <c r="G12" s="2">
        <v>3</v>
      </c>
      <c r="H12" s="2" t="s">
        <v>651</v>
      </c>
      <c r="I12" s="12" t="s">
        <v>641</v>
      </c>
    </row>
    <row r="13" spans="1:9" x14ac:dyDescent="0.3">
      <c r="A13" s="8" t="s">
        <v>468</v>
      </c>
      <c r="B13" s="10">
        <v>45243</v>
      </c>
      <c r="C13" s="7">
        <v>2</v>
      </c>
      <c r="D13" s="9">
        <v>612000</v>
      </c>
      <c r="E13" s="7">
        <v>4</v>
      </c>
      <c r="F13" s="7">
        <v>2</v>
      </c>
      <c r="G13" s="7">
        <v>2</v>
      </c>
      <c r="H13" s="7" t="s">
        <v>652</v>
      </c>
      <c r="I13" s="14" t="s">
        <v>650</v>
      </c>
    </row>
    <row r="14" spans="1:9" x14ac:dyDescent="0.3">
      <c r="A14" s="3" t="s">
        <v>614</v>
      </c>
      <c r="B14" s="5">
        <v>45255</v>
      </c>
      <c r="C14" s="2">
        <v>2</v>
      </c>
      <c r="D14" s="4">
        <v>1886000</v>
      </c>
      <c r="E14" s="2">
        <v>5</v>
      </c>
      <c r="F14" s="2">
        <v>2</v>
      </c>
      <c r="G14" s="2">
        <v>4</v>
      </c>
      <c r="H14" s="2" t="s">
        <v>653</v>
      </c>
      <c r="I14" s="14" t="s">
        <v>650</v>
      </c>
    </row>
    <row r="15" spans="1:9" x14ac:dyDescent="0.3">
      <c r="A15" s="8" t="s">
        <v>26</v>
      </c>
      <c r="B15" s="10">
        <v>45213</v>
      </c>
      <c r="C15" s="7">
        <v>3</v>
      </c>
      <c r="D15" s="9">
        <v>2780000</v>
      </c>
      <c r="E15" s="7">
        <v>2</v>
      </c>
      <c r="F15" s="7">
        <v>3</v>
      </c>
      <c r="G15" s="7">
        <v>5</v>
      </c>
      <c r="H15" s="7" t="s">
        <v>654</v>
      </c>
      <c r="I15" s="12" t="s">
        <v>641</v>
      </c>
    </row>
    <row r="16" spans="1:9" x14ac:dyDescent="0.3">
      <c r="A16" s="3" t="s">
        <v>542</v>
      </c>
      <c r="B16" s="5">
        <v>45240</v>
      </c>
      <c r="C16" s="2">
        <v>2</v>
      </c>
      <c r="D16" s="4">
        <v>157000</v>
      </c>
      <c r="E16" s="2">
        <v>3</v>
      </c>
      <c r="F16" s="2">
        <v>2</v>
      </c>
      <c r="G16" s="2">
        <v>1</v>
      </c>
      <c r="H16" s="2" t="s">
        <v>655</v>
      </c>
      <c r="I16" s="15" t="s">
        <v>656</v>
      </c>
    </row>
    <row r="17" spans="1:9" x14ac:dyDescent="0.3">
      <c r="A17" s="8" t="s">
        <v>338</v>
      </c>
      <c r="B17" s="10">
        <v>45234</v>
      </c>
      <c r="C17" s="7">
        <v>3</v>
      </c>
      <c r="D17" s="9">
        <v>754000</v>
      </c>
      <c r="E17" s="7">
        <v>3</v>
      </c>
      <c r="F17" s="7">
        <v>3</v>
      </c>
      <c r="G17" s="7">
        <v>3</v>
      </c>
      <c r="H17" s="7" t="s">
        <v>657</v>
      </c>
      <c r="I17" s="13" t="s">
        <v>644</v>
      </c>
    </row>
    <row r="18" spans="1:9" x14ac:dyDescent="0.3">
      <c r="A18" s="3" t="s">
        <v>217</v>
      </c>
      <c r="B18" s="5">
        <v>45255</v>
      </c>
      <c r="C18" s="2">
        <v>7</v>
      </c>
      <c r="D18" s="4">
        <v>8520000</v>
      </c>
      <c r="E18" s="2">
        <v>5</v>
      </c>
      <c r="F18" s="2">
        <v>4</v>
      </c>
      <c r="G18" s="2">
        <v>5</v>
      </c>
      <c r="H18" s="2" t="s">
        <v>658</v>
      </c>
      <c r="I18" s="16" t="s">
        <v>659</v>
      </c>
    </row>
    <row r="19" spans="1:9" x14ac:dyDescent="0.3">
      <c r="A19" s="8" t="s">
        <v>308</v>
      </c>
      <c r="B19" s="10">
        <v>45260</v>
      </c>
      <c r="C19" s="7">
        <v>7</v>
      </c>
      <c r="D19" s="9">
        <v>1453000</v>
      </c>
      <c r="E19" s="7">
        <v>5</v>
      </c>
      <c r="F19" s="7">
        <v>4</v>
      </c>
      <c r="G19" s="7">
        <v>4</v>
      </c>
      <c r="H19" s="7" t="s">
        <v>660</v>
      </c>
      <c r="I19" s="16" t="s">
        <v>659</v>
      </c>
    </row>
    <row r="20" spans="1:9" x14ac:dyDescent="0.3">
      <c r="A20" s="3" t="s">
        <v>469</v>
      </c>
      <c r="B20" s="5">
        <v>45243</v>
      </c>
      <c r="C20" s="2">
        <v>3</v>
      </c>
      <c r="D20" s="4">
        <v>450000</v>
      </c>
      <c r="E20" s="2">
        <v>4</v>
      </c>
      <c r="F20" s="2">
        <v>3</v>
      </c>
      <c r="G20" s="2">
        <v>2</v>
      </c>
      <c r="H20" s="2" t="s">
        <v>661</v>
      </c>
      <c r="I20" s="13" t="s">
        <v>644</v>
      </c>
    </row>
    <row r="21" spans="1:9" x14ac:dyDescent="0.3">
      <c r="A21" s="8" t="s">
        <v>208</v>
      </c>
      <c r="B21" s="10">
        <v>45185</v>
      </c>
      <c r="C21" s="7">
        <v>1</v>
      </c>
      <c r="D21" s="9">
        <v>521000</v>
      </c>
      <c r="E21" s="7">
        <v>1</v>
      </c>
      <c r="F21" s="7">
        <v>1</v>
      </c>
      <c r="G21" s="7">
        <v>2</v>
      </c>
      <c r="H21" s="7" t="s">
        <v>642</v>
      </c>
      <c r="I21" s="12" t="s">
        <v>641</v>
      </c>
    </row>
    <row r="22" spans="1:9" x14ac:dyDescent="0.3">
      <c r="A22" s="3" t="s">
        <v>340</v>
      </c>
      <c r="B22" s="5">
        <v>45202</v>
      </c>
      <c r="C22" s="2">
        <v>1</v>
      </c>
      <c r="D22" s="4">
        <v>1308000</v>
      </c>
      <c r="E22" s="2">
        <v>1</v>
      </c>
      <c r="F22" s="2">
        <v>1</v>
      </c>
      <c r="G22" s="2">
        <v>3</v>
      </c>
      <c r="H22" s="2" t="s">
        <v>662</v>
      </c>
      <c r="I22" s="12" t="s">
        <v>641</v>
      </c>
    </row>
    <row r="23" spans="1:9" x14ac:dyDescent="0.3">
      <c r="A23" s="8" t="s">
        <v>89</v>
      </c>
      <c r="B23" s="10">
        <v>45255</v>
      </c>
      <c r="C23" s="7">
        <v>5</v>
      </c>
      <c r="D23" s="9">
        <v>2058000</v>
      </c>
      <c r="E23" s="7">
        <v>5</v>
      </c>
      <c r="F23" s="7">
        <v>4</v>
      </c>
      <c r="G23" s="7">
        <v>4</v>
      </c>
      <c r="H23" s="7" t="s">
        <v>660</v>
      </c>
      <c r="I23" s="16" t="s">
        <v>659</v>
      </c>
    </row>
    <row r="24" spans="1:9" x14ac:dyDescent="0.3">
      <c r="A24" s="3" t="s">
        <v>453</v>
      </c>
      <c r="B24" s="5">
        <v>45226</v>
      </c>
      <c r="C24" s="2">
        <v>1</v>
      </c>
      <c r="D24" s="4">
        <v>268000</v>
      </c>
      <c r="E24" s="2">
        <v>2</v>
      </c>
      <c r="F24" s="2">
        <v>1</v>
      </c>
      <c r="G24" s="2">
        <v>1</v>
      </c>
      <c r="H24" s="2" t="s">
        <v>663</v>
      </c>
      <c r="I24" s="12" t="s">
        <v>641</v>
      </c>
    </row>
    <row r="25" spans="1:9" x14ac:dyDescent="0.3">
      <c r="A25" s="8" t="s">
        <v>446</v>
      </c>
      <c r="B25" s="10">
        <v>45225</v>
      </c>
      <c r="C25" s="7">
        <v>1</v>
      </c>
      <c r="D25" s="9">
        <v>300000</v>
      </c>
      <c r="E25" s="7">
        <v>2</v>
      </c>
      <c r="F25" s="7">
        <v>1</v>
      </c>
      <c r="G25" s="7">
        <v>1</v>
      </c>
      <c r="H25" s="7" t="s">
        <v>663</v>
      </c>
      <c r="I25" s="12" t="s">
        <v>641</v>
      </c>
    </row>
    <row r="26" spans="1:9" x14ac:dyDescent="0.3">
      <c r="A26" s="3" t="s">
        <v>457</v>
      </c>
      <c r="B26" s="5">
        <v>45227</v>
      </c>
      <c r="C26" s="2">
        <v>1</v>
      </c>
      <c r="D26" s="4">
        <v>327000</v>
      </c>
      <c r="E26" s="2">
        <v>3</v>
      </c>
      <c r="F26" s="2">
        <v>1</v>
      </c>
      <c r="G26" s="2">
        <v>2</v>
      </c>
      <c r="H26" s="2" t="s">
        <v>664</v>
      </c>
      <c r="I26" s="15" t="s">
        <v>656</v>
      </c>
    </row>
    <row r="27" spans="1:9" x14ac:dyDescent="0.3">
      <c r="A27" s="8" t="s">
        <v>42</v>
      </c>
      <c r="B27" s="10">
        <v>45244</v>
      </c>
      <c r="C27" s="7">
        <v>7</v>
      </c>
      <c r="D27" s="9">
        <v>3366000</v>
      </c>
      <c r="E27" s="7">
        <v>4</v>
      </c>
      <c r="F27" s="7">
        <v>4</v>
      </c>
      <c r="G27" s="7">
        <v>5</v>
      </c>
      <c r="H27" s="7" t="s">
        <v>665</v>
      </c>
      <c r="I27" s="13" t="s">
        <v>644</v>
      </c>
    </row>
    <row r="28" spans="1:9" x14ac:dyDescent="0.3">
      <c r="A28" s="3" t="s">
        <v>287</v>
      </c>
      <c r="B28" s="5">
        <v>45239</v>
      </c>
      <c r="C28" s="2">
        <v>17</v>
      </c>
      <c r="D28" s="4">
        <v>1889000</v>
      </c>
      <c r="E28" s="2">
        <v>3</v>
      </c>
      <c r="F28" s="2">
        <v>5</v>
      </c>
      <c r="G28" s="2">
        <v>4</v>
      </c>
      <c r="H28" s="2" t="s">
        <v>666</v>
      </c>
      <c r="I28" s="13" t="s">
        <v>644</v>
      </c>
    </row>
    <row r="29" spans="1:9" x14ac:dyDescent="0.3">
      <c r="A29" s="8" t="s">
        <v>482</v>
      </c>
      <c r="B29" s="10">
        <v>45227</v>
      </c>
      <c r="C29" s="7">
        <v>4</v>
      </c>
      <c r="D29" s="9">
        <v>275000</v>
      </c>
      <c r="E29" s="7">
        <v>3</v>
      </c>
      <c r="F29" s="7">
        <v>3</v>
      </c>
      <c r="G29" s="7">
        <v>1</v>
      </c>
      <c r="H29" s="7" t="s">
        <v>667</v>
      </c>
      <c r="I29" s="15" t="s">
        <v>656</v>
      </c>
    </row>
    <row r="30" spans="1:9" x14ac:dyDescent="0.3">
      <c r="A30" s="3" t="s">
        <v>123</v>
      </c>
      <c r="B30" s="5">
        <v>45227</v>
      </c>
      <c r="C30" s="2">
        <v>4</v>
      </c>
      <c r="D30" s="4">
        <v>2158000</v>
      </c>
      <c r="E30" s="2">
        <v>3</v>
      </c>
      <c r="F30" s="2">
        <v>3</v>
      </c>
      <c r="G30" s="2">
        <v>4</v>
      </c>
      <c r="H30" s="2" t="s">
        <v>668</v>
      </c>
      <c r="I30" s="13" t="s">
        <v>644</v>
      </c>
    </row>
    <row r="31" spans="1:9" x14ac:dyDescent="0.3">
      <c r="A31" s="8" t="s">
        <v>563</v>
      </c>
      <c r="B31" s="10">
        <v>45243</v>
      </c>
      <c r="C31" s="7">
        <v>1</v>
      </c>
      <c r="D31" s="9">
        <v>180000</v>
      </c>
      <c r="E31" s="7">
        <v>4</v>
      </c>
      <c r="F31" s="7">
        <v>1</v>
      </c>
      <c r="G31" s="7">
        <v>1</v>
      </c>
      <c r="H31" s="7" t="s">
        <v>669</v>
      </c>
      <c r="I31" s="14" t="s">
        <v>650</v>
      </c>
    </row>
    <row r="32" spans="1:9" x14ac:dyDescent="0.3">
      <c r="A32" s="3" t="s">
        <v>555</v>
      </c>
      <c r="B32" s="5">
        <v>45243</v>
      </c>
      <c r="C32" s="2">
        <v>1</v>
      </c>
      <c r="D32" s="4">
        <v>167000</v>
      </c>
      <c r="E32" s="2">
        <v>4</v>
      </c>
      <c r="F32" s="2">
        <v>1</v>
      </c>
      <c r="G32" s="2">
        <v>1</v>
      </c>
      <c r="H32" s="2" t="s">
        <v>669</v>
      </c>
      <c r="I32" s="14" t="s">
        <v>650</v>
      </c>
    </row>
    <row r="33" spans="1:9" x14ac:dyDescent="0.3">
      <c r="A33" s="8" t="s">
        <v>371</v>
      </c>
      <c r="B33" s="10">
        <v>45206</v>
      </c>
      <c r="C33" s="7">
        <v>1</v>
      </c>
      <c r="D33" s="9">
        <v>320000</v>
      </c>
      <c r="E33" s="7">
        <v>1</v>
      </c>
      <c r="F33" s="7">
        <v>1</v>
      </c>
      <c r="G33" s="7">
        <v>2</v>
      </c>
      <c r="H33" s="7" t="s">
        <v>642</v>
      </c>
      <c r="I33" s="12" t="s">
        <v>641</v>
      </c>
    </row>
    <row r="34" spans="1:9" x14ac:dyDescent="0.3">
      <c r="A34" s="3" t="s">
        <v>311</v>
      </c>
      <c r="B34" s="5">
        <v>45198</v>
      </c>
      <c r="C34" s="2">
        <v>1</v>
      </c>
      <c r="D34" s="4">
        <v>1308000</v>
      </c>
      <c r="E34" s="2">
        <v>1</v>
      </c>
      <c r="F34" s="2">
        <v>1</v>
      </c>
      <c r="G34" s="2">
        <v>3</v>
      </c>
      <c r="H34" s="2" t="s">
        <v>662</v>
      </c>
      <c r="I34" s="12" t="s">
        <v>641</v>
      </c>
    </row>
    <row r="35" spans="1:9" x14ac:dyDescent="0.3">
      <c r="A35" s="8" t="s">
        <v>199</v>
      </c>
      <c r="B35" s="10">
        <v>45255</v>
      </c>
      <c r="C35" s="7">
        <v>7</v>
      </c>
      <c r="D35" s="9">
        <v>1732000</v>
      </c>
      <c r="E35" s="7">
        <v>5</v>
      </c>
      <c r="F35" s="7">
        <v>4</v>
      </c>
      <c r="G35" s="7">
        <v>4</v>
      </c>
      <c r="H35" s="7" t="s">
        <v>660</v>
      </c>
      <c r="I35" s="16" t="s">
        <v>659</v>
      </c>
    </row>
    <row r="36" spans="1:9" x14ac:dyDescent="0.3">
      <c r="A36" s="3" t="s">
        <v>628</v>
      </c>
      <c r="B36" s="5">
        <v>45260</v>
      </c>
      <c r="C36" s="2">
        <v>1</v>
      </c>
      <c r="D36" s="4">
        <v>100000</v>
      </c>
      <c r="E36" s="2">
        <v>5</v>
      </c>
      <c r="F36" s="2">
        <v>1</v>
      </c>
      <c r="G36" s="2">
        <v>1</v>
      </c>
      <c r="H36" s="2" t="s">
        <v>670</v>
      </c>
      <c r="I36" s="14" t="s">
        <v>650</v>
      </c>
    </row>
    <row r="37" spans="1:9" x14ac:dyDescent="0.3">
      <c r="A37" s="8" t="s">
        <v>225</v>
      </c>
      <c r="B37" s="10">
        <v>45202</v>
      </c>
      <c r="C37" s="7">
        <v>3</v>
      </c>
      <c r="D37" s="9">
        <v>638000</v>
      </c>
      <c r="E37" s="7">
        <v>1</v>
      </c>
      <c r="F37" s="7">
        <v>3</v>
      </c>
      <c r="G37" s="7">
        <v>2</v>
      </c>
      <c r="H37" s="7" t="s">
        <v>671</v>
      </c>
      <c r="I37" s="12" t="s">
        <v>641</v>
      </c>
    </row>
    <row r="38" spans="1:9" x14ac:dyDescent="0.3">
      <c r="A38" s="3" t="s">
        <v>626</v>
      </c>
      <c r="B38" s="5">
        <v>45260</v>
      </c>
      <c r="C38" s="2">
        <v>1</v>
      </c>
      <c r="D38" s="4">
        <v>164000</v>
      </c>
      <c r="E38" s="2">
        <v>5</v>
      </c>
      <c r="F38" s="2">
        <v>1</v>
      </c>
      <c r="G38" s="2">
        <v>1</v>
      </c>
      <c r="H38" s="2" t="s">
        <v>670</v>
      </c>
      <c r="I38" s="14" t="s">
        <v>650</v>
      </c>
    </row>
    <row r="39" spans="1:9" x14ac:dyDescent="0.3">
      <c r="A39" s="8" t="s">
        <v>64</v>
      </c>
      <c r="B39" s="10">
        <v>45252</v>
      </c>
      <c r="C39" s="7">
        <v>8</v>
      </c>
      <c r="D39" s="9">
        <v>3218000</v>
      </c>
      <c r="E39" s="7">
        <v>4</v>
      </c>
      <c r="F39" s="7">
        <v>5</v>
      </c>
      <c r="G39" s="7">
        <v>5</v>
      </c>
      <c r="H39" s="7" t="s">
        <v>672</v>
      </c>
      <c r="I39" s="13" t="s">
        <v>644</v>
      </c>
    </row>
    <row r="40" spans="1:9" x14ac:dyDescent="0.3">
      <c r="A40" s="3" t="s">
        <v>88</v>
      </c>
      <c r="B40" s="5">
        <v>45227</v>
      </c>
      <c r="C40" s="2">
        <v>3</v>
      </c>
      <c r="D40" s="4">
        <v>1338000</v>
      </c>
      <c r="E40" s="2">
        <v>3</v>
      </c>
      <c r="F40" s="2">
        <v>3</v>
      </c>
      <c r="G40" s="2">
        <v>4</v>
      </c>
      <c r="H40" s="2" t="s">
        <v>668</v>
      </c>
      <c r="I40" s="13" t="s">
        <v>644</v>
      </c>
    </row>
    <row r="41" spans="1:9" x14ac:dyDescent="0.3">
      <c r="A41" s="8" t="s">
        <v>204</v>
      </c>
      <c r="B41" s="10">
        <v>45255</v>
      </c>
      <c r="C41" s="7">
        <v>6</v>
      </c>
      <c r="D41" s="9">
        <v>2510000</v>
      </c>
      <c r="E41" s="7">
        <v>5</v>
      </c>
      <c r="F41" s="7">
        <v>4</v>
      </c>
      <c r="G41" s="7">
        <v>4</v>
      </c>
      <c r="H41" s="7" t="s">
        <v>660</v>
      </c>
      <c r="I41" s="16" t="s">
        <v>659</v>
      </c>
    </row>
    <row r="42" spans="1:9" x14ac:dyDescent="0.3">
      <c r="A42" s="3" t="s">
        <v>556</v>
      </c>
      <c r="B42" s="5">
        <v>45243</v>
      </c>
      <c r="C42" s="2">
        <v>2</v>
      </c>
      <c r="D42" s="4">
        <v>265500</v>
      </c>
      <c r="E42" s="2">
        <v>4</v>
      </c>
      <c r="F42" s="2">
        <v>2</v>
      </c>
      <c r="G42" s="2">
        <v>1</v>
      </c>
      <c r="H42" s="2" t="s">
        <v>649</v>
      </c>
      <c r="I42" s="14" t="s">
        <v>650</v>
      </c>
    </row>
    <row r="43" spans="1:9" x14ac:dyDescent="0.3">
      <c r="A43" s="8" t="s">
        <v>370</v>
      </c>
      <c r="B43" s="10">
        <v>45220</v>
      </c>
      <c r="C43" s="7">
        <v>2</v>
      </c>
      <c r="D43" s="9">
        <v>981000</v>
      </c>
      <c r="E43" s="7">
        <v>2</v>
      </c>
      <c r="F43" s="7">
        <v>2</v>
      </c>
      <c r="G43" s="7">
        <v>3</v>
      </c>
      <c r="H43" s="7" t="s">
        <v>673</v>
      </c>
      <c r="I43" s="12" t="s">
        <v>641</v>
      </c>
    </row>
    <row r="44" spans="1:9" x14ac:dyDescent="0.3">
      <c r="A44" s="3" t="s">
        <v>499</v>
      </c>
      <c r="B44" s="5">
        <v>45233</v>
      </c>
      <c r="C44" s="2">
        <v>4</v>
      </c>
      <c r="D44" s="4">
        <v>295000</v>
      </c>
      <c r="E44" s="2">
        <v>3</v>
      </c>
      <c r="F44" s="2">
        <v>4</v>
      </c>
      <c r="G44" s="2">
        <v>1</v>
      </c>
      <c r="H44" s="2" t="s">
        <v>674</v>
      </c>
      <c r="I44" s="15" t="s">
        <v>656</v>
      </c>
    </row>
    <row r="45" spans="1:9" x14ac:dyDescent="0.3">
      <c r="A45" s="8" t="s">
        <v>412</v>
      </c>
      <c r="B45" s="10">
        <v>45220</v>
      </c>
      <c r="C45" s="7">
        <v>2</v>
      </c>
      <c r="D45" s="9">
        <v>468000</v>
      </c>
      <c r="E45" s="7">
        <v>2</v>
      </c>
      <c r="F45" s="7">
        <v>2</v>
      </c>
      <c r="G45" s="7">
        <v>2</v>
      </c>
      <c r="H45" s="7" t="s">
        <v>675</v>
      </c>
      <c r="I45" s="12" t="s">
        <v>641</v>
      </c>
    </row>
    <row r="46" spans="1:9" x14ac:dyDescent="0.3">
      <c r="A46" s="3" t="s">
        <v>617</v>
      </c>
      <c r="B46" s="5">
        <v>45255</v>
      </c>
      <c r="C46" s="2">
        <v>1</v>
      </c>
      <c r="D46" s="4">
        <v>300000</v>
      </c>
      <c r="E46" s="2">
        <v>5</v>
      </c>
      <c r="F46" s="2">
        <v>1</v>
      </c>
      <c r="G46" s="2">
        <v>2</v>
      </c>
      <c r="H46" s="2" t="s">
        <v>676</v>
      </c>
      <c r="I46" s="14" t="s">
        <v>650</v>
      </c>
    </row>
    <row r="47" spans="1:9" x14ac:dyDescent="0.3">
      <c r="A47" s="8" t="s">
        <v>29</v>
      </c>
      <c r="B47" s="10">
        <v>45254</v>
      </c>
      <c r="C47" s="7">
        <v>7</v>
      </c>
      <c r="D47" s="9">
        <v>8334000</v>
      </c>
      <c r="E47" s="7">
        <v>5</v>
      </c>
      <c r="F47" s="7">
        <v>4</v>
      </c>
      <c r="G47" s="7">
        <v>5</v>
      </c>
      <c r="H47" s="7" t="s">
        <v>658</v>
      </c>
      <c r="I47" s="16" t="s">
        <v>659</v>
      </c>
    </row>
    <row r="48" spans="1:9" x14ac:dyDescent="0.3">
      <c r="A48" s="3" t="s">
        <v>477</v>
      </c>
      <c r="B48" s="5">
        <v>45255</v>
      </c>
      <c r="C48" s="2">
        <v>10</v>
      </c>
      <c r="D48" s="4">
        <v>7566000</v>
      </c>
      <c r="E48" s="2">
        <v>5</v>
      </c>
      <c r="F48" s="2">
        <v>5</v>
      </c>
      <c r="G48" s="2">
        <v>5</v>
      </c>
      <c r="H48" s="2" t="s">
        <v>677</v>
      </c>
      <c r="I48" s="16" t="s">
        <v>659</v>
      </c>
    </row>
    <row r="49" spans="1:9" x14ac:dyDescent="0.3">
      <c r="A49" s="8" t="s">
        <v>565</v>
      </c>
      <c r="B49" s="10">
        <v>45243</v>
      </c>
      <c r="C49" s="7">
        <v>1</v>
      </c>
      <c r="D49" s="9">
        <v>264000</v>
      </c>
      <c r="E49" s="7">
        <v>4</v>
      </c>
      <c r="F49" s="7">
        <v>1</v>
      </c>
      <c r="G49" s="7">
        <v>1</v>
      </c>
      <c r="H49" s="7" t="s">
        <v>669</v>
      </c>
      <c r="I49" s="14" t="s">
        <v>650</v>
      </c>
    </row>
    <row r="50" spans="1:9" x14ac:dyDescent="0.3">
      <c r="A50" s="3" t="s">
        <v>277</v>
      </c>
      <c r="B50" s="5">
        <v>45192</v>
      </c>
      <c r="C50" s="2">
        <v>1</v>
      </c>
      <c r="D50" s="4">
        <v>178000</v>
      </c>
      <c r="E50" s="2">
        <v>1</v>
      </c>
      <c r="F50" s="2">
        <v>1</v>
      </c>
      <c r="G50" s="2">
        <v>1</v>
      </c>
      <c r="H50" s="2" t="s">
        <v>678</v>
      </c>
      <c r="I50" s="12" t="s">
        <v>641</v>
      </c>
    </row>
    <row r="51" spans="1:9" x14ac:dyDescent="0.3">
      <c r="A51" s="8" t="s">
        <v>480</v>
      </c>
      <c r="B51" s="10">
        <v>45227</v>
      </c>
      <c r="C51" s="7">
        <v>3</v>
      </c>
      <c r="D51" s="9">
        <v>1865000</v>
      </c>
      <c r="E51" s="7">
        <v>3</v>
      </c>
      <c r="F51" s="7">
        <v>3</v>
      </c>
      <c r="G51" s="7">
        <v>4</v>
      </c>
      <c r="H51" s="7" t="s">
        <v>668</v>
      </c>
      <c r="I51" s="13" t="s">
        <v>644</v>
      </c>
    </row>
    <row r="52" spans="1:9" x14ac:dyDescent="0.3">
      <c r="A52" s="3" t="s">
        <v>280</v>
      </c>
      <c r="B52" s="5">
        <v>45196</v>
      </c>
      <c r="C52" s="2">
        <v>1</v>
      </c>
      <c r="D52" s="4">
        <v>1380000</v>
      </c>
      <c r="E52" s="2">
        <v>1</v>
      </c>
      <c r="F52" s="2">
        <v>1</v>
      </c>
      <c r="G52" s="2">
        <v>4</v>
      </c>
      <c r="H52" s="2" t="s">
        <v>679</v>
      </c>
      <c r="I52" s="12" t="s">
        <v>641</v>
      </c>
    </row>
    <row r="53" spans="1:9" x14ac:dyDescent="0.3">
      <c r="A53" s="8" t="s">
        <v>392</v>
      </c>
      <c r="B53" s="10">
        <v>45213</v>
      </c>
      <c r="C53" s="7">
        <v>1</v>
      </c>
      <c r="D53" s="9">
        <v>200000</v>
      </c>
      <c r="E53" s="7">
        <v>2</v>
      </c>
      <c r="F53" s="7">
        <v>1</v>
      </c>
      <c r="G53" s="7">
        <v>1</v>
      </c>
      <c r="H53" s="7" t="s">
        <v>663</v>
      </c>
      <c r="I53" s="12" t="s">
        <v>641</v>
      </c>
    </row>
    <row r="54" spans="1:9" x14ac:dyDescent="0.3">
      <c r="A54" s="3" t="s">
        <v>259</v>
      </c>
      <c r="B54" s="5">
        <v>45236</v>
      </c>
      <c r="C54" s="2">
        <v>3</v>
      </c>
      <c r="D54" s="4">
        <v>5907000</v>
      </c>
      <c r="E54" s="2">
        <v>3</v>
      </c>
      <c r="F54" s="2">
        <v>3</v>
      </c>
      <c r="G54" s="2">
        <v>5</v>
      </c>
      <c r="H54" s="2" t="s">
        <v>680</v>
      </c>
      <c r="I54" s="13" t="s">
        <v>644</v>
      </c>
    </row>
    <row r="55" spans="1:9" x14ac:dyDescent="0.3">
      <c r="A55" s="8" t="s">
        <v>73</v>
      </c>
      <c r="B55" s="10">
        <v>45225</v>
      </c>
      <c r="C55" s="7">
        <v>7</v>
      </c>
      <c r="D55" s="9">
        <v>2886200</v>
      </c>
      <c r="E55" s="7">
        <v>2</v>
      </c>
      <c r="F55" s="7">
        <v>4</v>
      </c>
      <c r="G55" s="7">
        <v>5</v>
      </c>
      <c r="H55" s="7" t="s">
        <v>681</v>
      </c>
      <c r="I55" s="12" t="s">
        <v>641</v>
      </c>
    </row>
    <row r="56" spans="1:9" x14ac:dyDescent="0.3">
      <c r="A56" s="3" t="s">
        <v>450</v>
      </c>
      <c r="B56" s="5">
        <v>45226</v>
      </c>
      <c r="C56" s="2">
        <v>2</v>
      </c>
      <c r="D56" s="4">
        <v>480000</v>
      </c>
      <c r="E56" s="2">
        <v>2</v>
      </c>
      <c r="F56" s="2">
        <v>2</v>
      </c>
      <c r="G56" s="2">
        <v>2</v>
      </c>
      <c r="H56" s="2" t="s">
        <v>675</v>
      </c>
      <c r="I56" s="12" t="s">
        <v>641</v>
      </c>
    </row>
    <row r="57" spans="1:9" x14ac:dyDescent="0.3">
      <c r="A57" s="8" t="s">
        <v>523</v>
      </c>
      <c r="B57" s="10">
        <v>45234</v>
      </c>
      <c r="C57" s="7">
        <v>1</v>
      </c>
      <c r="D57" s="9">
        <v>1308000</v>
      </c>
      <c r="E57" s="7">
        <v>3</v>
      </c>
      <c r="F57" s="7">
        <v>1</v>
      </c>
      <c r="G57" s="7">
        <v>3</v>
      </c>
      <c r="H57" s="7" t="s">
        <v>682</v>
      </c>
      <c r="I57" s="15" t="s">
        <v>656</v>
      </c>
    </row>
    <row r="58" spans="1:9" x14ac:dyDescent="0.3">
      <c r="A58" s="3" t="s">
        <v>562</v>
      </c>
      <c r="B58" s="5">
        <v>45243</v>
      </c>
      <c r="C58" s="2">
        <v>1</v>
      </c>
      <c r="D58" s="4">
        <v>3924000</v>
      </c>
      <c r="E58" s="2">
        <v>4</v>
      </c>
      <c r="F58" s="2">
        <v>1</v>
      </c>
      <c r="G58" s="2">
        <v>5</v>
      </c>
      <c r="H58" s="2" t="s">
        <v>683</v>
      </c>
      <c r="I58" s="14" t="s">
        <v>650</v>
      </c>
    </row>
    <row r="59" spans="1:9" x14ac:dyDescent="0.3">
      <c r="A59" s="8" t="s">
        <v>262</v>
      </c>
      <c r="B59" s="10">
        <v>45248</v>
      </c>
      <c r="C59" s="7">
        <v>2</v>
      </c>
      <c r="D59" s="9">
        <v>3990000</v>
      </c>
      <c r="E59" s="7">
        <v>4</v>
      </c>
      <c r="F59" s="7">
        <v>2</v>
      </c>
      <c r="G59" s="7">
        <v>5</v>
      </c>
      <c r="H59" s="7" t="s">
        <v>684</v>
      </c>
      <c r="I59" s="14" t="s">
        <v>650</v>
      </c>
    </row>
    <row r="60" spans="1:9" x14ac:dyDescent="0.3">
      <c r="A60" s="3" t="s">
        <v>506</v>
      </c>
      <c r="B60" s="5">
        <v>45234</v>
      </c>
      <c r="C60" s="2">
        <v>2</v>
      </c>
      <c r="D60" s="4">
        <v>146000</v>
      </c>
      <c r="E60" s="2">
        <v>3</v>
      </c>
      <c r="F60" s="2">
        <v>2</v>
      </c>
      <c r="G60" s="2">
        <v>1</v>
      </c>
      <c r="H60" s="2" t="s">
        <v>655</v>
      </c>
      <c r="I60" s="15" t="s">
        <v>656</v>
      </c>
    </row>
    <row r="61" spans="1:9" x14ac:dyDescent="0.3">
      <c r="A61" s="8" t="s">
        <v>518</v>
      </c>
      <c r="B61" s="10">
        <v>45247</v>
      </c>
      <c r="C61" s="7">
        <v>4</v>
      </c>
      <c r="D61" s="9">
        <v>882000</v>
      </c>
      <c r="E61" s="7">
        <v>4</v>
      </c>
      <c r="F61" s="7">
        <v>4</v>
      </c>
      <c r="G61" s="7">
        <v>3</v>
      </c>
      <c r="H61" s="7" t="s">
        <v>685</v>
      </c>
      <c r="I61" s="13" t="s">
        <v>644</v>
      </c>
    </row>
    <row r="62" spans="1:9" x14ac:dyDescent="0.3">
      <c r="A62" s="3" t="s">
        <v>209</v>
      </c>
      <c r="B62" s="5">
        <v>45185</v>
      </c>
      <c r="C62" s="2">
        <v>2</v>
      </c>
      <c r="D62" s="4">
        <v>641000</v>
      </c>
      <c r="E62" s="2">
        <v>1</v>
      </c>
      <c r="F62" s="2">
        <v>2</v>
      </c>
      <c r="G62" s="2">
        <v>3</v>
      </c>
      <c r="H62" s="2" t="s">
        <v>651</v>
      </c>
      <c r="I62" s="12" t="s">
        <v>641</v>
      </c>
    </row>
    <row r="63" spans="1:9" x14ac:dyDescent="0.3">
      <c r="A63" s="8" t="s">
        <v>524</v>
      </c>
      <c r="B63" s="10">
        <v>45234</v>
      </c>
      <c r="C63" s="7">
        <v>3</v>
      </c>
      <c r="D63" s="9">
        <v>962000</v>
      </c>
      <c r="E63" s="7">
        <v>3</v>
      </c>
      <c r="F63" s="7">
        <v>3</v>
      </c>
      <c r="G63" s="7">
        <v>3</v>
      </c>
      <c r="H63" s="7" t="s">
        <v>657</v>
      </c>
      <c r="I63" s="13" t="s">
        <v>644</v>
      </c>
    </row>
    <row r="64" spans="1:9" x14ac:dyDescent="0.3">
      <c r="A64" s="3" t="s">
        <v>594</v>
      </c>
      <c r="B64" s="5">
        <v>45250</v>
      </c>
      <c r="C64" s="2">
        <v>6</v>
      </c>
      <c r="D64" s="4">
        <v>360000</v>
      </c>
      <c r="E64" s="2">
        <v>4</v>
      </c>
      <c r="F64" s="2">
        <v>4</v>
      </c>
      <c r="G64" s="2">
        <v>2</v>
      </c>
      <c r="H64" s="2" t="s">
        <v>686</v>
      </c>
      <c r="I64" s="13" t="s">
        <v>644</v>
      </c>
    </row>
    <row r="65" spans="1:9" x14ac:dyDescent="0.3">
      <c r="A65" s="8" t="s">
        <v>439</v>
      </c>
      <c r="B65" s="10">
        <v>45225</v>
      </c>
      <c r="C65" s="7">
        <v>3</v>
      </c>
      <c r="D65" s="9">
        <v>250000</v>
      </c>
      <c r="E65" s="7">
        <v>2</v>
      </c>
      <c r="F65" s="7">
        <v>3</v>
      </c>
      <c r="G65" s="7">
        <v>1</v>
      </c>
      <c r="H65" s="7" t="s">
        <v>687</v>
      </c>
      <c r="I65" s="12" t="s">
        <v>641</v>
      </c>
    </row>
    <row r="66" spans="1:9" x14ac:dyDescent="0.3">
      <c r="A66" s="3" t="s">
        <v>306</v>
      </c>
      <c r="B66" s="5">
        <v>45197</v>
      </c>
      <c r="C66" s="2">
        <v>2</v>
      </c>
      <c r="D66" s="4">
        <v>375000</v>
      </c>
      <c r="E66" s="2">
        <v>1</v>
      </c>
      <c r="F66" s="2">
        <v>2</v>
      </c>
      <c r="G66" s="2">
        <v>2</v>
      </c>
      <c r="H66" s="2" t="s">
        <v>688</v>
      </c>
      <c r="I66" s="12" t="s">
        <v>641</v>
      </c>
    </row>
    <row r="67" spans="1:9" x14ac:dyDescent="0.3">
      <c r="A67" s="8" t="s">
        <v>473</v>
      </c>
      <c r="B67" s="10">
        <v>45227</v>
      </c>
      <c r="C67" s="7">
        <v>4</v>
      </c>
      <c r="D67" s="9">
        <v>735000</v>
      </c>
      <c r="E67" s="7">
        <v>3</v>
      </c>
      <c r="F67" s="7">
        <v>4</v>
      </c>
      <c r="G67" s="7">
        <v>3</v>
      </c>
      <c r="H67" s="7" t="s">
        <v>689</v>
      </c>
      <c r="I67" s="13" t="s">
        <v>644</v>
      </c>
    </row>
    <row r="68" spans="1:9" x14ac:dyDescent="0.3">
      <c r="A68" s="3" t="s">
        <v>33</v>
      </c>
      <c r="B68" s="5">
        <v>45255</v>
      </c>
      <c r="C68" s="2">
        <v>8</v>
      </c>
      <c r="D68" s="4">
        <v>4873000</v>
      </c>
      <c r="E68" s="2">
        <v>5</v>
      </c>
      <c r="F68" s="2">
        <v>5</v>
      </c>
      <c r="G68" s="2">
        <v>5</v>
      </c>
      <c r="H68" s="2" t="s">
        <v>677</v>
      </c>
      <c r="I68" s="16" t="s">
        <v>659</v>
      </c>
    </row>
    <row r="69" spans="1:9" x14ac:dyDescent="0.3">
      <c r="A69" s="8" t="s">
        <v>409</v>
      </c>
      <c r="B69" s="10">
        <v>45233</v>
      </c>
      <c r="C69" s="7">
        <v>8</v>
      </c>
      <c r="D69" s="9">
        <v>1900500</v>
      </c>
      <c r="E69" s="7">
        <v>3</v>
      </c>
      <c r="F69" s="7">
        <v>5</v>
      </c>
      <c r="G69" s="7">
        <v>4</v>
      </c>
      <c r="H69" s="7" t="s">
        <v>666</v>
      </c>
      <c r="I69" s="13" t="s">
        <v>644</v>
      </c>
    </row>
    <row r="70" spans="1:9" x14ac:dyDescent="0.3">
      <c r="A70" s="3" t="s">
        <v>85</v>
      </c>
      <c r="B70" s="5">
        <v>45255</v>
      </c>
      <c r="C70" s="2">
        <v>8</v>
      </c>
      <c r="D70" s="4">
        <v>10078000</v>
      </c>
      <c r="E70" s="2">
        <v>5</v>
      </c>
      <c r="F70" s="2">
        <v>5</v>
      </c>
      <c r="G70" s="2">
        <v>5</v>
      </c>
      <c r="H70" s="2" t="s">
        <v>677</v>
      </c>
      <c r="I70" s="16" t="s">
        <v>659</v>
      </c>
    </row>
    <row r="71" spans="1:9" x14ac:dyDescent="0.3">
      <c r="A71" s="8" t="s">
        <v>339</v>
      </c>
      <c r="B71" s="10">
        <v>45220</v>
      </c>
      <c r="C71" s="7">
        <v>4</v>
      </c>
      <c r="D71" s="9">
        <v>2391000</v>
      </c>
      <c r="E71" s="7">
        <v>2</v>
      </c>
      <c r="F71" s="7">
        <v>4</v>
      </c>
      <c r="G71" s="7">
        <v>4</v>
      </c>
      <c r="H71" s="7" t="s">
        <v>647</v>
      </c>
      <c r="I71" s="12" t="s">
        <v>641</v>
      </c>
    </row>
    <row r="72" spans="1:9" x14ac:dyDescent="0.3">
      <c r="A72" s="3" t="s">
        <v>398</v>
      </c>
      <c r="B72" s="5">
        <v>45213</v>
      </c>
      <c r="C72" s="2">
        <v>5</v>
      </c>
      <c r="D72" s="4">
        <v>8626400</v>
      </c>
      <c r="E72" s="2">
        <v>2</v>
      </c>
      <c r="F72" s="2">
        <v>4</v>
      </c>
      <c r="G72" s="2">
        <v>5</v>
      </c>
      <c r="H72" s="2" t="s">
        <v>681</v>
      </c>
      <c r="I72" s="12" t="s">
        <v>641</v>
      </c>
    </row>
    <row r="73" spans="1:9" x14ac:dyDescent="0.3">
      <c r="A73" s="8" t="s">
        <v>178</v>
      </c>
      <c r="B73" s="10">
        <v>45243</v>
      </c>
      <c r="C73" s="7">
        <v>21</v>
      </c>
      <c r="D73" s="9">
        <v>3721000</v>
      </c>
      <c r="E73" s="7">
        <v>4</v>
      </c>
      <c r="F73" s="7">
        <v>5</v>
      </c>
      <c r="G73" s="7">
        <v>5</v>
      </c>
      <c r="H73" s="7" t="s">
        <v>672</v>
      </c>
      <c r="I73" s="13" t="s">
        <v>644</v>
      </c>
    </row>
    <row r="74" spans="1:9" x14ac:dyDescent="0.3">
      <c r="A74" s="3" t="s">
        <v>43</v>
      </c>
      <c r="B74" s="5">
        <v>45243</v>
      </c>
      <c r="C74" s="2">
        <v>4</v>
      </c>
      <c r="D74" s="4">
        <v>3480000</v>
      </c>
      <c r="E74" s="2">
        <v>4</v>
      </c>
      <c r="F74" s="2">
        <v>4</v>
      </c>
      <c r="G74" s="2">
        <v>5</v>
      </c>
      <c r="H74" s="2" t="s">
        <v>665</v>
      </c>
      <c r="I74" s="13" t="s">
        <v>644</v>
      </c>
    </row>
    <row r="75" spans="1:9" x14ac:dyDescent="0.3">
      <c r="A75" s="8" t="s">
        <v>470</v>
      </c>
      <c r="B75" s="10">
        <v>45227</v>
      </c>
      <c r="C75" s="7">
        <v>2</v>
      </c>
      <c r="D75" s="9">
        <v>744000</v>
      </c>
      <c r="E75" s="7">
        <v>3</v>
      </c>
      <c r="F75" s="7">
        <v>2</v>
      </c>
      <c r="G75" s="7">
        <v>3</v>
      </c>
      <c r="H75" s="7" t="s">
        <v>690</v>
      </c>
      <c r="I75" s="15" t="s">
        <v>656</v>
      </c>
    </row>
    <row r="76" spans="1:9" x14ac:dyDescent="0.3">
      <c r="A76" s="3" t="s">
        <v>302</v>
      </c>
      <c r="B76" s="5">
        <v>45197</v>
      </c>
      <c r="C76" s="2">
        <v>3</v>
      </c>
      <c r="D76" s="4">
        <v>210000</v>
      </c>
      <c r="E76" s="2">
        <v>1</v>
      </c>
      <c r="F76" s="2">
        <v>3</v>
      </c>
      <c r="G76" s="2">
        <v>1</v>
      </c>
      <c r="H76" s="2" t="s">
        <v>691</v>
      </c>
      <c r="I76" s="12" t="s">
        <v>641</v>
      </c>
    </row>
    <row r="77" spans="1:9" x14ac:dyDescent="0.3">
      <c r="A77" s="8" t="s">
        <v>548</v>
      </c>
      <c r="B77" s="10">
        <v>45240</v>
      </c>
      <c r="C77" s="7">
        <v>1</v>
      </c>
      <c r="D77" s="9">
        <v>144000</v>
      </c>
      <c r="E77" s="7">
        <v>3</v>
      </c>
      <c r="F77" s="7">
        <v>1</v>
      </c>
      <c r="G77" s="7">
        <v>1</v>
      </c>
      <c r="H77" s="7" t="s">
        <v>692</v>
      </c>
      <c r="I77" s="15" t="s">
        <v>656</v>
      </c>
    </row>
    <row r="78" spans="1:9" x14ac:dyDescent="0.3">
      <c r="A78" s="3" t="s">
        <v>239</v>
      </c>
      <c r="B78" s="5">
        <v>45185</v>
      </c>
      <c r="C78" s="2">
        <v>8</v>
      </c>
      <c r="D78" s="4">
        <v>5321000</v>
      </c>
      <c r="E78" s="2">
        <v>1</v>
      </c>
      <c r="F78" s="2">
        <v>5</v>
      </c>
      <c r="G78" s="2">
        <v>5</v>
      </c>
      <c r="H78" s="2" t="s">
        <v>693</v>
      </c>
      <c r="I78" s="12" t="s">
        <v>641</v>
      </c>
    </row>
    <row r="79" spans="1:9" x14ac:dyDescent="0.3">
      <c r="A79" s="8" t="s">
        <v>567</v>
      </c>
      <c r="B79" s="10">
        <v>45244</v>
      </c>
      <c r="C79" s="7">
        <v>2</v>
      </c>
      <c r="D79" s="9">
        <v>974000</v>
      </c>
      <c r="E79" s="7">
        <v>4</v>
      </c>
      <c r="F79" s="7">
        <v>2</v>
      </c>
      <c r="G79" s="7">
        <v>3</v>
      </c>
      <c r="H79" s="7" t="s">
        <v>694</v>
      </c>
      <c r="I79" s="14" t="s">
        <v>650</v>
      </c>
    </row>
    <row r="80" spans="1:9" x14ac:dyDescent="0.3">
      <c r="A80" s="3" t="s">
        <v>268</v>
      </c>
      <c r="B80" s="5">
        <v>45255</v>
      </c>
      <c r="C80" s="2">
        <v>10</v>
      </c>
      <c r="D80" s="4">
        <v>2212000</v>
      </c>
      <c r="E80" s="2">
        <v>5</v>
      </c>
      <c r="F80" s="2">
        <v>5</v>
      </c>
      <c r="G80" s="2">
        <v>4</v>
      </c>
      <c r="H80" s="2" t="s">
        <v>695</v>
      </c>
      <c r="I80" s="16" t="s">
        <v>659</v>
      </c>
    </row>
    <row r="81" spans="1:9" x14ac:dyDescent="0.3">
      <c r="A81" s="8" t="s">
        <v>603</v>
      </c>
      <c r="B81" s="10">
        <v>45252</v>
      </c>
      <c r="C81" s="7">
        <v>2</v>
      </c>
      <c r="D81" s="9">
        <v>2658000</v>
      </c>
      <c r="E81" s="7">
        <v>4</v>
      </c>
      <c r="F81" s="7">
        <v>2</v>
      </c>
      <c r="G81" s="7">
        <v>4</v>
      </c>
      <c r="H81" s="7" t="s">
        <v>696</v>
      </c>
      <c r="I81" s="14" t="s">
        <v>650</v>
      </c>
    </row>
    <row r="82" spans="1:9" x14ac:dyDescent="0.3">
      <c r="A82" s="3" t="s">
        <v>303</v>
      </c>
      <c r="B82" s="5">
        <v>45239</v>
      </c>
      <c r="C82" s="2">
        <v>20</v>
      </c>
      <c r="D82" s="4">
        <v>2396000</v>
      </c>
      <c r="E82" s="2">
        <v>3</v>
      </c>
      <c r="F82" s="2">
        <v>5</v>
      </c>
      <c r="G82" s="2">
        <v>4</v>
      </c>
      <c r="H82" s="2" t="s">
        <v>666</v>
      </c>
      <c r="I82" s="13" t="s">
        <v>644</v>
      </c>
    </row>
    <row r="83" spans="1:9" x14ac:dyDescent="0.3">
      <c r="A83" s="8" t="s">
        <v>540</v>
      </c>
      <c r="B83" s="10">
        <v>45252</v>
      </c>
      <c r="C83" s="7">
        <v>3</v>
      </c>
      <c r="D83" s="9">
        <v>2220000</v>
      </c>
      <c r="E83" s="7">
        <v>4</v>
      </c>
      <c r="F83" s="7">
        <v>3</v>
      </c>
      <c r="G83" s="7">
        <v>4</v>
      </c>
      <c r="H83" s="7" t="s">
        <v>697</v>
      </c>
      <c r="I83" s="13" t="s">
        <v>644</v>
      </c>
    </row>
    <row r="84" spans="1:9" x14ac:dyDescent="0.3">
      <c r="A84" s="3" t="s">
        <v>566</v>
      </c>
      <c r="B84" s="5">
        <v>45243</v>
      </c>
      <c r="C84" s="2">
        <v>1</v>
      </c>
      <c r="D84" s="4">
        <v>355000</v>
      </c>
      <c r="E84" s="2">
        <v>4</v>
      </c>
      <c r="F84" s="2">
        <v>1</v>
      </c>
      <c r="G84" s="2">
        <v>2</v>
      </c>
      <c r="H84" s="2" t="s">
        <v>698</v>
      </c>
      <c r="I84" s="14" t="s">
        <v>650</v>
      </c>
    </row>
    <row r="85" spans="1:9" x14ac:dyDescent="0.3">
      <c r="A85" s="8" t="s">
        <v>215</v>
      </c>
      <c r="B85" s="10">
        <v>45248</v>
      </c>
      <c r="C85" s="7">
        <v>3</v>
      </c>
      <c r="D85" s="9">
        <v>1327000</v>
      </c>
      <c r="E85" s="7">
        <v>4</v>
      </c>
      <c r="F85" s="7">
        <v>3</v>
      </c>
      <c r="G85" s="7">
        <v>3</v>
      </c>
      <c r="H85" s="7" t="s">
        <v>699</v>
      </c>
      <c r="I85" s="13" t="s">
        <v>644</v>
      </c>
    </row>
    <row r="86" spans="1:9" x14ac:dyDescent="0.3">
      <c r="A86" s="3" t="s">
        <v>592</v>
      </c>
      <c r="B86" s="5">
        <v>45250</v>
      </c>
      <c r="C86" s="2">
        <v>3</v>
      </c>
      <c r="D86" s="4">
        <v>654000</v>
      </c>
      <c r="E86" s="2">
        <v>4</v>
      </c>
      <c r="F86" s="2">
        <v>3</v>
      </c>
      <c r="G86" s="2">
        <v>3</v>
      </c>
      <c r="H86" s="2" t="s">
        <v>699</v>
      </c>
      <c r="I86" s="13" t="s">
        <v>644</v>
      </c>
    </row>
    <row r="87" spans="1:9" x14ac:dyDescent="0.3">
      <c r="A87" s="8" t="s">
        <v>559</v>
      </c>
      <c r="B87" s="10">
        <v>45248</v>
      </c>
      <c r="C87" s="7">
        <v>7</v>
      </c>
      <c r="D87" s="9">
        <v>3248000</v>
      </c>
      <c r="E87" s="7">
        <v>4</v>
      </c>
      <c r="F87" s="7">
        <v>5</v>
      </c>
      <c r="G87" s="7">
        <v>5</v>
      </c>
      <c r="H87" s="7" t="s">
        <v>672</v>
      </c>
      <c r="I87" s="13" t="s">
        <v>644</v>
      </c>
    </row>
    <row r="88" spans="1:9" x14ac:dyDescent="0.3">
      <c r="A88" s="3" t="s">
        <v>541</v>
      </c>
      <c r="B88" s="5">
        <v>45254</v>
      </c>
      <c r="C88" s="2">
        <v>4</v>
      </c>
      <c r="D88" s="4">
        <v>748000</v>
      </c>
      <c r="E88" s="2">
        <v>5</v>
      </c>
      <c r="F88" s="2">
        <v>4</v>
      </c>
      <c r="G88" s="2">
        <v>3</v>
      </c>
      <c r="H88" s="2" t="s">
        <v>700</v>
      </c>
      <c r="I88" s="13" t="s">
        <v>644</v>
      </c>
    </row>
    <row r="89" spans="1:9" x14ac:dyDescent="0.3">
      <c r="A89" s="8" t="s">
        <v>618</v>
      </c>
      <c r="B89" s="10">
        <v>45255</v>
      </c>
      <c r="C89" s="7">
        <v>1</v>
      </c>
      <c r="D89" s="9">
        <v>378000</v>
      </c>
      <c r="E89" s="7">
        <v>5</v>
      </c>
      <c r="F89" s="7">
        <v>1</v>
      </c>
      <c r="G89" s="7">
        <v>2</v>
      </c>
      <c r="H89" s="7" t="s">
        <v>676</v>
      </c>
      <c r="I89" s="14" t="s">
        <v>650</v>
      </c>
    </row>
    <row r="90" spans="1:9" x14ac:dyDescent="0.3">
      <c r="A90" s="3" t="s">
        <v>456</v>
      </c>
      <c r="B90" s="5">
        <v>45226</v>
      </c>
      <c r="C90" s="2">
        <v>1</v>
      </c>
      <c r="D90" s="4">
        <v>184000</v>
      </c>
      <c r="E90" s="2">
        <v>2</v>
      </c>
      <c r="F90" s="2">
        <v>1</v>
      </c>
      <c r="G90" s="2">
        <v>1</v>
      </c>
      <c r="H90" s="2" t="s">
        <v>663</v>
      </c>
      <c r="I90" s="12" t="s">
        <v>641</v>
      </c>
    </row>
    <row r="91" spans="1:9" x14ac:dyDescent="0.3">
      <c r="A91" s="8" t="s">
        <v>589</v>
      </c>
      <c r="B91" s="10">
        <v>45248</v>
      </c>
      <c r="C91" s="7">
        <v>1</v>
      </c>
      <c r="D91" s="9">
        <v>954000</v>
      </c>
      <c r="E91" s="7">
        <v>4</v>
      </c>
      <c r="F91" s="7">
        <v>1</v>
      </c>
      <c r="G91" s="7">
        <v>3</v>
      </c>
      <c r="H91" s="7" t="s">
        <v>701</v>
      </c>
      <c r="I91" s="14" t="s">
        <v>650</v>
      </c>
    </row>
    <row r="92" spans="1:9" x14ac:dyDescent="0.3">
      <c r="A92" s="3" t="s">
        <v>545</v>
      </c>
      <c r="B92" s="5">
        <v>45240</v>
      </c>
      <c r="C92" s="2">
        <v>1</v>
      </c>
      <c r="D92" s="4">
        <v>285000</v>
      </c>
      <c r="E92" s="2">
        <v>3</v>
      </c>
      <c r="F92" s="2">
        <v>1</v>
      </c>
      <c r="G92" s="2">
        <v>1</v>
      </c>
      <c r="H92" s="2" t="s">
        <v>692</v>
      </c>
      <c r="I92" s="15" t="s">
        <v>656</v>
      </c>
    </row>
    <row r="93" spans="1:9" x14ac:dyDescent="0.3">
      <c r="A93" s="8" t="s">
        <v>591</v>
      </c>
      <c r="B93" s="10">
        <v>45250</v>
      </c>
      <c r="C93" s="7">
        <v>2</v>
      </c>
      <c r="D93" s="9">
        <v>1692000</v>
      </c>
      <c r="E93" s="7">
        <v>4</v>
      </c>
      <c r="F93" s="7">
        <v>2</v>
      </c>
      <c r="G93" s="7">
        <v>4</v>
      </c>
      <c r="H93" s="7" t="s">
        <v>696</v>
      </c>
      <c r="I93" s="14" t="s">
        <v>650</v>
      </c>
    </row>
    <row r="94" spans="1:9" x14ac:dyDescent="0.3">
      <c r="A94" s="3" t="s">
        <v>134</v>
      </c>
      <c r="B94" s="5">
        <v>45227</v>
      </c>
      <c r="C94" s="2">
        <v>10</v>
      </c>
      <c r="D94" s="4">
        <v>554000</v>
      </c>
      <c r="E94" s="2">
        <v>3</v>
      </c>
      <c r="F94" s="2">
        <v>5</v>
      </c>
      <c r="G94" s="2">
        <v>2</v>
      </c>
      <c r="H94" s="2" t="s">
        <v>702</v>
      </c>
      <c r="I94" s="15" t="s">
        <v>656</v>
      </c>
    </row>
    <row r="95" spans="1:9" x14ac:dyDescent="0.3">
      <c r="A95" s="8" t="s">
        <v>131</v>
      </c>
      <c r="B95" s="10">
        <v>45255</v>
      </c>
      <c r="C95" s="7">
        <v>8</v>
      </c>
      <c r="D95" s="9">
        <v>3330000</v>
      </c>
      <c r="E95" s="7">
        <v>5</v>
      </c>
      <c r="F95" s="7">
        <v>5</v>
      </c>
      <c r="G95" s="7">
        <v>5</v>
      </c>
      <c r="H95" s="7" t="s">
        <v>677</v>
      </c>
      <c r="I95" s="16" t="s">
        <v>659</v>
      </c>
    </row>
    <row r="96" spans="1:9" x14ac:dyDescent="0.3">
      <c r="A96" s="3" t="s">
        <v>346</v>
      </c>
      <c r="B96" s="5">
        <v>45204</v>
      </c>
      <c r="C96" s="2">
        <v>3</v>
      </c>
      <c r="D96" s="4">
        <v>105000</v>
      </c>
      <c r="E96" s="2">
        <v>1</v>
      </c>
      <c r="F96" s="2">
        <v>3</v>
      </c>
      <c r="G96" s="2">
        <v>1</v>
      </c>
      <c r="H96" s="2" t="s">
        <v>691</v>
      </c>
      <c r="I96" s="12" t="s">
        <v>641</v>
      </c>
    </row>
    <row r="97" spans="1:9" x14ac:dyDescent="0.3">
      <c r="A97" s="8" t="s">
        <v>393</v>
      </c>
      <c r="B97" s="10">
        <v>45213</v>
      </c>
      <c r="C97" s="7">
        <v>4</v>
      </c>
      <c r="D97" s="9">
        <v>1467000</v>
      </c>
      <c r="E97" s="7">
        <v>2</v>
      </c>
      <c r="F97" s="7">
        <v>4</v>
      </c>
      <c r="G97" s="7">
        <v>4</v>
      </c>
      <c r="H97" s="7" t="s">
        <v>647</v>
      </c>
      <c r="I97" s="12" t="s">
        <v>641</v>
      </c>
    </row>
    <row r="98" spans="1:9" x14ac:dyDescent="0.3">
      <c r="A98" s="3" t="s">
        <v>511</v>
      </c>
      <c r="B98" s="5">
        <v>45234</v>
      </c>
      <c r="C98" s="2">
        <v>6</v>
      </c>
      <c r="D98" s="4">
        <v>688000</v>
      </c>
      <c r="E98" s="2">
        <v>3</v>
      </c>
      <c r="F98" s="2">
        <v>4</v>
      </c>
      <c r="G98" s="2">
        <v>3</v>
      </c>
      <c r="H98" s="2" t="s">
        <v>689</v>
      </c>
      <c r="I98" s="13" t="s">
        <v>644</v>
      </c>
    </row>
    <row r="99" spans="1:9" x14ac:dyDescent="0.3">
      <c r="A99" s="8" t="s">
        <v>481</v>
      </c>
      <c r="B99" s="10">
        <v>45227</v>
      </c>
      <c r="C99" s="7">
        <v>1</v>
      </c>
      <c r="D99" s="9">
        <v>444000</v>
      </c>
      <c r="E99" s="7">
        <v>3</v>
      </c>
      <c r="F99" s="7">
        <v>1</v>
      </c>
      <c r="G99" s="7">
        <v>2</v>
      </c>
      <c r="H99" s="7" t="s">
        <v>664</v>
      </c>
      <c r="I99" s="15" t="s">
        <v>656</v>
      </c>
    </row>
    <row r="100" spans="1:9" x14ac:dyDescent="0.3">
      <c r="A100" s="3" t="s">
        <v>207</v>
      </c>
      <c r="B100" s="5">
        <v>45243</v>
      </c>
      <c r="C100" s="2">
        <v>7</v>
      </c>
      <c r="D100" s="4">
        <v>3561000</v>
      </c>
      <c r="E100" s="2">
        <v>4</v>
      </c>
      <c r="F100" s="2">
        <v>5</v>
      </c>
      <c r="G100" s="2">
        <v>5</v>
      </c>
      <c r="H100" s="2" t="s">
        <v>672</v>
      </c>
      <c r="I100" s="13" t="s">
        <v>644</v>
      </c>
    </row>
    <row r="101" spans="1:9" x14ac:dyDescent="0.3">
      <c r="A101" s="8" t="s">
        <v>96</v>
      </c>
      <c r="B101" s="10">
        <v>45255</v>
      </c>
      <c r="C101" s="7">
        <v>7</v>
      </c>
      <c r="D101" s="9">
        <v>3760000</v>
      </c>
      <c r="E101" s="7">
        <v>5</v>
      </c>
      <c r="F101" s="7">
        <v>5</v>
      </c>
      <c r="G101" s="7">
        <v>5</v>
      </c>
      <c r="H101" s="7" t="s">
        <v>677</v>
      </c>
      <c r="I101" s="16" t="s">
        <v>659</v>
      </c>
    </row>
    <row r="102" spans="1:9" x14ac:dyDescent="0.3">
      <c r="A102" s="3" t="s">
        <v>56</v>
      </c>
      <c r="B102" s="5">
        <v>45216</v>
      </c>
      <c r="C102" s="2">
        <v>5</v>
      </c>
      <c r="D102" s="4">
        <v>1752000</v>
      </c>
      <c r="E102" s="2">
        <v>2</v>
      </c>
      <c r="F102" s="2">
        <v>4</v>
      </c>
      <c r="G102" s="2">
        <v>4</v>
      </c>
      <c r="H102" s="2" t="s">
        <v>647</v>
      </c>
      <c r="I102" s="12" t="s">
        <v>641</v>
      </c>
    </row>
    <row r="103" spans="1:9" x14ac:dyDescent="0.3">
      <c r="A103" s="8" t="s">
        <v>459</v>
      </c>
      <c r="B103" s="10">
        <v>45227</v>
      </c>
      <c r="C103" s="7">
        <v>6</v>
      </c>
      <c r="D103" s="9">
        <v>1146000</v>
      </c>
      <c r="E103" s="7">
        <v>3</v>
      </c>
      <c r="F103" s="7">
        <v>4</v>
      </c>
      <c r="G103" s="7">
        <v>3</v>
      </c>
      <c r="H103" s="7" t="s">
        <v>689</v>
      </c>
      <c r="I103" s="13" t="s">
        <v>644</v>
      </c>
    </row>
    <row r="104" spans="1:9" x14ac:dyDescent="0.3">
      <c r="A104" s="3" t="s">
        <v>236</v>
      </c>
      <c r="B104" s="5">
        <v>45185</v>
      </c>
      <c r="C104" s="2">
        <v>1</v>
      </c>
      <c r="D104" s="4">
        <v>340000</v>
      </c>
      <c r="E104" s="2">
        <v>1</v>
      </c>
      <c r="F104" s="2">
        <v>1</v>
      </c>
      <c r="G104" s="2">
        <v>2</v>
      </c>
      <c r="H104" s="2" t="s">
        <v>642</v>
      </c>
      <c r="I104" s="12" t="s">
        <v>641</v>
      </c>
    </row>
    <row r="105" spans="1:9" x14ac:dyDescent="0.3">
      <c r="A105" s="8" t="s">
        <v>629</v>
      </c>
      <c r="B105" s="10">
        <v>45260</v>
      </c>
      <c r="C105" s="7">
        <v>4</v>
      </c>
      <c r="D105" s="9">
        <v>734000</v>
      </c>
      <c r="E105" s="7">
        <v>5</v>
      </c>
      <c r="F105" s="7">
        <v>4</v>
      </c>
      <c r="G105" s="7">
        <v>3</v>
      </c>
      <c r="H105" s="7" t="s">
        <v>700</v>
      </c>
      <c r="I105" s="13" t="s">
        <v>644</v>
      </c>
    </row>
    <row r="106" spans="1:9" x14ac:dyDescent="0.3">
      <c r="A106" s="3" t="s">
        <v>82</v>
      </c>
      <c r="B106" s="5">
        <v>45236</v>
      </c>
      <c r="C106" s="2">
        <v>6</v>
      </c>
      <c r="D106" s="4">
        <v>6357600</v>
      </c>
      <c r="E106" s="2">
        <v>3</v>
      </c>
      <c r="F106" s="2">
        <v>4</v>
      </c>
      <c r="G106" s="2">
        <v>5</v>
      </c>
      <c r="H106" s="2" t="s">
        <v>703</v>
      </c>
      <c r="I106" s="13" t="s">
        <v>644</v>
      </c>
    </row>
    <row r="107" spans="1:9" x14ac:dyDescent="0.3">
      <c r="A107" s="8" t="s">
        <v>590</v>
      </c>
      <c r="B107" s="10">
        <v>45250</v>
      </c>
      <c r="C107" s="7">
        <v>2</v>
      </c>
      <c r="D107" s="9">
        <v>3270000</v>
      </c>
      <c r="E107" s="7">
        <v>4</v>
      </c>
      <c r="F107" s="7">
        <v>2</v>
      </c>
      <c r="G107" s="7">
        <v>5</v>
      </c>
      <c r="H107" s="7" t="s">
        <v>684</v>
      </c>
      <c r="I107" s="14" t="s">
        <v>650</v>
      </c>
    </row>
    <row r="108" spans="1:9" x14ac:dyDescent="0.3">
      <c r="A108" s="3" t="s">
        <v>191</v>
      </c>
      <c r="B108" s="5">
        <v>45185</v>
      </c>
      <c r="C108" s="2">
        <v>1</v>
      </c>
      <c r="D108" s="4">
        <v>500000</v>
      </c>
      <c r="E108" s="2">
        <v>1</v>
      </c>
      <c r="F108" s="2">
        <v>1</v>
      </c>
      <c r="G108" s="2">
        <v>2</v>
      </c>
      <c r="H108" s="2" t="s">
        <v>642</v>
      </c>
      <c r="I108" s="12" t="s">
        <v>641</v>
      </c>
    </row>
    <row r="109" spans="1:9" x14ac:dyDescent="0.3">
      <c r="A109" s="8" t="s">
        <v>48</v>
      </c>
      <c r="B109" s="10">
        <v>45173</v>
      </c>
      <c r="C109" s="7">
        <v>3</v>
      </c>
      <c r="D109" s="9">
        <v>398000</v>
      </c>
      <c r="E109" s="7">
        <v>1</v>
      </c>
      <c r="F109" s="7">
        <v>3</v>
      </c>
      <c r="G109" s="7">
        <v>2</v>
      </c>
      <c r="H109" s="7" t="s">
        <v>671</v>
      </c>
      <c r="I109" s="12" t="s">
        <v>641</v>
      </c>
    </row>
    <row r="110" spans="1:9" x14ac:dyDescent="0.3">
      <c r="A110" s="3" t="s">
        <v>203</v>
      </c>
      <c r="B110" s="5">
        <v>45185</v>
      </c>
      <c r="C110" s="2">
        <v>3</v>
      </c>
      <c r="D110" s="4">
        <v>140000</v>
      </c>
      <c r="E110" s="2">
        <v>1</v>
      </c>
      <c r="F110" s="2">
        <v>3</v>
      </c>
      <c r="G110" s="2">
        <v>1</v>
      </c>
      <c r="H110" s="2" t="s">
        <v>691</v>
      </c>
      <c r="I110" s="12" t="s">
        <v>641</v>
      </c>
    </row>
    <row r="111" spans="1:9" x14ac:dyDescent="0.3">
      <c r="A111" s="8" t="s">
        <v>228</v>
      </c>
      <c r="B111" s="10">
        <v>45255</v>
      </c>
      <c r="C111" s="7">
        <v>14</v>
      </c>
      <c r="D111" s="9">
        <v>1948000</v>
      </c>
      <c r="E111" s="7">
        <v>5</v>
      </c>
      <c r="F111" s="7">
        <v>5</v>
      </c>
      <c r="G111" s="7">
        <v>4</v>
      </c>
      <c r="H111" s="7" t="s">
        <v>695</v>
      </c>
      <c r="I111" s="16" t="s">
        <v>659</v>
      </c>
    </row>
    <row r="112" spans="1:9" x14ac:dyDescent="0.3">
      <c r="A112" s="3" t="s">
        <v>321</v>
      </c>
      <c r="B112" s="5">
        <v>45248</v>
      </c>
      <c r="C112" s="2">
        <v>14</v>
      </c>
      <c r="D112" s="4">
        <v>1572500</v>
      </c>
      <c r="E112" s="2">
        <v>4</v>
      </c>
      <c r="F112" s="2">
        <v>5</v>
      </c>
      <c r="G112" s="2">
        <v>4</v>
      </c>
      <c r="H112" s="2" t="s">
        <v>704</v>
      </c>
      <c r="I112" s="13" t="s">
        <v>644</v>
      </c>
    </row>
    <row r="113" spans="1:9" x14ac:dyDescent="0.3">
      <c r="A113" s="8" t="s">
        <v>258</v>
      </c>
      <c r="B113" s="10">
        <v>45192</v>
      </c>
      <c r="C113" s="7">
        <v>1</v>
      </c>
      <c r="D113" s="9">
        <v>260000</v>
      </c>
      <c r="E113" s="7">
        <v>1</v>
      </c>
      <c r="F113" s="7">
        <v>1</v>
      </c>
      <c r="G113" s="7">
        <v>1</v>
      </c>
      <c r="H113" s="7" t="s">
        <v>678</v>
      </c>
      <c r="I113" s="12" t="s">
        <v>641</v>
      </c>
    </row>
    <row r="114" spans="1:9" x14ac:dyDescent="0.3">
      <c r="A114" s="3" t="s">
        <v>375</v>
      </c>
      <c r="B114" s="5">
        <v>45212</v>
      </c>
      <c r="C114" s="2">
        <v>5</v>
      </c>
      <c r="D114" s="4">
        <v>2347000</v>
      </c>
      <c r="E114" s="2">
        <v>2</v>
      </c>
      <c r="F114" s="2">
        <v>4</v>
      </c>
      <c r="G114" s="2">
        <v>4</v>
      </c>
      <c r="H114" s="2" t="s">
        <v>647</v>
      </c>
      <c r="I114" s="12" t="s">
        <v>641</v>
      </c>
    </row>
    <row r="115" spans="1:9" x14ac:dyDescent="0.3">
      <c r="A115" s="8" t="s">
        <v>466</v>
      </c>
      <c r="B115" s="10">
        <v>45227</v>
      </c>
      <c r="C115" s="7">
        <v>1</v>
      </c>
      <c r="D115" s="9">
        <v>54000</v>
      </c>
      <c r="E115" s="7">
        <v>3</v>
      </c>
      <c r="F115" s="7">
        <v>1</v>
      </c>
      <c r="G115" s="7">
        <v>1</v>
      </c>
      <c r="H115" s="7" t="s">
        <v>692</v>
      </c>
      <c r="I115" s="15" t="s">
        <v>656</v>
      </c>
    </row>
    <row r="116" spans="1:9" x14ac:dyDescent="0.3">
      <c r="A116" s="3" t="s">
        <v>467</v>
      </c>
      <c r="B116" s="5">
        <v>45227</v>
      </c>
      <c r="C116" s="2">
        <v>1</v>
      </c>
      <c r="D116" s="4">
        <v>156000</v>
      </c>
      <c r="E116" s="2">
        <v>3</v>
      </c>
      <c r="F116" s="2">
        <v>2</v>
      </c>
      <c r="G116" s="2">
        <v>1</v>
      </c>
      <c r="H116" s="2" t="s">
        <v>655</v>
      </c>
      <c r="I116" s="15" t="s">
        <v>656</v>
      </c>
    </row>
    <row r="117" spans="1:9" x14ac:dyDescent="0.3">
      <c r="A117" s="8" t="s">
        <v>99</v>
      </c>
      <c r="B117" s="10">
        <v>45248</v>
      </c>
      <c r="C117" s="7">
        <v>11</v>
      </c>
      <c r="D117" s="9">
        <v>2644000</v>
      </c>
      <c r="E117" s="7">
        <v>4</v>
      </c>
      <c r="F117" s="7">
        <v>5</v>
      </c>
      <c r="G117" s="7">
        <v>4</v>
      </c>
      <c r="H117" s="7" t="s">
        <v>704</v>
      </c>
      <c r="I117" s="13" t="s">
        <v>644</v>
      </c>
    </row>
    <row r="118" spans="1:9" x14ac:dyDescent="0.3">
      <c r="A118" s="3" t="s">
        <v>358</v>
      </c>
      <c r="B118" s="5">
        <v>45205</v>
      </c>
      <c r="C118" s="2">
        <v>1</v>
      </c>
      <c r="D118" s="4">
        <v>168000</v>
      </c>
      <c r="E118" s="2">
        <v>1</v>
      </c>
      <c r="F118" s="2">
        <v>2</v>
      </c>
      <c r="G118" s="2">
        <v>1</v>
      </c>
      <c r="H118" s="2" t="s">
        <v>705</v>
      </c>
      <c r="I118" s="12" t="s">
        <v>641</v>
      </c>
    </row>
    <row r="119" spans="1:9" x14ac:dyDescent="0.3">
      <c r="A119" s="8" t="s">
        <v>93</v>
      </c>
      <c r="B119" s="10">
        <v>45248</v>
      </c>
      <c r="C119" s="7">
        <v>12</v>
      </c>
      <c r="D119" s="9">
        <v>4090800</v>
      </c>
      <c r="E119" s="7">
        <v>4</v>
      </c>
      <c r="F119" s="7">
        <v>5</v>
      </c>
      <c r="G119" s="7">
        <v>5</v>
      </c>
      <c r="H119" s="7" t="s">
        <v>672</v>
      </c>
      <c r="I119" s="13" t="s">
        <v>644</v>
      </c>
    </row>
    <row r="120" spans="1:9" x14ac:dyDescent="0.3">
      <c r="A120" s="3" t="s">
        <v>194</v>
      </c>
      <c r="B120" s="5">
        <v>45248</v>
      </c>
      <c r="C120" s="2">
        <v>9</v>
      </c>
      <c r="D120" s="4">
        <v>1064000</v>
      </c>
      <c r="E120" s="2">
        <v>4</v>
      </c>
      <c r="F120" s="2">
        <v>5</v>
      </c>
      <c r="G120" s="2">
        <v>3</v>
      </c>
      <c r="H120" s="2" t="s">
        <v>706</v>
      </c>
      <c r="I120" s="13" t="s">
        <v>644</v>
      </c>
    </row>
    <row r="121" spans="1:9" x14ac:dyDescent="0.3">
      <c r="A121" s="8" t="s">
        <v>458</v>
      </c>
      <c r="B121" s="10">
        <v>45227</v>
      </c>
      <c r="C121" s="7">
        <v>1</v>
      </c>
      <c r="D121" s="9">
        <v>108000</v>
      </c>
      <c r="E121" s="7">
        <v>3</v>
      </c>
      <c r="F121" s="7">
        <v>2</v>
      </c>
      <c r="G121" s="7">
        <v>1</v>
      </c>
      <c r="H121" s="7" t="s">
        <v>655</v>
      </c>
      <c r="I121" s="15" t="s">
        <v>656</v>
      </c>
    </row>
    <row r="122" spans="1:9" x14ac:dyDescent="0.3">
      <c r="A122" s="3" t="s">
        <v>111</v>
      </c>
      <c r="B122" s="5">
        <v>45180</v>
      </c>
      <c r="C122" s="2">
        <v>2</v>
      </c>
      <c r="D122" s="4">
        <v>600000</v>
      </c>
      <c r="E122" s="2">
        <v>1</v>
      </c>
      <c r="F122" s="2">
        <v>2</v>
      </c>
      <c r="G122" s="2">
        <v>2</v>
      </c>
      <c r="H122" s="2" t="s">
        <v>688</v>
      </c>
      <c r="I122" s="12" t="s">
        <v>641</v>
      </c>
    </row>
    <row r="123" spans="1:9" x14ac:dyDescent="0.3">
      <c r="A123" s="8" t="s">
        <v>139</v>
      </c>
      <c r="B123" s="10">
        <v>45183</v>
      </c>
      <c r="C123" s="7">
        <v>1</v>
      </c>
      <c r="D123" s="9">
        <v>340000</v>
      </c>
      <c r="E123" s="7">
        <v>1</v>
      </c>
      <c r="F123" s="7">
        <v>2</v>
      </c>
      <c r="G123" s="7">
        <v>2</v>
      </c>
      <c r="H123" s="7" t="s">
        <v>688</v>
      </c>
      <c r="I123" s="12" t="s">
        <v>641</v>
      </c>
    </row>
    <row r="124" spans="1:9" x14ac:dyDescent="0.3">
      <c r="A124" s="3" t="s">
        <v>265</v>
      </c>
      <c r="B124" s="5">
        <v>45255</v>
      </c>
      <c r="C124" s="2">
        <v>13</v>
      </c>
      <c r="D124" s="4">
        <v>2600000</v>
      </c>
      <c r="E124" s="2">
        <v>5</v>
      </c>
      <c r="F124" s="2">
        <v>5</v>
      </c>
      <c r="G124" s="2">
        <v>4</v>
      </c>
      <c r="H124" s="2" t="s">
        <v>695</v>
      </c>
      <c r="I124" s="16" t="s">
        <v>659</v>
      </c>
    </row>
    <row r="125" spans="1:9" x14ac:dyDescent="0.3">
      <c r="A125" s="8" t="s">
        <v>69</v>
      </c>
      <c r="B125" s="10">
        <v>45175</v>
      </c>
      <c r="C125" s="7">
        <v>1</v>
      </c>
      <c r="D125" s="9">
        <v>220500</v>
      </c>
      <c r="E125" s="7">
        <v>1</v>
      </c>
      <c r="F125" s="7">
        <v>2</v>
      </c>
      <c r="G125" s="7">
        <v>1</v>
      </c>
      <c r="H125" s="7" t="s">
        <v>705</v>
      </c>
      <c r="I125" s="12" t="s">
        <v>641</v>
      </c>
    </row>
    <row r="126" spans="1:9" x14ac:dyDescent="0.3">
      <c r="A126" s="3" t="s">
        <v>361</v>
      </c>
      <c r="B126" s="5">
        <v>45248</v>
      </c>
      <c r="C126" s="2">
        <v>2</v>
      </c>
      <c r="D126" s="4">
        <v>868000</v>
      </c>
      <c r="E126" s="2">
        <v>4</v>
      </c>
      <c r="F126" s="2">
        <v>2</v>
      </c>
      <c r="G126" s="2">
        <v>3</v>
      </c>
      <c r="H126" s="2" t="s">
        <v>694</v>
      </c>
      <c r="I126" s="14" t="s">
        <v>650</v>
      </c>
    </row>
    <row r="127" spans="1:9" x14ac:dyDescent="0.3">
      <c r="A127" s="8" t="s">
        <v>551</v>
      </c>
      <c r="B127" s="10">
        <v>45240</v>
      </c>
      <c r="C127" s="7">
        <v>2</v>
      </c>
      <c r="D127" s="9">
        <v>252000</v>
      </c>
      <c r="E127" s="7">
        <v>3</v>
      </c>
      <c r="F127" s="7">
        <v>3</v>
      </c>
      <c r="G127" s="7">
        <v>1</v>
      </c>
      <c r="H127" s="7" t="s">
        <v>667</v>
      </c>
      <c r="I127" s="15" t="s">
        <v>656</v>
      </c>
    </row>
    <row r="128" spans="1:9" x14ac:dyDescent="0.3">
      <c r="A128" s="3" t="s">
        <v>372</v>
      </c>
      <c r="B128" s="5">
        <v>45255</v>
      </c>
      <c r="C128" s="2">
        <v>3</v>
      </c>
      <c r="D128" s="4">
        <v>3298600</v>
      </c>
      <c r="E128" s="2">
        <v>5</v>
      </c>
      <c r="F128" s="2">
        <v>3</v>
      </c>
      <c r="G128" s="2">
        <v>5</v>
      </c>
      <c r="H128" s="2" t="s">
        <v>707</v>
      </c>
      <c r="I128" s="13" t="s">
        <v>644</v>
      </c>
    </row>
    <row r="129" spans="1:9" x14ac:dyDescent="0.3">
      <c r="A129" s="8" t="s">
        <v>147</v>
      </c>
      <c r="B129" s="10">
        <v>45239</v>
      </c>
      <c r="C129" s="7">
        <v>9</v>
      </c>
      <c r="D129" s="9">
        <v>1337000</v>
      </c>
      <c r="E129" s="7">
        <v>3</v>
      </c>
      <c r="F129" s="7">
        <v>5</v>
      </c>
      <c r="G129" s="7">
        <v>3</v>
      </c>
      <c r="H129" s="7" t="s">
        <v>648</v>
      </c>
      <c r="I129" s="13" t="s">
        <v>644</v>
      </c>
    </row>
    <row r="130" spans="1:9" x14ac:dyDescent="0.3">
      <c r="A130" s="3" t="s">
        <v>130</v>
      </c>
      <c r="B130" s="5">
        <v>45180</v>
      </c>
      <c r="C130" s="2">
        <v>1</v>
      </c>
      <c r="D130" s="4">
        <v>144000</v>
      </c>
      <c r="E130" s="2">
        <v>1</v>
      </c>
      <c r="F130" s="2">
        <v>2</v>
      </c>
      <c r="G130" s="2">
        <v>1</v>
      </c>
      <c r="H130" s="2" t="s">
        <v>705</v>
      </c>
      <c r="I130" s="12" t="s">
        <v>641</v>
      </c>
    </row>
    <row r="131" spans="1:9" x14ac:dyDescent="0.3">
      <c r="A131" s="8" t="s">
        <v>341</v>
      </c>
      <c r="B131" s="10">
        <v>45254</v>
      </c>
      <c r="C131" s="7">
        <v>11</v>
      </c>
      <c r="D131" s="9">
        <v>6324500</v>
      </c>
      <c r="E131" s="7">
        <v>5</v>
      </c>
      <c r="F131" s="7">
        <v>5</v>
      </c>
      <c r="G131" s="7">
        <v>5</v>
      </c>
      <c r="H131" s="7" t="s">
        <v>677</v>
      </c>
      <c r="I131" s="16" t="s">
        <v>659</v>
      </c>
    </row>
    <row r="132" spans="1:9" x14ac:dyDescent="0.3">
      <c r="A132" s="3" t="s">
        <v>307</v>
      </c>
      <c r="B132" s="5">
        <v>45212</v>
      </c>
      <c r="C132" s="2">
        <v>3</v>
      </c>
      <c r="D132" s="4">
        <v>141000</v>
      </c>
      <c r="E132" s="2">
        <v>2</v>
      </c>
      <c r="F132" s="2">
        <v>3</v>
      </c>
      <c r="G132" s="2">
        <v>1</v>
      </c>
      <c r="H132" s="2" t="s">
        <v>687</v>
      </c>
      <c r="I132" s="12" t="s">
        <v>641</v>
      </c>
    </row>
    <row r="133" spans="1:9" x14ac:dyDescent="0.3">
      <c r="A133" s="8" t="s">
        <v>476</v>
      </c>
      <c r="B133" s="10">
        <v>45250</v>
      </c>
      <c r="C133" s="7">
        <v>7</v>
      </c>
      <c r="D133" s="9">
        <v>680000</v>
      </c>
      <c r="E133" s="7">
        <v>4</v>
      </c>
      <c r="F133" s="7">
        <v>5</v>
      </c>
      <c r="G133" s="7">
        <v>3</v>
      </c>
      <c r="H133" s="7" t="s">
        <v>706</v>
      </c>
      <c r="I133" s="13" t="s">
        <v>644</v>
      </c>
    </row>
    <row r="134" spans="1:9" x14ac:dyDescent="0.3">
      <c r="A134" s="3" t="s">
        <v>525</v>
      </c>
      <c r="B134" s="5">
        <v>45234</v>
      </c>
      <c r="C134" s="2">
        <v>2</v>
      </c>
      <c r="D134" s="4">
        <v>272000</v>
      </c>
      <c r="E134" s="2">
        <v>3</v>
      </c>
      <c r="F134" s="2">
        <v>3</v>
      </c>
      <c r="G134" s="2">
        <v>1</v>
      </c>
      <c r="H134" s="2" t="s">
        <v>667</v>
      </c>
      <c r="I134" s="15" t="s">
        <v>656</v>
      </c>
    </row>
    <row r="135" spans="1:9" x14ac:dyDescent="0.3">
      <c r="A135" s="8" t="s">
        <v>552</v>
      </c>
      <c r="B135" s="10">
        <v>45252</v>
      </c>
      <c r="C135" s="7">
        <v>4</v>
      </c>
      <c r="D135" s="9">
        <v>1856000</v>
      </c>
      <c r="E135" s="7">
        <v>4</v>
      </c>
      <c r="F135" s="7">
        <v>4</v>
      </c>
      <c r="G135" s="7">
        <v>4</v>
      </c>
      <c r="H135" s="7" t="s">
        <v>708</v>
      </c>
      <c r="I135" s="13" t="s">
        <v>644</v>
      </c>
    </row>
    <row r="136" spans="1:9" x14ac:dyDescent="0.3">
      <c r="A136" s="3" t="s">
        <v>251</v>
      </c>
      <c r="B136" s="5">
        <v>45253</v>
      </c>
      <c r="C136" s="2">
        <v>6</v>
      </c>
      <c r="D136" s="4">
        <v>2871600</v>
      </c>
      <c r="E136" s="2">
        <v>5</v>
      </c>
      <c r="F136" s="2">
        <v>4</v>
      </c>
      <c r="G136" s="2">
        <v>5</v>
      </c>
      <c r="H136" s="2" t="s">
        <v>658</v>
      </c>
      <c r="I136" s="16" t="s">
        <v>659</v>
      </c>
    </row>
    <row r="137" spans="1:9" x14ac:dyDescent="0.3">
      <c r="A137" s="8" t="s">
        <v>244</v>
      </c>
      <c r="B137" s="10">
        <v>45185</v>
      </c>
      <c r="C137" s="7">
        <v>1</v>
      </c>
      <c r="D137" s="9">
        <v>816000</v>
      </c>
      <c r="E137" s="7">
        <v>1</v>
      </c>
      <c r="F137" s="7">
        <v>2</v>
      </c>
      <c r="G137" s="7">
        <v>3</v>
      </c>
      <c r="H137" s="7" t="s">
        <v>651</v>
      </c>
      <c r="I137" s="12" t="s">
        <v>641</v>
      </c>
    </row>
    <row r="138" spans="1:9" x14ac:dyDescent="0.3">
      <c r="A138" s="3" t="s">
        <v>588</v>
      </c>
      <c r="B138" s="5">
        <v>45248</v>
      </c>
      <c r="C138" s="2">
        <v>1</v>
      </c>
      <c r="D138" s="4">
        <v>1069200</v>
      </c>
      <c r="E138" s="2">
        <v>4</v>
      </c>
      <c r="F138" s="2">
        <v>2</v>
      </c>
      <c r="G138" s="2">
        <v>3</v>
      </c>
      <c r="H138" s="2" t="s">
        <v>694</v>
      </c>
      <c r="I138" s="14" t="s">
        <v>650</v>
      </c>
    </row>
    <row r="139" spans="1:9" x14ac:dyDescent="0.3">
      <c r="A139" s="8" t="s">
        <v>61</v>
      </c>
      <c r="B139" s="10">
        <v>45250</v>
      </c>
      <c r="C139" s="7">
        <v>19</v>
      </c>
      <c r="D139" s="9">
        <v>11022000</v>
      </c>
      <c r="E139" s="7">
        <v>4</v>
      </c>
      <c r="F139" s="7">
        <v>5</v>
      </c>
      <c r="G139" s="7">
        <v>5</v>
      </c>
      <c r="H139" s="7" t="s">
        <v>672</v>
      </c>
      <c r="I139" s="13" t="s">
        <v>644</v>
      </c>
    </row>
    <row r="140" spans="1:9" x14ac:dyDescent="0.3">
      <c r="A140" s="3" t="s">
        <v>150</v>
      </c>
      <c r="B140" s="5">
        <v>45239</v>
      </c>
      <c r="C140" s="2">
        <v>23</v>
      </c>
      <c r="D140" s="4">
        <v>4044500</v>
      </c>
      <c r="E140" s="2">
        <v>3</v>
      </c>
      <c r="F140" s="2">
        <v>5</v>
      </c>
      <c r="G140" s="2">
        <v>5</v>
      </c>
      <c r="H140" s="2" t="s">
        <v>646</v>
      </c>
      <c r="I140" s="13" t="s">
        <v>644</v>
      </c>
    </row>
    <row r="141" spans="1:9" x14ac:dyDescent="0.3">
      <c r="A141" s="8" t="s">
        <v>235</v>
      </c>
      <c r="B141" s="10">
        <v>45248</v>
      </c>
      <c r="C141" s="7">
        <v>5</v>
      </c>
      <c r="D141" s="9">
        <v>1845000</v>
      </c>
      <c r="E141" s="7">
        <v>4</v>
      </c>
      <c r="F141" s="7">
        <v>4</v>
      </c>
      <c r="G141" s="7">
        <v>4</v>
      </c>
      <c r="H141" s="7" t="s">
        <v>708</v>
      </c>
      <c r="I141" s="13" t="s">
        <v>644</v>
      </c>
    </row>
    <row r="142" spans="1:9" x14ac:dyDescent="0.3">
      <c r="A142" s="3" t="s">
        <v>560</v>
      </c>
      <c r="B142" s="5">
        <v>45255</v>
      </c>
      <c r="C142" s="2">
        <v>6</v>
      </c>
      <c r="D142" s="4">
        <v>1844000</v>
      </c>
      <c r="E142" s="2">
        <v>5</v>
      </c>
      <c r="F142" s="2">
        <v>4</v>
      </c>
      <c r="G142" s="2">
        <v>4</v>
      </c>
      <c r="H142" s="2" t="s">
        <v>660</v>
      </c>
      <c r="I142" s="16" t="s">
        <v>659</v>
      </c>
    </row>
    <row r="143" spans="1:9" x14ac:dyDescent="0.3">
      <c r="A143" s="8" t="s">
        <v>355</v>
      </c>
      <c r="B143" s="10">
        <v>45205</v>
      </c>
      <c r="C143" s="7">
        <v>1</v>
      </c>
      <c r="D143" s="9">
        <v>460000</v>
      </c>
      <c r="E143" s="7">
        <v>1</v>
      </c>
      <c r="F143" s="7">
        <v>2</v>
      </c>
      <c r="G143" s="7">
        <v>2</v>
      </c>
      <c r="H143" s="7" t="s">
        <v>688</v>
      </c>
      <c r="I143" s="12" t="s">
        <v>641</v>
      </c>
    </row>
    <row r="144" spans="1:9" x14ac:dyDescent="0.3">
      <c r="A144" s="3" t="s">
        <v>362</v>
      </c>
      <c r="B144" s="5">
        <v>45206</v>
      </c>
      <c r="C144" s="2">
        <v>2</v>
      </c>
      <c r="D144" s="4">
        <v>498000</v>
      </c>
      <c r="E144" s="2">
        <v>1</v>
      </c>
      <c r="F144" s="2">
        <v>3</v>
      </c>
      <c r="G144" s="2">
        <v>2</v>
      </c>
      <c r="H144" s="2" t="s">
        <v>671</v>
      </c>
      <c r="I144" s="12" t="s">
        <v>641</v>
      </c>
    </row>
    <row r="145" spans="1:9" x14ac:dyDescent="0.3">
      <c r="A145" s="8" t="s">
        <v>318</v>
      </c>
      <c r="B145" s="10">
        <v>45220</v>
      </c>
      <c r="C145" s="7">
        <v>3</v>
      </c>
      <c r="D145" s="9">
        <v>320000</v>
      </c>
      <c r="E145" s="7">
        <v>2</v>
      </c>
      <c r="F145" s="7">
        <v>3</v>
      </c>
      <c r="G145" s="7">
        <v>2</v>
      </c>
      <c r="H145" s="7" t="s">
        <v>709</v>
      </c>
      <c r="I145" s="12" t="s">
        <v>641</v>
      </c>
    </row>
    <row r="146" spans="1:9" x14ac:dyDescent="0.3">
      <c r="A146" s="3" t="s">
        <v>274</v>
      </c>
      <c r="B146" s="5">
        <v>45220</v>
      </c>
      <c r="C146" s="2">
        <v>6</v>
      </c>
      <c r="D146" s="4">
        <v>1794000</v>
      </c>
      <c r="E146" s="2">
        <v>2</v>
      </c>
      <c r="F146" s="2">
        <v>4</v>
      </c>
      <c r="G146" s="2">
        <v>4</v>
      </c>
      <c r="H146" s="2" t="s">
        <v>647</v>
      </c>
      <c r="I146" s="12" t="s">
        <v>641</v>
      </c>
    </row>
    <row r="147" spans="1:9" x14ac:dyDescent="0.3">
      <c r="A147" s="8" t="s">
        <v>245</v>
      </c>
      <c r="B147" s="10">
        <v>45255</v>
      </c>
      <c r="C147" s="7">
        <v>17</v>
      </c>
      <c r="D147" s="9">
        <v>3754000</v>
      </c>
      <c r="E147" s="7">
        <v>5</v>
      </c>
      <c r="F147" s="7">
        <v>5</v>
      </c>
      <c r="G147" s="7">
        <v>5</v>
      </c>
      <c r="H147" s="7" t="s">
        <v>677</v>
      </c>
      <c r="I147" s="16" t="s">
        <v>659</v>
      </c>
    </row>
    <row r="148" spans="1:9" x14ac:dyDescent="0.3">
      <c r="A148" s="3" t="s">
        <v>310</v>
      </c>
      <c r="B148" s="5">
        <v>45252</v>
      </c>
      <c r="C148" s="2">
        <v>7</v>
      </c>
      <c r="D148" s="4">
        <v>4004000</v>
      </c>
      <c r="E148" s="2">
        <v>4</v>
      </c>
      <c r="F148" s="2">
        <v>5</v>
      </c>
      <c r="G148" s="2">
        <v>5</v>
      </c>
      <c r="H148" s="2" t="s">
        <v>672</v>
      </c>
      <c r="I148" s="13" t="s">
        <v>644</v>
      </c>
    </row>
    <row r="149" spans="1:9" x14ac:dyDescent="0.3">
      <c r="A149" s="8" t="s">
        <v>593</v>
      </c>
      <c r="B149" s="10">
        <v>45250</v>
      </c>
      <c r="C149" s="7">
        <v>1</v>
      </c>
      <c r="D149" s="9">
        <v>1635000</v>
      </c>
      <c r="E149" s="7">
        <v>4</v>
      </c>
      <c r="F149" s="7">
        <v>2</v>
      </c>
      <c r="G149" s="7">
        <v>4</v>
      </c>
      <c r="H149" s="7" t="s">
        <v>696</v>
      </c>
      <c r="I149" s="14" t="s">
        <v>650</v>
      </c>
    </row>
    <row r="150" spans="1:9" x14ac:dyDescent="0.3">
      <c r="A150" s="3" t="s">
        <v>631</v>
      </c>
      <c r="B150" s="5">
        <v>45260</v>
      </c>
      <c r="C150" s="2">
        <v>5</v>
      </c>
      <c r="D150" s="4">
        <v>782000</v>
      </c>
      <c r="E150" s="2">
        <v>5</v>
      </c>
      <c r="F150" s="2">
        <v>4</v>
      </c>
      <c r="G150" s="2">
        <v>3</v>
      </c>
      <c r="H150" s="2" t="s">
        <v>700</v>
      </c>
      <c r="I150" s="13" t="s">
        <v>644</v>
      </c>
    </row>
    <row r="151" spans="1:9" x14ac:dyDescent="0.3">
      <c r="A151" s="8" t="s">
        <v>162</v>
      </c>
      <c r="B151" s="10">
        <v>45183</v>
      </c>
      <c r="C151" s="7">
        <v>3</v>
      </c>
      <c r="D151" s="9">
        <v>383000</v>
      </c>
      <c r="E151" s="7">
        <v>1</v>
      </c>
      <c r="F151" s="7">
        <v>3</v>
      </c>
      <c r="G151" s="7">
        <v>2</v>
      </c>
      <c r="H151" s="7" t="s">
        <v>671</v>
      </c>
      <c r="I151" s="12" t="s">
        <v>641</v>
      </c>
    </row>
    <row r="152" spans="1:9" x14ac:dyDescent="0.3">
      <c r="A152" s="3" t="s">
        <v>273</v>
      </c>
      <c r="B152" s="5">
        <v>45243</v>
      </c>
      <c r="C152" s="2">
        <v>5</v>
      </c>
      <c r="D152" s="4">
        <v>1535000</v>
      </c>
      <c r="E152" s="2">
        <v>4</v>
      </c>
      <c r="F152" s="2">
        <v>4</v>
      </c>
      <c r="G152" s="2">
        <v>4</v>
      </c>
      <c r="H152" s="2" t="s">
        <v>708</v>
      </c>
      <c r="I152" s="13" t="s">
        <v>644</v>
      </c>
    </row>
    <row r="153" spans="1:9" x14ac:dyDescent="0.3">
      <c r="A153" s="8" t="s">
        <v>216</v>
      </c>
      <c r="B153" s="10">
        <v>45213</v>
      </c>
      <c r="C153" s="7">
        <v>2</v>
      </c>
      <c r="D153" s="9">
        <v>743000</v>
      </c>
      <c r="E153" s="7">
        <v>2</v>
      </c>
      <c r="F153" s="7">
        <v>3</v>
      </c>
      <c r="G153" s="7">
        <v>3</v>
      </c>
      <c r="H153" s="7" t="s">
        <v>640</v>
      </c>
      <c r="I153" s="12" t="s">
        <v>641</v>
      </c>
    </row>
    <row r="154" spans="1:9" x14ac:dyDescent="0.3">
      <c r="A154" s="3" t="s">
        <v>116</v>
      </c>
      <c r="B154" s="5">
        <v>45255</v>
      </c>
      <c r="C154" s="2">
        <v>8</v>
      </c>
      <c r="D154" s="4">
        <v>1573000</v>
      </c>
      <c r="E154" s="2">
        <v>5</v>
      </c>
      <c r="F154" s="2">
        <v>5</v>
      </c>
      <c r="G154" s="2">
        <v>4</v>
      </c>
      <c r="H154" s="2" t="s">
        <v>695</v>
      </c>
      <c r="I154" s="16" t="s">
        <v>659</v>
      </c>
    </row>
    <row r="155" spans="1:9" x14ac:dyDescent="0.3">
      <c r="A155" s="8" t="s">
        <v>19</v>
      </c>
      <c r="B155" s="10">
        <v>45255</v>
      </c>
      <c r="C155" s="7">
        <v>7</v>
      </c>
      <c r="D155" s="9">
        <v>5092056</v>
      </c>
      <c r="E155" s="7">
        <v>5</v>
      </c>
      <c r="F155" s="7">
        <v>5</v>
      </c>
      <c r="G155" s="7">
        <v>5</v>
      </c>
      <c r="H155" s="7" t="s">
        <v>677</v>
      </c>
      <c r="I155" s="16" t="s">
        <v>659</v>
      </c>
    </row>
    <row r="156" spans="1:9" x14ac:dyDescent="0.3">
      <c r="A156" s="3" t="s">
        <v>309</v>
      </c>
      <c r="B156" s="5">
        <v>45198</v>
      </c>
      <c r="C156" s="2">
        <v>1</v>
      </c>
      <c r="D156" s="4">
        <v>410000</v>
      </c>
      <c r="E156" s="2">
        <v>1</v>
      </c>
      <c r="F156" s="2">
        <v>2</v>
      </c>
      <c r="G156" s="2">
        <v>2</v>
      </c>
      <c r="H156" s="2" t="s">
        <v>688</v>
      </c>
      <c r="I156" s="12" t="s">
        <v>641</v>
      </c>
    </row>
    <row r="157" spans="1:9" x14ac:dyDescent="0.3">
      <c r="A157" s="8" t="s">
        <v>561</v>
      </c>
      <c r="B157" s="10">
        <v>45243</v>
      </c>
      <c r="C157" s="7">
        <v>2</v>
      </c>
      <c r="D157" s="9">
        <v>455000</v>
      </c>
      <c r="E157" s="7">
        <v>4</v>
      </c>
      <c r="F157" s="7">
        <v>3</v>
      </c>
      <c r="G157" s="7">
        <v>2</v>
      </c>
      <c r="H157" s="7" t="s">
        <v>661</v>
      </c>
      <c r="I157" s="13" t="s">
        <v>644</v>
      </c>
    </row>
    <row r="158" spans="1:9" x14ac:dyDescent="0.3">
      <c r="A158" s="3" t="s">
        <v>619</v>
      </c>
      <c r="B158" s="5">
        <v>45255</v>
      </c>
      <c r="C158" s="2">
        <v>5</v>
      </c>
      <c r="D158" s="4">
        <v>1130000</v>
      </c>
      <c r="E158" s="2">
        <v>5</v>
      </c>
      <c r="F158" s="2">
        <v>4</v>
      </c>
      <c r="G158" s="2">
        <v>3</v>
      </c>
      <c r="H158" s="2" t="s">
        <v>700</v>
      </c>
      <c r="I158" s="13" t="s">
        <v>644</v>
      </c>
    </row>
    <row r="159" spans="1:9" x14ac:dyDescent="0.3">
      <c r="A159" s="8" t="s">
        <v>44</v>
      </c>
      <c r="B159" s="10">
        <v>45173</v>
      </c>
      <c r="C159" s="7">
        <v>1</v>
      </c>
      <c r="D159" s="9">
        <v>576000</v>
      </c>
      <c r="E159" s="7">
        <v>1</v>
      </c>
      <c r="F159" s="7">
        <v>2</v>
      </c>
      <c r="G159" s="7">
        <v>2</v>
      </c>
      <c r="H159" s="7" t="s">
        <v>688</v>
      </c>
      <c r="I159" s="12" t="s">
        <v>641</v>
      </c>
    </row>
    <row r="160" spans="1:9" x14ac:dyDescent="0.3">
      <c r="A160" s="3" t="s">
        <v>173</v>
      </c>
      <c r="B160" s="5">
        <v>45198</v>
      </c>
      <c r="C160" s="2">
        <v>3</v>
      </c>
      <c r="D160" s="4">
        <v>981000</v>
      </c>
      <c r="E160" s="2">
        <v>1</v>
      </c>
      <c r="F160" s="2">
        <v>3</v>
      </c>
      <c r="G160" s="2">
        <v>3</v>
      </c>
      <c r="H160" s="2" t="s">
        <v>710</v>
      </c>
      <c r="I160" s="12" t="s">
        <v>641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0"/>
  <sheetViews>
    <sheetView workbookViewId="0">
      <pane ySplit="1" topLeftCell="A2" activePane="bottomLeft" state="frozen"/>
      <selection pane="bottomLeft"/>
    </sheetView>
  </sheetViews>
  <sheetFormatPr defaultRowHeight="14.4" x14ac:dyDescent="0.3"/>
  <cols>
    <col min="1" max="1" width="39" customWidth="1"/>
    <col min="2" max="2" width="21" customWidth="1"/>
    <col min="3" max="3" width="13" customWidth="1"/>
    <col min="4" max="5" width="16" customWidth="1"/>
    <col min="6" max="6" width="23" customWidth="1"/>
    <col min="7" max="7" width="24" customWidth="1"/>
    <col min="8" max="8" width="8" customWidth="1"/>
  </cols>
  <sheetData>
    <row r="1" spans="1:8" x14ac:dyDescent="0.3">
      <c r="A1" s="1" t="s">
        <v>10</v>
      </c>
      <c r="B1" s="1" t="s">
        <v>632</v>
      </c>
      <c r="C1" s="1" t="s">
        <v>711</v>
      </c>
      <c r="D1" s="1" t="s">
        <v>712</v>
      </c>
      <c r="E1" s="1" t="s">
        <v>713</v>
      </c>
      <c r="F1" s="1" t="s">
        <v>714</v>
      </c>
      <c r="G1" s="1" t="s">
        <v>639</v>
      </c>
      <c r="H1" s="1" t="s">
        <v>638</v>
      </c>
    </row>
    <row r="2" spans="1:8" x14ac:dyDescent="0.3">
      <c r="A2" s="3" t="s">
        <v>61</v>
      </c>
      <c r="B2" s="5">
        <v>45250</v>
      </c>
      <c r="C2" s="2">
        <v>19</v>
      </c>
      <c r="D2" s="4">
        <v>11022000</v>
      </c>
      <c r="E2" s="4">
        <v>1446794</v>
      </c>
      <c r="F2" s="6">
        <v>0.13126419887497731</v>
      </c>
      <c r="G2" s="13" t="s">
        <v>644</v>
      </c>
      <c r="H2" s="2" t="s">
        <v>672</v>
      </c>
    </row>
    <row r="3" spans="1:8" x14ac:dyDescent="0.3">
      <c r="A3" s="8" t="s">
        <v>85</v>
      </c>
      <c r="B3" s="10">
        <v>45255</v>
      </c>
      <c r="C3" s="7">
        <v>8</v>
      </c>
      <c r="D3" s="9">
        <v>10078000</v>
      </c>
      <c r="E3" s="9">
        <v>3570960</v>
      </c>
      <c r="F3" s="11">
        <v>0.35433220877158172</v>
      </c>
      <c r="G3" s="16" t="s">
        <v>659</v>
      </c>
      <c r="H3" s="7" t="s">
        <v>677</v>
      </c>
    </row>
    <row r="4" spans="1:8" x14ac:dyDescent="0.3">
      <c r="A4" s="3" t="s">
        <v>398</v>
      </c>
      <c r="B4" s="5">
        <v>45213</v>
      </c>
      <c r="C4" s="2">
        <v>5</v>
      </c>
      <c r="D4" s="4">
        <v>8626400</v>
      </c>
      <c r="E4" s="4">
        <v>-431200</v>
      </c>
      <c r="F4" s="6">
        <v>-4.9986089214504308E-2</v>
      </c>
      <c r="G4" s="12" t="s">
        <v>641</v>
      </c>
      <c r="H4" s="2" t="s">
        <v>681</v>
      </c>
    </row>
    <row r="5" spans="1:8" x14ac:dyDescent="0.3">
      <c r="A5" s="8" t="s">
        <v>217</v>
      </c>
      <c r="B5" s="10">
        <v>45255</v>
      </c>
      <c r="C5" s="7">
        <v>7</v>
      </c>
      <c r="D5" s="9">
        <v>8520000</v>
      </c>
      <c r="E5" s="9">
        <v>2454984</v>
      </c>
      <c r="F5" s="11">
        <v>0.288143661971831</v>
      </c>
      <c r="G5" s="16" t="s">
        <v>659</v>
      </c>
      <c r="H5" s="7" t="s">
        <v>658</v>
      </c>
    </row>
    <row r="6" spans="1:8" x14ac:dyDescent="0.3">
      <c r="A6" s="3" t="s">
        <v>29</v>
      </c>
      <c r="B6" s="5">
        <v>45254</v>
      </c>
      <c r="C6" s="2">
        <v>7</v>
      </c>
      <c r="D6" s="4">
        <v>8334000</v>
      </c>
      <c r="E6" s="4">
        <v>1971276</v>
      </c>
      <c r="F6" s="6">
        <v>0.2365341972642189</v>
      </c>
      <c r="G6" s="16" t="s">
        <v>659</v>
      </c>
      <c r="H6" s="2" t="s">
        <v>658</v>
      </c>
    </row>
    <row r="7" spans="1:8" x14ac:dyDescent="0.3">
      <c r="A7" s="8" t="s">
        <v>477</v>
      </c>
      <c r="B7" s="10">
        <v>45255</v>
      </c>
      <c r="C7" s="7">
        <v>10</v>
      </c>
      <c r="D7" s="9">
        <v>7566000</v>
      </c>
      <c r="E7" s="9">
        <v>2282916</v>
      </c>
      <c r="F7" s="11">
        <v>0.30173354480570969</v>
      </c>
      <c r="G7" s="16" t="s">
        <v>659</v>
      </c>
      <c r="H7" s="7" t="s">
        <v>677</v>
      </c>
    </row>
    <row r="8" spans="1:8" x14ac:dyDescent="0.3">
      <c r="A8" s="3" t="s">
        <v>82</v>
      </c>
      <c r="B8" s="5">
        <v>45236</v>
      </c>
      <c r="C8" s="2">
        <v>6</v>
      </c>
      <c r="D8" s="4">
        <v>6357600</v>
      </c>
      <c r="E8" s="4">
        <v>1013184</v>
      </c>
      <c r="F8" s="6">
        <v>0.159365798414496</v>
      </c>
      <c r="G8" s="13" t="s">
        <v>644</v>
      </c>
      <c r="H8" s="2" t="s">
        <v>703</v>
      </c>
    </row>
    <row r="9" spans="1:8" x14ac:dyDescent="0.3">
      <c r="A9" s="8" t="s">
        <v>341</v>
      </c>
      <c r="B9" s="10">
        <v>45254</v>
      </c>
      <c r="C9" s="7">
        <v>11</v>
      </c>
      <c r="D9" s="9">
        <v>6324500</v>
      </c>
      <c r="E9" s="9">
        <v>807972</v>
      </c>
      <c r="F9" s="11">
        <v>0.12775270772393069</v>
      </c>
      <c r="G9" s="16" t="s">
        <v>659</v>
      </c>
      <c r="H9" s="7" t="s">
        <v>677</v>
      </c>
    </row>
    <row r="10" spans="1:8" x14ac:dyDescent="0.3">
      <c r="A10" s="3" t="s">
        <v>259</v>
      </c>
      <c r="B10" s="5">
        <v>45236</v>
      </c>
      <c r="C10" s="2">
        <v>3</v>
      </c>
      <c r="D10" s="4">
        <v>5907000</v>
      </c>
      <c r="E10" s="4">
        <v>720720</v>
      </c>
      <c r="F10" s="6">
        <v>0.1220111731843575</v>
      </c>
      <c r="G10" s="13" t="s">
        <v>644</v>
      </c>
      <c r="H10" s="2" t="s">
        <v>680</v>
      </c>
    </row>
    <row r="11" spans="1:8" x14ac:dyDescent="0.3">
      <c r="A11" s="8" t="s">
        <v>239</v>
      </c>
      <c r="B11" s="10">
        <v>45185</v>
      </c>
      <c r="C11" s="7">
        <v>8</v>
      </c>
      <c r="D11" s="9">
        <v>5321000</v>
      </c>
      <c r="E11" s="9">
        <v>2183000</v>
      </c>
      <c r="F11" s="11">
        <v>0.41026122909227591</v>
      </c>
      <c r="G11" s="12" t="s">
        <v>641</v>
      </c>
      <c r="H11" s="7" t="s">
        <v>693</v>
      </c>
    </row>
    <row r="12" spans="1:8" x14ac:dyDescent="0.3">
      <c r="A12" s="3" t="s">
        <v>19</v>
      </c>
      <c r="B12" s="5">
        <v>45255</v>
      </c>
      <c r="C12" s="2">
        <v>7</v>
      </c>
      <c r="D12" s="4">
        <v>5092056</v>
      </c>
      <c r="E12" s="4">
        <v>1188000</v>
      </c>
      <c r="F12" s="6">
        <v>0.23330458266759049</v>
      </c>
      <c r="G12" s="16" t="s">
        <v>659</v>
      </c>
      <c r="H12" s="2" t="s">
        <v>677</v>
      </c>
    </row>
    <row r="13" spans="1:8" x14ac:dyDescent="0.3">
      <c r="A13" s="8" t="s">
        <v>33</v>
      </c>
      <c r="B13" s="10">
        <v>45255</v>
      </c>
      <c r="C13" s="7">
        <v>8</v>
      </c>
      <c r="D13" s="9">
        <v>4873000</v>
      </c>
      <c r="E13" s="9">
        <v>-150440</v>
      </c>
      <c r="F13" s="11">
        <v>-3.087215267802175E-2</v>
      </c>
      <c r="G13" s="16" t="s">
        <v>659</v>
      </c>
      <c r="H13" s="7" t="s">
        <v>677</v>
      </c>
    </row>
    <row r="14" spans="1:8" x14ac:dyDescent="0.3">
      <c r="A14" s="3" t="s">
        <v>93</v>
      </c>
      <c r="B14" s="5">
        <v>45248</v>
      </c>
      <c r="C14" s="2">
        <v>12</v>
      </c>
      <c r="D14" s="4">
        <v>4090800</v>
      </c>
      <c r="E14" s="4">
        <v>538904</v>
      </c>
      <c r="F14" s="6">
        <v>0.13173560183827121</v>
      </c>
      <c r="G14" s="13" t="s">
        <v>644</v>
      </c>
      <c r="H14" s="2" t="s">
        <v>672</v>
      </c>
    </row>
    <row r="15" spans="1:8" x14ac:dyDescent="0.3">
      <c r="A15" s="8" t="s">
        <v>150</v>
      </c>
      <c r="B15" s="10">
        <v>45239</v>
      </c>
      <c r="C15" s="7">
        <v>23</v>
      </c>
      <c r="D15" s="9">
        <v>4044500</v>
      </c>
      <c r="E15" s="9">
        <v>275760</v>
      </c>
      <c r="F15" s="11">
        <v>6.8181481023612309E-2</v>
      </c>
      <c r="G15" s="13" t="s">
        <v>644</v>
      </c>
      <c r="H15" s="7" t="s">
        <v>646</v>
      </c>
    </row>
    <row r="16" spans="1:8" x14ac:dyDescent="0.3">
      <c r="A16" s="3" t="s">
        <v>310</v>
      </c>
      <c r="B16" s="5">
        <v>45252</v>
      </c>
      <c r="C16" s="2">
        <v>7</v>
      </c>
      <c r="D16" s="4">
        <v>4004000</v>
      </c>
      <c r="E16" s="4">
        <v>1298000</v>
      </c>
      <c r="F16" s="6">
        <v>0.32417582417582419</v>
      </c>
      <c r="G16" s="13" t="s">
        <v>644</v>
      </c>
      <c r="H16" s="2" t="s">
        <v>672</v>
      </c>
    </row>
    <row r="17" spans="1:8" x14ac:dyDescent="0.3">
      <c r="A17" s="8" t="s">
        <v>262</v>
      </c>
      <c r="B17" s="10">
        <v>45248</v>
      </c>
      <c r="C17" s="7">
        <v>2</v>
      </c>
      <c r="D17" s="9">
        <v>3990000</v>
      </c>
      <c r="E17" s="9">
        <v>606000</v>
      </c>
      <c r="F17" s="11">
        <v>0.15187969924812031</v>
      </c>
      <c r="G17" s="14" t="s">
        <v>650</v>
      </c>
      <c r="H17" s="7" t="s">
        <v>684</v>
      </c>
    </row>
    <row r="18" spans="1:8" x14ac:dyDescent="0.3">
      <c r="A18" s="3" t="s">
        <v>562</v>
      </c>
      <c r="B18" s="5">
        <v>45243</v>
      </c>
      <c r="C18" s="2">
        <v>1</v>
      </c>
      <c r="D18" s="4">
        <v>3924000</v>
      </c>
      <c r="E18" s="4">
        <v>2124000</v>
      </c>
      <c r="F18" s="6">
        <v>0.54128440366972475</v>
      </c>
      <c r="G18" s="14" t="s">
        <v>650</v>
      </c>
      <c r="H18" s="2" t="s">
        <v>683</v>
      </c>
    </row>
    <row r="19" spans="1:8" x14ac:dyDescent="0.3">
      <c r="A19" s="8" t="s">
        <v>96</v>
      </c>
      <c r="B19" s="10">
        <v>45255</v>
      </c>
      <c r="C19" s="7">
        <v>7</v>
      </c>
      <c r="D19" s="9">
        <v>3760000</v>
      </c>
      <c r="E19" s="9">
        <v>875856</v>
      </c>
      <c r="F19" s="11">
        <v>0.23294042553191491</v>
      </c>
      <c r="G19" s="16" t="s">
        <v>659</v>
      </c>
      <c r="H19" s="7" t="s">
        <v>677</v>
      </c>
    </row>
    <row r="20" spans="1:8" x14ac:dyDescent="0.3">
      <c r="A20" s="3" t="s">
        <v>245</v>
      </c>
      <c r="B20" s="5">
        <v>45255</v>
      </c>
      <c r="C20" s="2">
        <v>17</v>
      </c>
      <c r="D20" s="4">
        <v>3754000</v>
      </c>
      <c r="E20" s="4">
        <v>771755</v>
      </c>
      <c r="F20" s="6">
        <v>0.20558204581779441</v>
      </c>
      <c r="G20" s="16" t="s">
        <v>659</v>
      </c>
      <c r="H20" s="2" t="s">
        <v>677</v>
      </c>
    </row>
    <row r="21" spans="1:8" x14ac:dyDescent="0.3">
      <c r="A21" s="8" t="s">
        <v>178</v>
      </c>
      <c r="B21" s="10">
        <v>45243</v>
      </c>
      <c r="C21" s="7">
        <v>21</v>
      </c>
      <c r="D21" s="9">
        <v>3721000</v>
      </c>
      <c r="E21" s="9">
        <v>151214</v>
      </c>
      <c r="F21" s="11">
        <v>4.0638000537489921E-2</v>
      </c>
      <c r="G21" s="13" t="s">
        <v>644</v>
      </c>
      <c r="H21" s="7" t="s">
        <v>672</v>
      </c>
    </row>
    <row r="22" spans="1:8" x14ac:dyDescent="0.3">
      <c r="A22" s="3" t="s">
        <v>207</v>
      </c>
      <c r="B22" s="5">
        <v>45243</v>
      </c>
      <c r="C22" s="2">
        <v>7</v>
      </c>
      <c r="D22" s="4">
        <v>3561000</v>
      </c>
      <c r="E22" s="4">
        <v>1074276</v>
      </c>
      <c r="F22" s="6">
        <v>0.30167818028643639</v>
      </c>
      <c r="G22" s="13" t="s">
        <v>644</v>
      </c>
      <c r="H22" s="2" t="s">
        <v>672</v>
      </c>
    </row>
    <row r="23" spans="1:8" x14ac:dyDescent="0.3">
      <c r="A23" s="8" t="s">
        <v>43</v>
      </c>
      <c r="B23" s="10">
        <v>45243</v>
      </c>
      <c r="C23" s="7">
        <v>4</v>
      </c>
      <c r="D23" s="9">
        <v>3480000</v>
      </c>
      <c r="E23" s="9">
        <v>-54064</v>
      </c>
      <c r="F23" s="11">
        <v>-1.5535632183908051E-2</v>
      </c>
      <c r="G23" s="13" t="s">
        <v>644</v>
      </c>
      <c r="H23" s="7" t="s">
        <v>665</v>
      </c>
    </row>
    <row r="24" spans="1:8" x14ac:dyDescent="0.3">
      <c r="A24" s="3" t="s">
        <v>42</v>
      </c>
      <c r="B24" s="5">
        <v>45244</v>
      </c>
      <c r="C24" s="2">
        <v>7</v>
      </c>
      <c r="D24" s="4">
        <v>3366000</v>
      </c>
      <c r="E24" s="4">
        <v>505800</v>
      </c>
      <c r="F24" s="6">
        <v>0.15026737967914441</v>
      </c>
      <c r="G24" s="13" t="s">
        <v>644</v>
      </c>
      <c r="H24" s="2" t="s">
        <v>665</v>
      </c>
    </row>
    <row r="25" spans="1:8" x14ac:dyDescent="0.3">
      <c r="A25" s="8" t="s">
        <v>131</v>
      </c>
      <c r="B25" s="10">
        <v>45255</v>
      </c>
      <c r="C25" s="7">
        <v>8</v>
      </c>
      <c r="D25" s="9">
        <v>3330000</v>
      </c>
      <c r="E25" s="9">
        <v>1160690</v>
      </c>
      <c r="F25" s="11">
        <v>0.34855555555555562</v>
      </c>
      <c r="G25" s="16" t="s">
        <v>659</v>
      </c>
      <c r="H25" s="7" t="s">
        <v>677</v>
      </c>
    </row>
    <row r="26" spans="1:8" x14ac:dyDescent="0.3">
      <c r="A26" s="3" t="s">
        <v>372</v>
      </c>
      <c r="B26" s="5">
        <v>45255</v>
      </c>
      <c r="C26" s="2">
        <v>3</v>
      </c>
      <c r="D26" s="4">
        <v>3298600</v>
      </c>
      <c r="E26" s="4">
        <v>244240</v>
      </c>
      <c r="F26" s="6">
        <v>7.4043533620323773E-2</v>
      </c>
      <c r="G26" s="13" t="s">
        <v>644</v>
      </c>
      <c r="H26" s="2" t="s">
        <v>707</v>
      </c>
    </row>
    <row r="27" spans="1:8" x14ac:dyDescent="0.3">
      <c r="A27" s="8" t="s">
        <v>159</v>
      </c>
      <c r="B27" s="10">
        <v>45239</v>
      </c>
      <c r="C27" s="7">
        <v>12</v>
      </c>
      <c r="D27" s="9">
        <v>3277000</v>
      </c>
      <c r="E27" s="9">
        <v>997700</v>
      </c>
      <c r="F27" s="11">
        <v>0.30445529447665548</v>
      </c>
      <c r="G27" s="13" t="s">
        <v>644</v>
      </c>
      <c r="H27" s="7" t="s">
        <v>646</v>
      </c>
    </row>
    <row r="28" spans="1:8" x14ac:dyDescent="0.3">
      <c r="A28" s="3" t="s">
        <v>590</v>
      </c>
      <c r="B28" s="5">
        <v>45250</v>
      </c>
      <c r="C28" s="2">
        <v>2</v>
      </c>
      <c r="D28" s="4">
        <v>3270000</v>
      </c>
      <c r="E28" s="4">
        <v>1470000</v>
      </c>
      <c r="F28" s="6">
        <v>0.44954128440366969</v>
      </c>
      <c r="G28" s="14" t="s">
        <v>650</v>
      </c>
      <c r="H28" s="2" t="s">
        <v>684</v>
      </c>
    </row>
    <row r="29" spans="1:8" x14ac:dyDescent="0.3">
      <c r="A29" s="8" t="s">
        <v>559</v>
      </c>
      <c r="B29" s="10">
        <v>45248</v>
      </c>
      <c r="C29" s="7">
        <v>7</v>
      </c>
      <c r="D29" s="9">
        <v>3248000</v>
      </c>
      <c r="E29" s="9">
        <v>408000</v>
      </c>
      <c r="F29" s="11">
        <v>0.12561576354679799</v>
      </c>
      <c r="G29" s="13" t="s">
        <v>644</v>
      </c>
      <c r="H29" s="7" t="s">
        <v>672</v>
      </c>
    </row>
    <row r="30" spans="1:8" x14ac:dyDescent="0.3">
      <c r="A30" s="3" t="s">
        <v>64</v>
      </c>
      <c r="B30" s="5">
        <v>45252</v>
      </c>
      <c r="C30" s="2">
        <v>8</v>
      </c>
      <c r="D30" s="4">
        <v>3218000</v>
      </c>
      <c r="E30" s="4">
        <v>880970</v>
      </c>
      <c r="F30" s="6">
        <v>0.27376320696084522</v>
      </c>
      <c r="G30" s="13" t="s">
        <v>644</v>
      </c>
      <c r="H30" s="2" t="s">
        <v>672</v>
      </c>
    </row>
    <row r="31" spans="1:8" x14ac:dyDescent="0.3">
      <c r="A31" s="8" t="s">
        <v>73</v>
      </c>
      <c r="B31" s="10">
        <v>45225</v>
      </c>
      <c r="C31" s="7">
        <v>7</v>
      </c>
      <c r="D31" s="9">
        <v>2886200</v>
      </c>
      <c r="E31" s="9">
        <v>473249</v>
      </c>
      <c r="F31" s="11">
        <v>0.16396957937772849</v>
      </c>
      <c r="G31" s="12" t="s">
        <v>641</v>
      </c>
      <c r="H31" s="7" t="s">
        <v>681</v>
      </c>
    </row>
    <row r="32" spans="1:8" x14ac:dyDescent="0.3">
      <c r="A32" s="3" t="s">
        <v>251</v>
      </c>
      <c r="B32" s="5">
        <v>45253</v>
      </c>
      <c r="C32" s="2">
        <v>6</v>
      </c>
      <c r="D32" s="4">
        <v>2871600</v>
      </c>
      <c r="E32" s="4">
        <v>-77400</v>
      </c>
      <c r="F32" s="6">
        <v>-2.6953614709569581E-2</v>
      </c>
      <c r="G32" s="16" t="s">
        <v>659</v>
      </c>
      <c r="H32" s="2" t="s">
        <v>658</v>
      </c>
    </row>
    <row r="33" spans="1:8" x14ac:dyDescent="0.3">
      <c r="A33" s="8" t="s">
        <v>26</v>
      </c>
      <c r="B33" s="10">
        <v>45213</v>
      </c>
      <c r="C33" s="7">
        <v>3</v>
      </c>
      <c r="D33" s="9">
        <v>2780000</v>
      </c>
      <c r="E33" s="9">
        <v>590000</v>
      </c>
      <c r="F33" s="11">
        <v>0.21223021582733809</v>
      </c>
      <c r="G33" s="12" t="s">
        <v>641</v>
      </c>
      <c r="H33" s="7" t="s">
        <v>654</v>
      </c>
    </row>
    <row r="34" spans="1:8" x14ac:dyDescent="0.3">
      <c r="A34" s="3" t="s">
        <v>603</v>
      </c>
      <c r="B34" s="5">
        <v>45252</v>
      </c>
      <c r="C34" s="2">
        <v>2</v>
      </c>
      <c r="D34" s="4">
        <v>2658000</v>
      </c>
      <c r="E34" s="4">
        <v>903000</v>
      </c>
      <c r="F34" s="6">
        <v>0.33972911963882618</v>
      </c>
      <c r="G34" s="14" t="s">
        <v>650</v>
      </c>
      <c r="H34" s="2" t="s">
        <v>696</v>
      </c>
    </row>
    <row r="35" spans="1:8" x14ac:dyDescent="0.3">
      <c r="A35" s="8" t="s">
        <v>99</v>
      </c>
      <c r="B35" s="10">
        <v>45248</v>
      </c>
      <c r="C35" s="7">
        <v>11</v>
      </c>
      <c r="D35" s="9">
        <v>2644000</v>
      </c>
      <c r="E35" s="9">
        <v>803165</v>
      </c>
      <c r="F35" s="11">
        <v>0.30376891074130108</v>
      </c>
      <c r="G35" s="13" t="s">
        <v>644</v>
      </c>
      <c r="H35" s="7" t="s">
        <v>704</v>
      </c>
    </row>
    <row r="36" spans="1:8" x14ac:dyDescent="0.3">
      <c r="A36" s="3" t="s">
        <v>265</v>
      </c>
      <c r="B36" s="5">
        <v>45255</v>
      </c>
      <c r="C36" s="2">
        <v>13</v>
      </c>
      <c r="D36" s="4">
        <v>2600000</v>
      </c>
      <c r="E36" s="4">
        <v>477932</v>
      </c>
      <c r="F36" s="6">
        <v>0.18382000000000001</v>
      </c>
      <c r="G36" s="16" t="s">
        <v>659</v>
      </c>
      <c r="H36" s="2" t="s">
        <v>695</v>
      </c>
    </row>
    <row r="37" spans="1:8" x14ac:dyDescent="0.3">
      <c r="A37" s="8" t="s">
        <v>204</v>
      </c>
      <c r="B37" s="10">
        <v>45255</v>
      </c>
      <c r="C37" s="7">
        <v>6</v>
      </c>
      <c r="D37" s="9">
        <v>2510000</v>
      </c>
      <c r="E37" s="9">
        <v>528992</v>
      </c>
      <c r="F37" s="11">
        <v>0.21075378486055779</v>
      </c>
      <c r="G37" s="16" t="s">
        <v>659</v>
      </c>
      <c r="H37" s="7" t="s">
        <v>660</v>
      </c>
    </row>
    <row r="38" spans="1:8" x14ac:dyDescent="0.3">
      <c r="A38" s="3" t="s">
        <v>303</v>
      </c>
      <c r="B38" s="5">
        <v>45239</v>
      </c>
      <c r="C38" s="2">
        <v>20</v>
      </c>
      <c r="D38" s="4">
        <v>2396000</v>
      </c>
      <c r="E38" s="4">
        <v>595272</v>
      </c>
      <c r="F38" s="6">
        <v>0.24844407345575961</v>
      </c>
      <c r="G38" s="13" t="s">
        <v>644</v>
      </c>
      <c r="H38" s="2" t="s">
        <v>666</v>
      </c>
    </row>
    <row r="39" spans="1:8" x14ac:dyDescent="0.3">
      <c r="A39" s="8" t="s">
        <v>339</v>
      </c>
      <c r="B39" s="10">
        <v>45220</v>
      </c>
      <c r="C39" s="7">
        <v>4</v>
      </c>
      <c r="D39" s="9">
        <v>2391000</v>
      </c>
      <c r="E39" s="9">
        <v>-147500</v>
      </c>
      <c r="F39" s="11">
        <v>-6.1689669594311998E-2</v>
      </c>
      <c r="G39" s="12" t="s">
        <v>641</v>
      </c>
      <c r="H39" s="7" t="s">
        <v>647</v>
      </c>
    </row>
    <row r="40" spans="1:8" x14ac:dyDescent="0.3">
      <c r="A40" s="3" t="s">
        <v>375</v>
      </c>
      <c r="B40" s="5">
        <v>45212</v>
      </c>
      <c r="C40" s="2">
        <v>5</v>
      </c>
      <c r="D40" s="4">
        <v>2347000</v>
      </c>
      <c r="E40" s="4">
        <v>-7400</v>
      </c>
      <c r="F40" s="6">
        <v>-3.152961227098424E-3</v>
      </c>
      <c r="G40" s="12" t="s">
        <v>641</v>
      </c>
      <c r="H40" s="2" t="s">
        <v>647</v>
      </c>
    </row>
    <row r="41" spans="1:8" x14ac:dyDescent="0.3">
      <c r="A41" s="8" t="s">
        <v>540</v>
      </c>
      <c r="B41" s="10">
        <v>45252</v>
      </c>
      <c r="C41" s="7">
        <v>3</v>
      </c>
      <c r="D41" s="9">
        <v>2220000</v>
      </c>
      <c r="E41" s="9">
        <v>1205000</v>
      </c>
      <c r="F41" s="11">
        <v>0.5427927927927928</v>
      </c>
      <c r="G41" s="13" t="s">
        <v>644</v>
      </c>
      <c r="H41" s="7" t="s">
        <v>697</v>
      </c>
    </row>
    <row r="42" spans="1:8" x14ac:dyDescent="0.3">
      <c r="A42" s="3" t="s">
        <v>268</v>
      </c>
      <c r="B42" s="5">
        <v>45255</v>
      </c>
      <c r="C42" s="2">
        <v>10</v>
      </c>
      <c r="D42" s="4">
        <v>2212000</v>
      </c>
      <c r="E42" s="4">
        <v>500972</v>
      </c>
      <c r="F42" s="6">
        <v>0.2264792043399638</v>
      </c>
      <c r="G42" s="16" t="s">
        <v>659</v>
      </c>
      <c r="H42" s="2" t="s">
        <v>695</v>
      </c>
    </row>
    <row r="43" spans="1:8" x14ac:dyDescent="0.3">
      <c r="A43" s="8" t="s">
        <v>123</v>
      </c>
      <c r="B43" s="10">
        <v>45227</v>
      </c>
      <c r="C43" s="7">
        <v>4</v>
      </c>
      <c r="D43" s="9">
        <v>2158000</v>
      </c>
      <c r="E43" s="9">
        <v>923000</v>
      </c>
      <c r="F43" s="11">
        <v>0.42771084337349402</v>
      </c>
      <c r="G43" s="13" t="s">
        <v>644</v>
      </c>
      <c r="H43" s="7" t="s">
        <v>668</v>
      </c>
    </row>
    <row r="44" spans="1:8" x14ac:dyDescent="0.3">
      <c r="A44" s="3" t="s">
        <v>89</v>
      </c>
      <c r="B44" s="5">
        <v>45255</v>
      </c>
      <c r="C44" s="2">
        <v>5</v>
      </c>
      <c r="D44" s="4">
        <v>2058000</v>
      </c>
      <c r="E44" s="4">
        <v>396800</v>
      </c>
      <c r="F44" s="6">
        <v>0.19280855199222549</v>
      </c>
      <c r="G44" s="16" t="s">
        <v>659</v>
      </c>
      <c r="H44" s="2" t="s">
        <v>660</v>
      </c>
    </row>
    <row r="45" spans="1:8" x14ac:dyDescent="0.3">
      <c r="A45" s="8" t="s">
        <v>228</v>
      </c>
      <c r="B45" s="10">
        <v>45255</v>
      </c>
      <c r="C45" s="7">
        <v>14</v>
      </c>
      <c r="D45" s="9">
        <v>1948000</v>
      </c>
      <c r="E45" s="9">
        <v>488419</v>
      </c>
      <c r="F45" s="11">
        <v>0.25072843942505141</v>
      </c>
      <c r="G45" s="16" t="s">
        <v>659</v>
      </c>
      <c r="H45" s="7" t="s">
        <v>695</v>
      </c>
    </row>
    <row r="46" spans="1:8" x14ac:dyDescent="0.3">
      <c r="A46" s="3" t="s">
        <v>222</v>
      </c>
      <c r="B46" s="5">
        <v>45213</v>
      </c>
      <c r="C46" s="2">
        <v>5</v>
      </c>
      <c r="D46" s="4">
        <v>1941000</v>
      </c>
      <c r="E46" s="4">
        <v>575400</v>
      </c>
      <c r="F46" s="6">
        <v>0.2964451313755796</v>
      </c>
      <c r="G46" s="12" t="s">
        <v>641</v>
      </c>
      <c r="H46" s="2" t="s">
        <v>647</v>
      </c>
    </row>
    <row r="47" spans="1:8" x14ac:dyDescent="0.3">
      <c r="A47" s="8" t="s">
        <v>409</v>
      </c>
      <c r="B47" s="10">
        <v>45233</v>
      </c>
      <c r="C47" s="7">
        <v>8</v>
      </c>
      <c r="D47" s="9">
        <v>1900500</v>
      </c>
      <c r="E47" s="9">
        <v>423651</v>
      </c>
      <c r="F47" s="11">
        <v>0.2229155485398579</v>
      </c>
      <c r="G47" s="13" t="s">
        <v>644</v>
      </c>
      <c r="H47" s="7" t="s">
        <v>666</v>
      </c>
    </row>
    <row r="48" spans="1:8" x14ac:dyDescent="0.3">
      <c r="A48" s="3" t="s">
        <v>287</v>
      </c>
      <c r="B48" s="5">
        <v>45239</v>
      </c>
      <c r="C48" s="2">
        <v>17</v>
      </c>
      <c r="D48" s="4">
        <v>1889000</v>
      </c>
      <c r="E48" s="4">
        <v>442438</v>
      </c>
      <c r="F48" s="6">
        <v>0.23421810481736369</v>
      </c>
      <c r="G48" s="13" t="s">
        <v>644</v>
      </c>
      <c r="H48" s="2" t="s">
        <v>666</v>
      </c>
    </row>
    <row r="49" spans="1:8" x14ac:dyDescent="0.3">
      <c r="A49" s="8" t="s">
        <v>614</v>
      </c>
      <c r="B49" s="10">
        <v>45255</v>
      </c>
      <c r="C49" s="7">
        <v>2</v>
      </c>
      <c r="D49" s="9">
        <v>1886000</v>
      </c>
      <c r="E49" s="9">
        <v>65000</v>
      </c>
      <c r="F49" s="11">
        <v>3.4464475079533402E-2</v>
      </c>
      <c r="G49" s="14" t="s">
        <v>650</v>
      </c>
      <c r="H49" s="7" t="s">
        <v>653</v>
      </c>
    </row>
    <row r="50" spans="1:8" x14ac:dyDescent="0.3">
      <c r="A50" s="3" t="s">
        <v>480</v>
      </c>
      <c r="B50" s="5">
        <v>45227</v>
      </c>
      <c r="C50" s="2">
        <v>3</v>
      </c>
      <c r="D50" s="4">
        <v>1865000</v>
      </c>
      <c r="E50" s="4">
        <v>785000</v>
      </c>
      <c r="F50" s="6">
        <v>0.42091152815013411</v>
      </c>
      <c r="G50" s="13" t="s">
        <v>644</v>
      </c>
      <c r="H50" s="2" t="s">
        <v>668</v>
      </c>
    </row>
    <row r="51" spans="1:8" x14ac:dyDescent="0.3">
      <c r="A51" s="8" t="s">
        <v>552</v>
      </c>
      <c r="B51" s="10">
        <v>45252</v>
      </c>
      <c r="C51" s="7">
        <v>4</v>
      </c>
      <c r="D51" s="9">
        <v>1856000</v>
      </c>
      <c r="E51" s="9">
        <v>865000</v>
      </c>
      <c r="F51" s="11">
        <v>0.46605603448275862</v>
      </c>
      <c r="G51" s="13" t="s">
        <v>644</v>
      </c>
      <c r="H51" s="7" t="s">
        <v>708</v>
      </c>
    </row>
    <row r="52" spans="1:8" x14ac:dyDescent="0.3">
      <c r="A52" s="3" t="s">
        <v>235</v>
      </c>
      <c r="B52" s="5">
        <v>45248</v>
      </c>
      <c r="C52" s="2">
        <v>5</v>
      </c>
      <c r="D52" s="4">
        <v>1845000</v>
      </c>
      <c r="E52" s="4">
        <v>389196</v>
      </c>
      <c r="F52" s="6">
        <v>0.21094634146341459</v>
      </c>
      <c r="G52" s="13" t="s">
        <v>644</v>
      </c>
      <c r="H52" s="2" t="s">
        <v>708</v>
      </c>
    </row>
    <row r="53" spans="1:8" x14ac:dyDescent="0.3">
      <c r="A53" s="8" t="s">
        <v>560</v>
      </c>
      <c r="B53" s="10">
        <v>45255</v>
      </c>
      <c r="C53" s="7">
        <v>6</v>
      </c>
      <c r="D53" s="9">
        <v>1844000</v>
      </c>
      <c r="E53" s="9">
        <v>633000</v>
      </c>
      <c r="F53" s="11">
        <v>0.34327548806941433</v>
      </c>
      <c r="G53" s="16" t="s">
        <v>659</v>
      </c>
      <c r="H53" s="7" t="s">
        <v>660</v>
      </c>
    </row>
    <row r="54" spans="1:8" x14ac:dyDescent="0.3">
      <c r="A54" s="3" t="s">
        <v>274</v>
      </c>
      <c r="B54" s="5">
        <v>45220</v>
      </c>
      <c r="C54" s="2">
        <v>6</v>
      </c>
      <c r="D54" s="4">
        <v>1794000</v>
      </c>
      <c r="E54" s="4">
        <v>503984</v>
      </c>
      <c r="F54" s="6">
        <v>0.28092753623188399</v>
      </c>
      <c r="G54" s="12" t="s">
        <v>641</v>
      </c>
      <c r="H54" s="2" t="s">
        <v>647</v>
      </c>
    </row>
    <row r="55" spans="1:8" x14ac:dyDescent="0.3">
      <c r="A55" s="8" t="s">
        <v>56</v>
      </c>
      <c r="B55" s="10">
        <v>45216</v>
      </c>
      <c r="C55" s="7">
        <v>5</v>
      </c>
      <c r="D55" s="9">
        <v>1752000</v>
      </c>
      <c r="E55" s="9">
        <v>542200</v>
      </c>
      <c r="F55" s="11">
        <v>0.30947488584474891</v>
      </c>
      <c r="G55" s="12" t="s">
        <v>641</v>
      </c>
      <c r="H55" s="7" t="s">
        <v>647</v>
      </c>
    </row>
    <row r="56" spans="1:8" x14ac:dyDescent="0.3">
      <c r="A56" s="3" t="s">
        <v>199</v>
      </c>
      <c r="B56" s="5">
        <v>45255</v>
      </c>
      <c r="C56" s="2">
        <v>7</v>
      </c>
      <c r="D56" s="4">
        <v>1732000</v>
      </c>
      <c r="E56" s="4">
        <v>500284</v>
      </c>
      <c r="F56" s="6">
        <v>0.28884757505773673</v>
      </c>
      <c r="G56" s="16" t="s">
        <v>659</v>
      </c>
      <c r="H56" s="2" t="s">
        <v>660</v>
      </c>
    </row>
    <row r="57" spans="1:8" x14ac:dyDescent="0.3">
      <c r="A57" s="8" t="s">
        <v>591</v>
      </c>
      <c r="B57" s="10">
        <v>45250</v>
      </c>
      <c r="C57" s="7">
        <v>2</v>
      </c>
      <c r="D57" s="9">
        <v>1692000</v>
      </c>
      <c r="E57" s="9">
        <v>759360</v>
      </c>
      <c r="F57" s="11">
        <v>0.44879432624113469</v>
      </c>
      <c r="G57" s="14" t="s">
        <v>650</v>
      </c>
      <c r="H57" s="7" t="s">
        <v>696</v>
      </c>
    </row>
    <row r="58" spans="1:8" x14ac:dyDescent="0.3">
      <c r="A58" s="3" t="s">
        <v>593</v>
      </c>
      <c r="B58" s="5">
        <v>45250</v>
      </c>
      <c r="C58" s="2">
        <v>1</v>
      </c>
      <c r="D58" s="4">
        <v>1635000</v>
      </c>
      <c r="E58" s="4">
        <v>735000</v>
      </c>
      <c r="F58" s="6">
        <v>0.44954128440366969</v>
      </c>
      <c r="G58" s="14" t="s">
        <v>650</v>
      </c>
      <c r="H58" s="2" t="s">
        <v>696</v>
      </c>
    </row>
    <row r="59" spans="1:8" x14ac:dyDescent="0.3">
      <c r="A59" s="8" t="s">
        <v>116</v>
      </c>
      <c r="B59" s="10">
        <v>45255</v>
      </c>
      <c r="C59" s="7">
        <v>8</v>
      </c>
      <c r="D59" s="9">
        <v>1573000</v>
      </c>
      <c r="E59" s="9">
        <v>620200</v>
      </c>
      <c r="F59" s="11">
        <v>0.39427844882390339</v>
      </c>
      <c r="G59" s="16" t="s">
        <v>659</v>
      </c>
      <c r="H59" s="7" t="s">
        <v>695</v>
      </c>
    </row>
    <row r="60" spans="1:8" x14ac:dyDescent="0.3">
      <c r="A60" s="3" t="s">
        <v>321</v>
      </c>
      <c r="B60" s="5">
        <v>45248</v>
      </c>
      <c r="C60" s="2">
        <v>14</v>
      </c>
      <c r="D60" s="4">
        <v>1572500</v>
      </c>
      <c r="E60" s="4">
        <v>-31552</v>
      </c>
      <c r="F60" s="6">
        <v>-2.0064864864864869E-2</v>
      </c>
      <c r="G60" s="13" t="s">
        <v>644</v>
      </c>
      <c r="H60" s="2" t="s">
        <v>704</v>
      </c>
    </row>
    <row r="61" spans="1:8" x14ac:dyDescent="0.3">
      <c r="A61" s="8" t="s">
        <v>273</v>
      </c>
      <c r="B61" s="10">
        <v>45243</v>
      </c>
      <c r="C61" s="7">
        <v>5</v>
      </c>
      <c r="D61" s="9">
        <v>1535000</v>
      </c>
      <c r="E61" s="9">
        <v>737800</v>
      </c>
      <c r="F61" s="11">
        <v>0.48065146579804557</v>
      </c>
      <c r="G61" s="13" t="s">
        <v>644</v>
      </c>
      <c r="H61" s="7" t="s">
        <v>708</v>
      </c>
    </row>
    <row r="62" spans="1:8" x14ac:dyDescent="0.3">
      <c r="A62" s="3" t="s">
        <v>393</v>
      </c>
      <c r="B62" s="5">
        <v>45213</v>
      </c>
      <c r="C62" s="2">
        <v>4</v>
      </c>
      <c r="D62" s="4">
        <v>1467000</v>
      </c>
      <c r="E62" s="4">
        <v>367792</v>
      </c>
      <c r="F62" s="6">
        <v>0.2507102931152011</v>
      </c>
      <c r="G62" s="12" t="s">
        <v>641</v>
      </c>
      <c r="H62" s="2" t="s">
        <v>647</v>
      </c>
    </row>
    <row r="63" spans="1:8" x14ac:dyDescent="0.3">
      <c r="A63" s="8" t="s">
        <v>308</v>
      </c>
      <c r="B63" s="10">
        <v>45260</v>
      </c>
      <c r="C63" s="7">
        <v>7</v>
      </c>
      <c r="D63" s="9">
        <v>1453000</v>
      </c>
      <c r="E63" s="9">
        <v>202000</v>
      </c>
      <c r="F63" s="11">
        <v>0.13902271163110799</v>
      </c>
      <c r="G63" s="16" t="s">
        <v>659</v>
      </c>
      <c r="H63" s="7" t="s">
        <v>660</v>
      </c>
    </row>
    <row r="64" spans="1:8" x14ac:dyDescent="0.3">
      <c r="A64" s="3" t="s">
        <v>280</v>
      </c>
      <c r="B64" s="5">
        <v>45196</v>
      </c>
      <c r="C64" s="2">
        <v>1</v>
      </c>
      <c r="D64" s="4">
        <v>1380000</v>
      </c>
      <c r="E64" s="4">
        <v>429120</v>
      </c>
      <c r="F64" s="6">
        <v>0.31095652173913041</v>
      </c>
      <c r="G64" s="12" t="s">
        <v>641</v>
      </c>
      <c r="H64" s="2" t="s">
        <v>679</v>
      </c>
    </row>
    <row r="65" spans="1:8" x14ac:dyDescent="0.3">
      <c r="A65" s="8" t="s">
        <v>88</v>
      </c>
      <c r="B65" s="10">
        <v>45227</v>
      </c>
      <c r="C65" s="7">
        <v>3</v>
      </c>
      <c r="D65" s="9">
        <v>1338000</v>
      </c>
      <c r="E65" s="9">
        <v>302976</v>
      </c>
      <c r="F65" s="11">
        <v>0.22643946188340811</v>
      </c>
      <c r="G65" s="13" t="s">
        <v>644</v>
      </c>
      <c r="H65" s="7" t="s">
        <v>668</v>
      </c>
    </row>
    <row r="66" spans="1:8" x14ac:dyDescent="0.3">
      <c r="A66" s="3" t="s">
        <v>147</v>
      </c>
      <c r="B66" s="5">
        <v>45239</v>
      </c>
      <c r="C66" s="2">
        <v>9</v>
      </c>
      <c r="D66" s="4">
        <v>1337000</v>
      </c>
      <c r="E66" s="4">
        <v>253242</v>
      </c>
      <c r="F66" s="6">
        <v>0.18941062079281981</v>
      </c>
      <c r="G66" s="13" t="s">
        <v>644</v>
      </c>
      <c r="H66" s="2" t="s">
        <v>648</v>
      </c>
    </row>
    <row r="67" spans="1:8" x14ac:dyDescent="0.3">
      <c r="A67" s="8" t="s">
        <v>215</v>
      </c>
      <c r="B67" s="10">
        <v>45248</v>
      </c>
      <c r="C67" s="7">
        <v>3</v>
      </c>
      <c r="D67" s="9">
        <v>1327000</v>
      </c>
      <c r="E67" s="9">
        <v>368800</v>
      </c>
      <c r="F67" s="11">
        <v>0.27792012057272042</v>
      </c>
      <c r="G67" s="13" t="s">
        <v>644</v>
      </c>
      <c r="H67" s="7" t="s">
        <v>699</v>
      </c>
    </row>
    <row r="68" spans="1:8" x14ac:dyDescent="0.3">
      <c r="A68" s="3" t="s">
        <v>311</v>
      </c>
      <c r="B68" s="5">
        <v>45198</v>
      </c>
      <c r="C68" s="2">
        <v>1</v>
      </c>
      <c r="D68" s="4">
        <v>1308000</v>
      </c>
      <c r="E68" s="4">
        <v>708000</v>
      </c>
      <c r="F68" s="6">
        <v>0.54128440366972475</v>
      </c>
      <c r="G68" s="12" t="s">
        <v>641</v>
      </c>
      <c r="H68" s="2" t="s">
        <v>662</v>
      </c>
    </row>
    <row r="69" spans="1:8" x14ac:dyDescent="0.3">
      <c r="A69" s="8" t="s">
        <v>340</v>
      </c>
      <c r="B69" s="10">
        <v>45202</v>
      </c>
      <c r="C69" s="7">
        <v>1</v>
      </c>
      <c r="D69" s="9">
        <v>1308000</v>
      </c>
      <c r="E69" s="9">
        <v>108000</v>
      </c>
      <c r="F69" s="11">
        <v>8.2568807339449546E-2</v>
      </c>
      <c r="G69" s="12" t="s">
        <v>641</v>
      </c>
      <c r="H69" s="7" t="s">
        <v>662</v>
      </c>
    </row>
    <row r="70" spans="1:8" x14ac:dyDescent="0.3">
      <c r="A70" s="3" t="s">
        <v>523</v>
      </c>
      <c r="B70" s="5">
        <v>45234</v>
      </c>
      <c r="C70" s="2">
        <v>1</v>
      </c>
      <c r="D70" s="4">
        <v>1308000</v>
      </c>
      <c r="E70" s="4">
        <v>708000</v>
      </c>
      <c r="F70" s="6">
        <v>0.54128440366972475</v>
      </c>
      <c r="G70" s="15" t="s">
        <v>656</v>
      </c>
      <c r="H70" s="2" t="s">
        <v>682</v>
      </c>
    </row>
    <row r="71" spans="1:8" x14ac:dyDescent="0.3">
      <c r="A71" s="8" t="s">
        <v>459</v>
      </c>
      <c r="B71" s="10">
        <v>45227</v>
      </c>
      <c r="C71" s="7">
        <v>6</v>
      </c>
      <c r="D71" s="9">
        <v>1146000</v>
      </c>
      <c r="E71" s="9">
        <v>-50956</v>
      </c>
      <c r="F71" s="11">
        <v>-4.4464223385689353E-2</v>
      </c>
      <c r="G71" s="13" t="s">
        <v>644</v>
      </c>
      <c r="H71" s="7" t="s">
        <v>689</v>
      </c>
    </row>
    <row r="72" spans="1:8" x14ac:dyDescent="0.3">
      <c r="A72" s="3" t="s">
        <v>619</v>
      </c>
      <c r="B72" s="5">
        <v>45255</v>
      </c>
      <c r="C72" s="2">
        <v>5</v>
      </c>
      <c r="D72" s="4">
        <v>1130000</v>
      </c>
      <c r="E72" s="4">
        <v>26000</v>
      </c>
      <c r="F72" s="6">
        <v>2.300884955752212E-2</v>
      </c>
      <c r="G72" s="13" t="s">
        <v>644</v>
      </c>
      <c r="H72" s="2" t="s">
        <v>700</v>
      </c>
    </row>
    <row r="73" spans="1:8" x14ac:dyDescent="0.3">
      <c r="A73" s="8" t="s">
        <v>588</v>
      </c>
      <c r="B73" s="10">
        <v>45248</v>
      </c>
      <c r="C73" s="7">
        <v>1</v>
      </c>
      <c r="D73" s="9">
        <v>1069200</v>
      </c>
      <c r="E73" s="9">
        <v>0</v>
      </c>
      <c r="F73" s="11">
        <v>0</v>
      </c>
      <c r="G73" s="14" t="s">
        <v>650</v>
      </c>
      <c r="H73" s="7" t="s">
        <v>694</v>
      </c>
    </row>
    <row r="74" spans="1:8" x14ac:dyDescent="0.3">
      <c r="A74" s="3" t="s">
        <v>194</v>
      </c>
      <c r="B74" s="5">
        <v>45248</v>
      </c>
      <c r="C74" s="2">
        <v>9</v>
      </c>
      <c r="D74" s="4">
        <v>1064000</v>
      </c>
      <c r="E74" s="4">
        <v>102076</v>
      </c>
      <c r="F74" s="6">
        <v>9.5936090225563916E-2</v>
      </c>
      <c r="G74" s="13" t="s">
        <v>644</v>
      </c>
      <c r="H74" s="2" t="s">
        <v>706</v>
      </c>
    </row>
    <row r="75" spans="1:8" x14ac:dyDescent="0.3">
      <c r="A75" s="8" t="s">
        <v>404</v>
      </c>
      <c r="B75" s="10">
        <v>45213</v>
      </c>
      <c r="C75" s="7">
        <v>3</v>
      </c>
      <c r="D75" s="9">
        <v>1034000</v>
      </c>
      <c r="E75" s="9">
        <v>85992</v>
      </c>
      <c r="F75" s="11">
        <v>8.3164410058027077E-2</v>
      </c>
      <c r="G75" s="12" t="s">
        <v>641</v>
      </c>
      <c r="H75" s="7" t="s">
        <v>640</v>
      </c>
    </row>
    <row r="76" spans="1:8" x14ac:dyDescent="0.3">
      <c r="A76" s="3" t="s">
        <v>167</v>
      </c>
      <c r="B76" s="5">
        <v>45239</v>
      </c>
      <c r="C76" s="2">
        <v>10</v>
      </c>
      <c r="D76" s="4">
        <v>1022000</v>
      </c>
      <c r="E76" s="4">
        <v>117347</v>
      </c>
      <c r="F76" s="6">
        <v>0.11482093933463799</v>
      </c>
      <c r="G76" s="13" t="s">
        <v>644</v>
      </c>
      <c r="H76" s="2" t="s">
        <v>648</v>
      </c>
    </row>
    <row r="77" spans="1:8" x14ac:dyDescent="0.3">
      <c r="A77" s="8" t="s">
        <v>370</v>
      </c>
      <c r="B77" s="10">
        <v>45220</v>
      </c>
      <c r="C77" s="7">
        <v>2</v>
      </c>
      <c r="D77" s="9">
        <v>981000</v>
      </c>
      <c r="E77" s="9">
        <v>381000</v>
      </c>
      <c r="F77" s="11">
        <v>0.38837920489296629</v>
      </c>
      <c r="G77" s="12" t="s">
        <v>641</v>
      </c>
      <c r="H77" s="7" t="s">
        <v>673</v>
      </c>
    </row>
    <row r="78" spans="1:8" x14ac:dyDescent="0.3">
      <c r="A78" s="3" t="s">
        <v>173</v>
      </c>
      <c r="B78" s="5">
        <v>45198</v>
      </c>
      <c r="C78" s="2">
        <v>3</v>
      </c>
      <c r="D78" s="4">
        <v>981000</v>
      </c>
      <c r="E78" s="4">
        <v>201000</v>
      </c>
      <c r="F78" s="6">
        <v>0.2048929663608563</v>
      </c>
      <c r="G78" s="12" t="s">
        <v>641</v>
      </c>
      <c r="H78" s="2" t="s">
        <v>710</v>
      </c>
    </row>
    <row r="79" spans="1:8" x14ac:dyDescent="0.3">
      <c r="A79" s="8" t="s">
        <v>567</v>
      </c>
      <c r="B79" s="10">
        <v>45244</v>
      </c>
      <c r="C79" s="7">
        <v>2</v>
      </c>
      <c r="D79" s="9">
        <v>974000</v>
      </c>
      <c r="E79" s="9">
        <v>104000</v>
      </c>
      <c r="F79" s="11">
        <v>0.10677618069815201</v>
      </c>
      <c r="G79" s="14" t="s">
        <v>650</v>
      </c>
      <c r="H79" s="7" t="s">
        <v>694</v>
      </c>
    </row>
    <row r="80" spans="1:8" x14ac:dyDescent="0.3">
      <c r="A80" s="3" t="s">
        <v>524</v>
      </c>
      <c r="B80" s="5">
        <v>45234</v>
      </c>
      <c r="C80" s="2">
        <v>3</v>
      </c>
      <c r="D80" s="4">
        <v>962000</v>
      </c>
      <c r="E80" s="4">
        <v>390000</v>
      </c>
      <c r="F80" s="6">
        <v>0.40540540540540537</v>
      </c>
      <c r="G80" s="13" t="s">
        <v>644</v>
      </c>
      <c r="H80" s="2" t="s">
        <v>657</v>
      </c>
    </row>
    <row r="81" spans="1:8" x14ac:dyDescent="0.3">
      <c r="A81" s="8" t="s">
        <v>589</v>
      </c>
      <c r="B81" s="10">
        <v>45248</v>
      </c>
      <c r="C81" s="7">
        <v>1</v>
      </c>
      <c r="D81" s="9">
        <v>954000</v>
      </c>
      <c r="E81" s="9">
        <v>-6000</v>
      </c>
      <c r="F81" s="11">
        <v>-6.2893081761006293E-3</v>
      </c>
      <c r="G81" s="14" t="s">
        <v>650</v>
      </c>
      <c r="H81" s="7" t="s">
        <v>701</v>
      </c>
    </row>
    <row r="82" spans="1:8" x14ac:dyDescent="0.3">
      <c r="A82" s="3" t="s">
        <v>518</v>
      </c>
      <c r="B82" s="5">
        <v>45247</v>
      </c>
      <c r="C82" s="2">
        <v>4</v>
      </c>
      <c r="D82" s="4">
        <v>882000</v>
      </c>
      <c r="E82" s="4">
        <v>34800</v>
      </c>
      <c r="F82" s="6">
        <v>3.9455782312925167E-2</v>
      </c>
      <c r="G82" s="13" t="s">
        <v>644</v>
      </c>
      <c r="H82" s="2" t="s">
        <v>685</v>
      </c>
    </row>
    <row r="83" spans="1:8" x14ac:dyDescent="0.3">
      <c r="A83" s="8" t="s">
        <v>361</v>
      </c>
      <c r="B83" s="10">
        <v>45248</v>
      </c>
      <c r="C83" s="7">
        <v>2</v>
      </c>
      <c r="D83" s="9">
        <v>868000</v>
      </c>
      <c r="E83" s="9">
        <v>-92000</v>
      </c>
      <c r="F83" s="11">
        <v>-0.10599078341013821</v>
      </c>
      <c r="G83" s="14" t="s">
        <v>650</v>
      </c>
      <c r="H83" s="7" t="s">
        <v>694</v>
      </c>
    </row>
    <row r="84" spans="1:8" x14ac:dyDescent="0.3">
      <c r="A84" s="3" t="s">
        <v>244</v>
      </c>
      <c r="B84" s="5">
        <v>45185</v>
      </c>
      <c r="C84" s="2">
        <v>1</v>
      </c>
      <c r="D84" s="4">
        <v>816000</v>
      </c>
      <c r="E84" s="4">
        <v>-4800</v>
      </c>
      <c r="F84" s="6">
        <v>-5.8823529411764714E-3</v>
      </c>
      <c r="G84" s="12" t="s">
        <v>641</v>
      </c>
      <c r="H84" s="2" t="s">
        <v>651</v>
      </c>
    </row>
    <row r="85" spans="1:8" x14ac:dyDescent="0.3">
      <c r="A85" s="8" t="s">
        <v>631</v>
      </c>
      <c r="B85" s="10">
        <v>45260</v>
      </c>
      <c r="C85" s="7">
        <v>5</v>
      </c>
      <c r="D85" s="9">
        <v>782000</v>
      </c>
      <c r="E85" s="9">
        <v>29300</v>
      </c>
      <c r="F85" s="11">
        <v>3.7468030690537092E-2</v>
      </c>
      <c r="G85" s="13" t="s">
        <v>644</v>
      </c>
      <c r="H85" s="7" t="s">
        <v>700</v>
      </c>
    </row>
    <row r="86" spans="1:8" x14ac:dyDescent="0.3">
      <c r="A86" s="3" t="s">
        <v>338</v>
      </c>
      <c r="B86" s="5">
        <v>45234</v>
      </c>
      <c r="C86" s="2">
        <v>3</v>
      </c>
      <c r="D86" s="4">
        <v>754000</v>
      </c>
      <c r="E86" s="4">
        <v>50200</v>
      </c>
      <c r="F86" s="6">
        <v>6.6578249336870024E-2</v>
      </c>
      <c r="G86" s="13" t="s">
        <v>644</v>
      </c>
      <c r="H86" s="2" t="s">
        <v>657</v>
      </c>
    </row>
    <row r="87" spans="1:8" x14ac:dyDescent="0.3">
      <c r="A87" s="8" t="s">
        <v>541</v>
      </c>
      <c r="B87" s="10">
        <v>45254</v>
      </c>
      <c r="C87" s="7">
        <v>4</v>
      </c>
      <c r="D87" s="9">
        <v>748000</v>
      </c>
      <c r="E87" s="9">
        <v>112200</v>
      </c>
      <c r="F87" s="11">
        <v>0.15</v>
      </c>
      <c r="G87" s="13" t="s">
        <v>644</v>
      </c>
      <c r="H87" s="7" t="s">
        <v>700</v>
      </c>
    </row>
    <row r="88" spans="1:8" x14ac:dyDescent="0.3">
      <c r="A88" s="3" t="s">
        <v>470</v>
      </c>
      <c r="B88" s="5">
        <v>45227</v>
      </c>
      <c r="C88" s="2">
        <v>2</v>
      </c>
      <c r="D88" s="4">
        <v>744000</v>
      </c>
      <c r="E88" s="4">
        <v>213000</v>
      </c>
      <c r="F88" s="6">
        <v>0.28629032258064518</v>
      </c>
      <c r="G88" s="15" t="s">
        <v>656</v>
      </c>
      <c r="H88" s="2" t="s">
        <v>690</v>
      </c>
    </row>
    <row r="89" spans="1:8" x14ac:dyDescent="0.3">
      <c r="A89" s="8" t="s">
        <v>216</v>
      </c>
      <c r="B89" s="10">
        <v>45213</v>
      </c>
      <c r="C89" s="7">
        <v>2</v>
      </c>
      <c r="D89" s="9">
        <v>743000</v>
      </c>
      <c r="E89" s="9">
        <v>242396</v>
      </c>
      <c r="F89" s="11">
        <v>0.32623956931359349</v>
      </c>
      <c r="G89" s="12" t="s">
        <v>641</v>
      </c>
      <c r="H89" s="7" t="s">
        <v>640</v>
      </c>
    </row>
    <row r="90" spans="1:8" x14ac:dyDescent="0.3">
      <c r="A90" s="3" t="s">
        <v>473</v>
      </c>
      <c r="B90" s="5">
        <v>45227</v>
      </c>
      <c r="C90" s="2">
        <v>4</v>
      </c>
      <c r="D90" s="4">
        <v>735000</v>
      </c>
      <c r="E90" s="4">
        <v>194000</v>
      </c>
      <c r="F90" s="6">
        <v>0.2639455782312925</v>
      </c>
      <c r="G90" s="13" t="s">
        <v>644</v>
      </c>
      <c r="H90" s="2" t="s">
        <v>689</v>
      </c>
    </row>
    <row r="91" spans="1:8" x14ac:dyDescent="0.3">
      <c r="A91" s="8" t="s">
        <v>142</v>
      </c>
      <c r="B91" s="10">
        <v>45183</v>
      </c>
      <c r="C91" s="7">
        <v>2</v>
      </c>
      <c r="D91" s="9">
        <v>734000</v>
      </c>
      <c r="E91" s="9">
        <v>135000</v>
      </c>
      <c r="F91" s="11">
        <v>0.18392370572207081</v>
      </c>
      <c r="G91" s="12" t="s">
        <v>641</v>
      </c>
      <c r="H91" s="7" t="s">
        <v>651</v>
      </c>
    </row>
    <row r="92" spans="1:8" x14ac:dyDescent="0.3">
      <c r="A92" s="3" t="s">
        <v>629</v>
      </c>
      <c r="B92" s="5">
        <v>45260</v>
      </c>
      <c r="C92" s="2">
        <v>4</v>
      </c>
      <c r="D92" s="4">
        <v>734000</v>
      </c>
      <c r="E92" s="4">
        <v>333600</v>
      </c>
      <c r="F92" s="6">
        <v>0.4544959128065395</v>
      </c>
      <c r="G92" s="13" t="s">
        <v>644</v>
      </c>
      <c r="H92" s="2" t="s">
        <v>700</v>
      </c>
    </row>
    <row r="93" spans="1:8" x14ac:dyDescent="0.3">
      <c r="A93" s="8" t="s">
        <v>511</v>
      </c>
      <c r="B93" s="10">
        <v>45234</v>
      </c>
      <c r="C93" s="7">
        <v>6</v>
      </c>
      <c r="D93" s="9">
        <v>688000</v>
      </c>
      <c r="E93" s="9">
        <v>96800</v>
      </c>
      <c r="F93" s="11">
        <v>0.14069767441860459</v>
      </c>
      <c r="G93" s="13" t="s">
        <v>644</v>
      </c>
      <c r="H93" s="7" t="s">
        <v>689</v>
      </c>
    </row>
    <row r="94" spans="1:8" x14ac:dyDescent="0.3">
      <c r="A94" s="3" t="s">
        <v>476</v>
      </c>
      <c r="B94" s="5">
        <v>45250</v>
      </c>
      <c r="C94" s="2">
        <v>7</v>
      </c>
      <c r="D94" s="4">
        <v>680000</v>
      </c>
      <c r="E94" s="4">
        <v>116800</v>
      </c>
      <c r="F94" s="6">
        <v>0.1717647058823529</v>
      </c>
      <c r="G94" s="13" t="s">
        <v>644</v>
      </c>
      <c r="H94" s="2" t="s">
        <v>706</v>
      </c>
    </row>
    <row r="95" spans="1:8" x14ac:dyDescent="0.3">
      <c r="A95" s="8" t="s">
        <v>592</v>
      </c>
      <c r="B95" s="10">
        <v>45250</v>
      </c>
      <c r="C95" s="7">
        <v>3</v>
      </c>
      <c r="D95" s="9">
        <v>654000</v>
      </c>
      <c r="E95" s="9">
        <v>354000</v>
      </c>
      <c r="F95" s="11">
        <v>0.54128440366972475</v>
      </c>
      <c r="G95" s="13" t="s">
        <v>644</v>
      </c>
      <c r="H95" s="7" t="s">
        <v>699</v>
      </c>
    </row>
    <row r="96" spans="1:8" x14ac:dyDescent="0.3">
      <c r="A96" s="3" t="s">
        <v>209</v>
      </c>
      <c r="B96" s="5">
        <v>45185</v>
      </c>
      <c r="C96" s="2">
        <v>2</v>
      </c>
      <c r="D96" s="4">
        <v>641000</v>
      </c>
      <c r="E96" s="4">
        <v>159284</v>
      </c>
      <c r="F96" s="6">
        <v>0.24849297971918879</v>
      </c>
      <c r="G96" s="12" t="s">
        <v>641</v>
      </c>
      <c r="H96" s="2" t="s">
        <v>651</v>
      </c>
    </row>
    <row r="97" spans="1:8" x14ac:dyDescent="0.3">
      <c r="A97" s="8" t="s">
        <v>225</v>
      </c>
      <c r="B97" s="10">
        <v>45202</v>
      </c>
      <c r="C97" s="7">
        <v>3</v>
      </c>
      <c r="D97" s="9">
        <v>638000</v>
      </c>
      <c r="E97" s="9">
        <v>141888</v>
      </c>
      <c r="F97" s="11">
        <v>0.22239498432601881</v>
      </c>
      <c r="G97" s="12" t="s">
        <v>641</v>
      </c>
      <c r="H97" s="7" t="s">
        <v>671</v>
      </c>
    </row>
    <row r="98" spans="1:8" x14ac:dyDescent="0.3">
      <c r="A98" s="3" t="s">
        <v>468</v>
      </c>
      <c r="B98" s="5">
        <v>45243</v>
      </c>
      <c r="C98" s="2">
        <v>2</v>
      </c>
      <c r="D98" s="4">
        <v>612000</v>
      </c>
      <c r="E98" s="4">
        <v>138000</v>
      </c>
      <c r="F98" s="6">
        <v>0.2254901960784314</v>
      </c>
      <c r="G98" s="14" t="s">
        <v>650</v>
      </c>
      <c r="H98" s="2" t="s">
        <v>652</v>
      </c>
    </row>
    <row r="99" spans="1:8" x14ac:dyDescent="0.3">
      <c r="A99" s="8" t="s">
        <v>111</v>
      </c>
      <c r="B99" s="10">
        <v>45180</v>
      </c>
      <c r="C99" s="7">
        <v>2</v>
      </c>
      <c r="D99" s="9">
        <v>600000</v>
      </c>
      <c r="E99" s="9">
        <v>32988</v>
      </c>
      <c r="F99" s="11">
        <v>5.4980000000000001E-2</v>
      </c>
      <c r="G99" s="12" t="s">
        <v>641</v>
      </c>
      <c r="H99" s="7" t="s">
        <v>688</v>
      </c>
    </row>
    <row r="100" spans="1:8" x14ac:dyDescent="0.3">
      <c r="A100" s="3" t="s">
        <v>44</v>
      </c>
      <c r="B100" s="5">
        <v>45173</v>
      </c>
      <c r="C100" s="2">
        <v>1</v>
      </c>
      <c r="D100" s="4">
        <v>576000</v>
      </c>
      <c r="E100" s="4">
        <v>230400</v>
      </c>
      <c r="F100" s="6">
        <v>0.4</v>
      </c>
      <c r="G100" s="12" t="s">
        <v>641</v>
      </c>
      <c r="H100" s="2" t="s">
        <v>688</v>
      </c>
    </row>
    <row r="101" spans="1:8" x14ac:dyDescent="0.3">
      <c r="A101" s="8" t="s">
        <v>134</v>
      </c>
      <c r="B101" s="10">
        <v>45227</v>
      </c>
      <c r="C101" s="7">
        <v>10</v>
      </c>
      <c r="D101" s="9">
        <v>554000</v>
      </c>
      <c r="E101" s="9">
        <v>22680</v>
      </c>
      <c r="F101" s="11">
        <v>4.0938628158844768E-2</v>
      </c>
      <c r="G101" s="15" t="s">
        <v>656</v>
      </c>
      <c r="H101" s="7" t="s">
        <v>702</v>
      </c>
    </row>
    <row r="102" spans="1:8" x14ac:dyDescent="0.3">
      <c r="A102" s="3" t="s">
        <v>208</v>
      </c>
      <c r="B102" s="5">
        <v>45185</v>
      </c>
      <c r="C102" s="2">
        <v>1</v>
      </c>
      <c r="D102" s="4">
        <v>521000</v>
      </c>
      <c r="E102" s="4">
        <v>175400</v>
      </c>
      <c r="F102" s="6">
        <v>0.3366602687140115</v>
      </c>
      <c r="G102" s="12" t="s">
        <v>641</v>
      </c>
      <c r="H102" s="2" t="s">
        <v>642</v>
      </c>
    </row>
    <row r="103" spans="1:8" x14ac:dyDescent="0.3">
      <c r="A103" s="8" t="s">
        <v>627</v>
      </c>
      <c r="B103" s="10">
        <v>45260</v>
      </c>
      <c r="C103" s="7">
        <v>3</v>
      </c>
      <c r="D103" s="9">
        <v>520000</v>
      </c>
      <c r="E103" s="9">
        <v>44000</v>
      </c>
      <c r="F103" s="11">
        <v>8.461538461538462E-2</v>
      </c>
      <c r="G103" s="13" t="s">
        <v>644</v>
      </c>
      <c r="H103" s="7" t="s">
        <v>643</v>
      </c>
    </row>
    <row r="104" spans="1:8" x14ac:dyDescent="0.3">
      <c r="A104" s="3" t="s">
        <v>191</v>
      </c>
      <c r="B104" s="5">
        <v>45185</v>
      </c>
      <c r="C104" s="2">
        <v>1</v>
      </c>
      <c r="D104" s="4">
        <v>500000</v>
      </c>
      <c r="E104" s="4">
        <v>160000</v>
      </c>
      <c r="F104" s="6">
        <v>0.32</v>
      </c>
      <c r="G104" s="12" t="s">
        <v>641</v>
      </c>
      <c r="H104" s="2" t="s">
        <v>642</v>
      </c>
    </row>
    <row r="105" spans="1:8" x14ac:dyDescent="0.3">
      <c r="A105" s="8" t="s">
        <v>362</v>
      </c>
      <c r="B105" s="10">
        <v>45206</v>
      </c>
      <c r="C105" s="7">
        <v>2</v>
      </c>
      <c r="D105" s="9">
        <v>498000</v>
      </c>
      <c r="E105" s="9">
        <v>132000</v>
      </c>
      <c r="F105" s="11">
        <v>0.26506024096385539</v>
      </c>
      <c r="G105" s="12" t="s">
        <v>641</v>
      </c>
      <c r="H105" s="7" t="s">
        <v>671</v>
      </c>
    </row>
    <row r="106" spans="1:8" x14ac:dyDescent="0.3">
      <c r="A106" s="3" t="s">
        <v>450</v>
      </c>
      <c r="B106" s="5">
        <v>45226</v>
      </c>
      <c r="C106" s="2">
        <v>2</v>
      </c>
      <c r="D106" s="4">
        <v>480000</v>
      </c>
      <c r="E106" s="4">
        <v>140000</v>
      </c>
      <c r="F106" s="6">
        <v>0.29166666666666669</v>
      </c>
      <c r="G106" s="12" t="s">
        <v>641</v>
      </c>
      <c r="H106" s="2" t="s">
        <v>675</v>
      </c>
    </row>
    <row r="107" spans="1:8" x14ac:dyDescent="0.3">
      <c r="A107" s="8" t="s">
        <v>412</v>
      </c>
      <c r="B107" s="10">
        <v>45220</v>
      </c>
      <c r="C107" s="7">
        <v>2</v>
      </c>
      <c r="D107" s="9">
        <v>468000</v>
      </c>
      <c r="E107" s="9">
        <v>175200</v>
      </c>
      <c r="F107" s="11">
        <v>0.37435897435897442</v>
      </c>
      <c r="G107" s="12" t="s">
        <v>641</v>
      </c>
      <c r="H107" s="7" t="s">
        <v>675</v>
      </c>
    </row>
    <row r="108" spans="1:8" x14ac:dyDescent="0.3">
      <c r="A108" s="3" t="s">
        <v>355</v>
      </c>
      <c r="B108" s="5">
        <v>45205</v>
      </c>
      <c r="C108" s="2">
        <v>1</v>
      </c>
      <c r="D108" s="4">
        <v>460000</v>
      </c>
      <c r="E108" s="4">
        <v>40000</v>
      </c>
      <c r="F108" s="6">
        <v>8.6956521739130432E-2</v>
      </c>
      <c r="G108" s="12" t="s">
        <v>641</v>
      </c>
      <c r="H108" s="2" t="s">
        <v>688</v>
      </c>
    </row>
    <row r="109" spans="1:8" x14ac:dyDescent="0.3">
      <c r="A109" s="8" t="s">
        <v>561</v>
      </c>
      <c r="B109" s="10">
        <v>45243</v>
      </c>
      <c r="C109" s="7">
        <v>2</v>
      </c>
      <c r="D109" s="9">
        <v>455000</v>
      </c>
      <c r="E109" s="9">
        <v>88000</v>
      </c>
      <c r="F109" s="11">
        <v>0.19340659340659341</v>
      </c>
      <c r="G109" s="13" t="s">
        <v>644</v>
      </c>
      <c r="H109" s="7" t="s">
        <v>661</v>
      </c>
    </row>
    <row r="110" spans="1:8" x14ac:dyDescent="0.3">
      <c r="A110" s="3" t="s">
        <v>469</v>
      </c>
      <c r="B110" s="5">
        <v>45243</v>
      </c>
      <c r="C110" s="2">
        <v>3</v>
      </c>
      <c r="D110" s="4">
        <v>450000</v>
      </c>
      <c r="E110" s="4">
        <v>16000</v>
      </c>
      <c r="F110" s="6">
        <v>3.5555555555555562E-2</v>
      </c>
      <c r="G110" s="13" t="s">
        <v>644</v>
      </c>
      <c r="H110" s="2" t="s">
        <v>661</v>
      </c>
    </row>
    <row r="111" spans="1:8" x14ac:dyDescent="0.3">
      <c r="A111" s="8" t="s">
        <v>630</v>
      </c>
      <c r="B111" s="10">
        <v>45260</v>
      </c>
      <c r="C111" s="7">
        <v>3</v>
      </c>
      <c r="D111" s="9">
        <v>445000</v>
      </c>
      <c r="E111" s="9">
        <v>94000</v>
      </c>
      <c r="F111" s="11">
        <v>0.21123595505617981</v>
      </c>
      <c r="G111" s="13" t="s">
        <v>644</v>
      </c>
      <c r="H111" s="7" t="s">
        <v>643</v>
      </c>
    </row>
    <row r="112" spans="1:8" x14ac:dyDescent="0.3">
      <c r="A112" s="3" t="s">
        <v>481</v>
      </c>
      <c r="B112" s="5">
        <v>45227</v>
      </c>
      <c r="C112" s="2">
        <v>1</v>
      </c>
      <c r="D112" s="4">
        <v>444000</v>
      </c>
      <c r="E112" s="4">
        <v>144000</v>
      </c>
      <c r="F112" s="6">
        <v>0.32432432432432429</v>
      </c>
      <c r="G112" s="15" t="s">
        <v>656</v>
      </c>
      <c r="H112" s="2" t="s">
        <v>664</v>
      </c>
    </row>
    <row r="113" spans="1:8" x14ac:dyDescent="0.3">
      <c r="A113" s="8" t="s">
        <v>309</v>
      </c>
      <c r="B113" s="10">
        <v>45198</v>
      </c>
      <c r="C113" s="7">
        <v>1</v>
      </c>
      <c r="D113" s="9">
        <v>410000</v>
      </c>
      <c r="E113" s="9">
        <v>110000</v>
      </c>
      <c r="F113" s="11">
        <v>0.26829268292682928</v>
      </c>
      <c r="G113" s="12" t="s">
        <v>641</v>
      </c>
      <c r="H113" s="7" t="s">
        <v>688</v>
      </c>
    </row>
    <row r="114" spans="1:8" x14ac:dyDescent="0.3">
      <c r="A114" s="3" t="s">
        <v>48</v>
      </c>
      <c r="B114" s="5">
        <v>45173</v>
      </c>
      <c r="C114" s="2">
        <v>3</v>
      </c>
      <c r="D114" s="4">
        <v>398000</v>
      </c>
      <c r="E114" s="4">
        <v>6932</v>
      </c>
      <c r="F114" s="6">
        <v>1.741708542713568E-2</v>
      </c>
      <c r="G114" s="12" t="s">
        <v>641</v>
      </c>
      <c r="H114" s="2" t="s">
        <v>671</v>
      </c>
    </row>
    <row r="115" spans="1:8" x14ac:dyDescent="0.3">
      <c r="A115" s="8" t="s">
        <v>162</v>
      </c>
      <c r="B115" s="10">
        <v>45183</v>
      </c>
      <c r="C115" s="7">
        <v>3</v>
      </c>
      <c r="D115" s="9">
        <v>383000</v>
      </c>
      <c r="E115" s="9">
        <v>193100</v>
      </c>
      <c r="F115" s="11">
        <v>0.50417754569190598</v>
      </c>
      <c r="G115" s="12" t="s">
        <v>641</v>
      </c>
      <c r="H115" s="7" t="s">
        <v>671</v>
      </c>
    </row>
    <row r="116" spans="1:8" x14ac:dyDescent="0.3">
      <c r="A116" s="3" t="s">
        <v>618</v>
      </c>
      <c r="B116" s="5">
        <v>45255</v>
      </c>
      <c r="C116" s="2">
        <v>1</v>
      </c>
      <c r="D116" s="4">
        <v>378000</v>
      </c>
      <c r="E116" s="4">
        <v>51030</v>
      </c>
      <c r="F116" s="6">
        <v>0.13500000000000001</v>
      </c>
      <c r="G116" s="14" t="s">
        <v>650</v>
      </c>
      <c r="H116" s="2" t="s">
        <v>676</v>
      </c>
    </row>
    <row r="117" spans="1:8" x14ac:dyDescent="0.3">
      <c r="A117" s="8" t="s">
        <v>306</v>
      </c>
      <c r="B117" s="10">
        <v>45197</v>
      </c>
      <c r="C117" s="7">
        <v>2</v>
      </c>
      <c r="D117" s="9">
        <v>375000</v>
      </c>
      <c r="E117" s="9">
        <v>15000</v>
      </c>
      <c r="F117" s="11">
        <v>0.04</v>
      </c>
      <c r="G117" s="12" t="s">
        <v>641</v>
      </c>
      <c r="H117" s="7" t="s">
        <v>688</v>
      </c>
    </row>
    <row r="118" spans="1:8" x14ac:dyDescent="0.3">
      <c r="A118" s="3" t="s">
        <v>594</v>
      </c>
      <c r="B118" s="5">
        <v>45250</v>
      </c>
      <c r="C118" s="2">
        <v>6</v>
      </c>
      <c r="D118" s="4">
        <v>360000</v>
      </c>
      <c r="E118" s="4">
        <v>27360</v>
      </c>
      <c r="F118" s="6">
        <v>7.5999999999999998E-2</v>
      </c>
      <c r="G118" s="13" t="s">
        <v>644</v>
      </c>
      <c r="H118" s="2" t="s">
        <v>686</v>
      </c>
    </row>
    <row r="119" spans="1:8" x14ac:dyDescent="0.3">
      <c r="A119" s="8" t="s">
        <v>202</v>
      </c>
      <c r="B119" s="10">
        <v>45185</v>
      </c>
      <c r="C119" s="7">
        <v>1</v>
      </c>
      <c r="D119" s="9">
        <v>360000</v>
      </c>
      <c r="E119" s="9">
        <v>94284</v>
      </c>
      <c r="F119" s="11">
        <v>0.26190000000000002</v>
      </c>
      <c r="G119" s="12" t="s">
        <v>641</v>
      </c>
      <c r="H119" s="7" t="s">
        <v>642</v>
      </c>
    </row>
    <row r="120" spans="1:8" x14ac:dyDescent="0.3">
      <c r="A120" s="3" t="s">
        <v>449</v>
      </c>
      <c r="B120" s="5">
        <v>45226</v>
      </c>
      <c r="C120" s="2">
        <v>1</v>
      </c>
      <c r="D120" s="4">
        <v>360000</v>
      </c>
      <c r="E120" s="4">
        <v>94284</v>
      </c>
      <c r="F120" s="6">
        <v>0.26190000000000002</v>
      </c>
      <c r="G120" s="12" t="s">
        <v>641</v>
      </c>
      <c r="H120" s="2" t="s">
        <v>645</v>
      </c>
    </row>
    <row r="121" spans="1:8" x14ac:dyDescent="0.3">
      <c r="A121" s="8" t="s">
        <v>566</v>
      </c>
      <c r="B121" s="10">
        <v>45243</v>
      </c>
      <c r="C121" s="7">
        <v>1</v>
      </c>
      <c r="D121" s="9">
        <v>355000</v>
      </c>
      <c r="E121" s="9">
        <v>65000</v>
      </c>
      <c r="F121" s="11">
        <v>0.18309859154929581</v>
      </c>
      <c r="G121" s="14" t="s">
        <v>650</v>
      </c>
      <c r="H121" s="7" t="s">
        <v>698</v>
      </c>
    </row>
    <row r="122" spans="1:8" x14ac:dyDescent="0.3">
      <c r="A122" s="3" t="s">
        <v>236</v>
      </c>
      <c r="B122" s="5">
        <v>45185</v>
      </c>
      <c r="C122" s="2">
        <v>1</v>
      </c>
      <c r="D122" s="4">
        <v>340000</v>
      </c>
      <c r="E122" s="4">
        <v>-22268</v>
      </c>
      <c r="F122" s="6">
        <v>-6.5494117647058828E-2</v>
      </c>
      <c r="G122" s="12" t="s">
        <v>641</v>
      </c>
      <c r="H122" s="2" t="s">
        <v>642</v>
      </c>
    </row>
    <row r="123" spans="1:8" x14ac:dyDescent="0.3">
      <c r="A123" s="8" t="s">
        <v>139</v>
      </c>
      <c r="B123" s="10">
        <v>45183</v>
      </c>
      <c r="C123" s="7">
        <v>1</v>
      </c>
      <c r="D123" s="9">
        <v>340000</v>
      </c>
      <c r="E123" s="9">
        <v>-22268</v>
      </c>
      <c r="F123" s="11">
        <v>-6.5494117647058828E-2</v>
      </c>
      <c r="G123" s="12" t="s">
        <v>641</v>
      </c>
      <c r="H123" s="7" t="s">
        <v>688</v>
      </c>
    </row>
    <row r="124" spans="1:8" x14ac:dyDescent="0.3">
      <c r="A124" s="3" t="s">
        <v>457</v>
      </c>
      <c r="B124" s="5">
        <v>45227</v>
      </c>
      <c r="C124" s="2">
        <v>1</v>
      </c>
      <c r="D124" s="4">
        <v>327000</v>
      </c>
      <c r="E124" s="4">
        <v>27000</v>
      </c>
      <c r="F124" s="6">
        <v>8.2568807339449546E-2</v>
      </c>
      <c r="G124" s="15" t="s">
        <v>656</v>
      </c>
      <c r="H124" s="2" t="s">
        <v>664</v>
      </c>
    </row>
    <row r="125" spans="1:8" x14ac:dyDescent="0.3">
      <c r="A125" s="8" t="s">
        <v>318</v>
      </c>
      <c r="B125" s="10">
        <v>45220</v>
      </c>
      <c r="C125" s="7">
        <v>3</v>
      </c>
      <c r="D125" s="9">
        <v>320000</v>
      </c>
      <c r="E125" s="9">
        <v>20000</v>
      </c>
      <c r="F125" s="11">
        <v>6.25E-2</v>
      </c>
      <c r="G125" s="12" t="s">
        <v>641</v>
      </c>
      <c r="H125" s="7" t="s">
        <v>709</v>
      </c>
    </row>
    <row r="126" spans="1:8" x14ac:dyDescent="0.3">
      <c r="A126" s="3" t="s">
        <v>371</v>
      </c>
      <c r="B126" s="5">
        <v>45206</v>
      </c>
      <c r="C126" s="2">
        <v>1</v>
      </c>
      <c r="D126" s="4">
        <v>320000</v>
      </c>
      <c r="E126" s="4">
        <v>50000</v>
      </c>
      <c r="F126" s="6">
        <v>0.15625</v>
      </c>
      <c r="G126" s="12" t="s">
        <v>641</v>
      </c>
      <c r="H126" s="2" t="s">
        <v>642</v>
      </c>
    </row>
    <row r="127" spans="1:8" x14ac:dyDescent="0.3">
      <c r="A127" s="8" t="s">
        <v>401</v>
      </c>
      <c r="B127" s="10">
        <v>45213</v>
      </c>
      <c r="C127" s="7">
        <v>1</v>
      </c>
      <c r="D127" s="9">
        <v>312000</v>
      </c>
      <c r="E127" s="9">
        <v>121992</v>
      </c>
      <c r="F127" s="11">
        <v>0.39100000000000001</v>
      </c>
      <c r="G127" s="12" t="s">
        <v>641</v>
      </c>
      <c r="H127" s="7" t="s">
        <v>645</v>
      </c>
    </row>
    <row r="128" spans="1:8" x14ac:dyDescent="0.3">
      <c r="A128" s="3" t="s">
        <v>446</v>
      </c>
      <c r="B128" s="5">
        <v>45225</v>
      </c>
      <c r="C128" s="2">
        <v>1</v>
      </c>
      <c r="D128" s="4">
        <v>300000</v>
      </c>
      <c r="E128" s="4">
        <v>69000</v>
      </c>
      <c r="F128" s="6">
        <v>0.23</v>
      </c>
      <c r="G128" s="12" t="s">
        <v>641</v>
      </c>
      <c r="H128" s="2" t="s">
        <v>663</v>
      </c>
    </row>
    <row r="129" spans="1:8" x14ac:dyDescent="0.3">
      <c r="A129" s="8" t="s">
        <v>617</v>
      </c>
      <c r="B129" s="10">
        <v>45255</v>
      </c>
      <c r="C129" s="7">
        <v>1</v>
      </c>
      <c r="D129" s="9">
        <v>300000</v>
      </c>
      <c r="E129" s="9">
        <v>69000</v>
      </c>
      <c r="F129" s="11">
        <v>0.23</v>
      </c>
      <c r="G129" s="14" t="s">
        <v>650</v>
      </c>
      <c r="H129" s="7" t="s">
        <v>676</v>
      </c>
    </row>
    <row r="130" spans="1:8" x14ac:dyDescent="0.3">
      <c r="A130" s="3" t="s">
        <v>499</v>
      </c>
      <c r="B130" s="5">
        <v>45233</v>
      </c>
      <c r="C130" s="2">
        <v>4</v>
      </c>
      <c r="D130" s="4">
        <v>295000</v>
      </c>
      <c r="E130" s="4">
        <v>62500</v>
      </c>
      <c r="F130" s="6">
        <v>0.21186440677966101</v>
      </c>
      <c r="G130" s="15" t="s">
        <v>656</v>
      </c>
      <c r="H130" s="2" t="s">
        <v>674</v>
      </c>
    </row>
    <row r="131" spans="1:8" x14ac:dyDescent="0.3">
      <c r="A131" s="8" t="s">
        <v>545</v>
      </c>
      <c r="B131" s="10">
        <v>45240</v>
      </c>
      <c r="C131" s="7">
        <v>1</v>
      </c>
      <c r="D131" s="9">
        <v>285000</v>
      </c>
      <c r="E131" s="9">
        <v>60000</v>
      </c>
      <c r="F131" s="11">
        <v>0.2105263157894737</v>
      </c>
      <c r="G131" s="15" t="s">
        <v>656</v>
      </c>
      <c r="H131" s="7" t="s">
        <v>692</v>
      </c>
    </row>
    <row r="132" spans="1:8" x14ac:dyDescent="0.3">
      <c r="A132" s="3" t="s">
        <v>482</v>
      </c>
      <c r="B132" s="5">
        <v>45227</v>
      </c>
      <c r="C132" s="2">
        <v>4</v>
      </c>
      <c r="D132" s="4">
        <v>275000</v>
      </c>
      <c r="E132" s="4">
        <v>47571</v>
      </c>
      <c r="F132" s="6">
        <v>0.17298545454545461</v>
      </c>
      <c r="G132" s="15" t="s">
        <v>656</v>
      </c>
      <c r="H132" s="2" t="s">
        <v>667</v>
      </c>
    </row>
    <row r="133" spans="1:8" x14ac:dyDescent="0.3">
      <c r="A133" s="8" t="s">
        <v>564</v>
      </c>
      <c r="B133" s="10">
        <v>45243</v>
      </c>
      <c r="C133" s="7">
        <v>2</v>
      </c>
      <c r="D133" s="9">
        <v>275000</v>
      </c>
      <c r="E133" s="9">
        <v>54330</v>
      </c>
      <c r="F133" s="11">
        <v>0.19756363636363641</v>
      </c>
      <c r="G133" s="14" t="s">
        <v>650</v>
      </c>
      <c r="H133" s="7" t="s">
        <v>649</v>
      </c>
    </row>
    <row r="134" spans="1:8" x14ac:dyDescent="0.3">
      <c r="A134" s="3" t="s">
        <v>525</v>
      </c>
      <c r="B134" s="5">
        <v>45234</v>
      </c>
      <c r="C134" s="2">
        <v>2</v>
      </c>
      <c r="D134" s="4">
        <v>272000</v>
      </c>
      <c r="E134" s="4">
        <v>44000</v>
      </c>
      <c r="F134" s="6">
        <v>0.16176470588235289</v>
      </c>
      <c r="G134" s="15" t="s">
        <v>656</v>
      </c>
      <c r="H134" s="2" t="s">
        <v>667</v>
      </c>
    </row>
    <row r="135" spans="1:8" x14ac:dyDescent="0.3">
      <c r="A135" s="8" t="s">
        <v>453</v>
      </c>
      <c r="B135" s="10">
        <v>45226</v>
      </c>
      <c r="C135" s="7">
        <v>1</v>
      </c>
      <c r="D135" s="9">
        <v>268000</v>
      </c>
      <c r="E135" s="9">
        <v>95200</v>
      </c>
      <c r="F135" s="11">
        <v>0.35522388059701487</v>
      </c>
      <c r="G135" s="12" t="s">
        <v>641</v>
      </c>
      <c r="H135" s="7" t="s">
        <v>663</v>
      </c>
    </row>
    <row r="136" spans="1:8" x14ac:dyDescent="0.3">
      <c r="A136" s="3" t="s">
        <v>556</v>
      </c>
      <c r="B136" s="5">
        <v>45243</v>
      </c>
      <c r="C136" s="2">
        <v>2</v>
      </c>
      <c r="D136" s="4">
        <v>265500</v>
      </c>
      <c r="E136" s="4">
        <v>27666</v>
      </c>
      <c r="F136" s="6">
        <v>0.1042033898305085</v>
      </c>
      <c r="G136" s="14" t="s">
        <v>650</v>
      </c>
      <c r="H136" s="2" t="s">
        <v>649</v>
      </c>
    </row>
    <row r="137" spans="1:8" x14ac:dyDescent="0.3">
      <c r="A137" s="8" t="s">
        <v>565</v>
      </c>
      <c r="B137" s="10">
        <v>45243</v>
      </c>
      <c r="C137" s="7">
        <v>1</v>
      </c>
      <c r="D137" s="9">
        <v>264000</v>
      </c>
      <c r="E137" s="9">
        <v>73992</v>
      </c>
      <c r="F137" s="11">
        <v>0.28027272727272728</v>
      </c>
      <c r="G137" s="14" t="s">
        <v>650</v>
      </c>
      <c r="H137" s="7" t="s">
        <v>669</v>
      </c>
    </row>
    <row r="138" spans="1:8" x14ac:dyDescent="0.3">
      <c r="A138" s="3" t="s">
        <v>258</v>
      </c>
      <c r="B138" s="5">
        <v>45192</v>
      </c>
      <c r="C138" s="2">
        <v>1</v>
      </c>
      <c r="D138" s="4">
        <v>260000</v>
      </c>
      <c r="E138" s="4">
        <v>-41890</v>
      </c>
      <c r="F138" s="6">
        <v>-0.1611153846153846</v>
      </c>
      <c r="G138" s="12" t="s">
        <v>641</v>
      </c>
      <c r="H138" s="2" t="s">
        <v>678</v>
      </c>
    </row>
    <row r="139" spans="1:8" x14ac:dyDescent="0.3">
      <c r="A139" s="8" t="s">
        <v>551</v>
      </c>
      <c r="B139" s="10">
        <v>45240</v>
      </c>
      <c r="C139" s="7">
        <v>2</v>
      </c>
      <c r="D139" s="9">
        <v>252000</v>
      </c>
      <c r="E139" s="9">
        <v>32000</v>
      </c>
      <c r="F139" s="11">
        <v>0.126984126984127</v>
      </c>
      <c r="G139" s="15" t="s">
        <v>656</v>
      </c>
      <c r="H139" s="7" t="s">
        <v>667</v>
      </c>
    </row>
    <row r="140" spans="1:8" x14ac:dyDescent="0.3">
      <c r="A140" s="3" t="s">
        <v>439</v>
      </c>
      <c r="B140" s="5">
        <v>45225</v>
      </c>
      <c r="C140" s="2">
        <v>3</v>
      </c>
      <c r="D140" s="4">
        <v>250000</v>
      </c>
      <c r="E140" s="4">
        <v>32500</v>
      </c>
      <c r="F140" s="6">
        <v>0.13</v>
      </c>
      <c r="G140" s="12" t="s">
        <v>641</v>
      </c>
      <c r="H140" s="2" t="s">
        <v>687</v>
      </c>
    </row>
    <row r="141" spans="1:8" x14ac:dyDescent="0.3">
      <c r="A141" s="8" t="s">
        <v>69</v>
      </c>
      <c r="B141" s="10">
        <v>45175</v>
      </c>
      <c r="C141" s="7">
        <v>1</v>
      </c>
      <c r="D141" s="9">
        <v>220500</v>
      </c>
      <c r="E141" s="9">
        <v>20490</v>
      </c>
      <c r="F141" s="11">
        <v>9.292517006802721E-2</v>
      </c>
      <c r="G141" s="12" t="s">
        <v>641</v>
      </c>
      <c r="H141" s="7" t="s">
        <v>705</v>
      </c>
    </row>
    <row r="142" spans="1:8" x14ac:dyDescent="0.3">
      <c r="A142" s="3" t="s">
        <v>302</v>
      </c>
      <c r="B142" s="5">
        <v>45197</v>
      </c>
      <c r="C142" s="2">
        <v>3</v>
      </c>
      <c r="D142" s="4">
        <v>210000</v>
      </c>
      <c r="E142" s="4">
        <v>20830</v>
      </c>
      <c r="F142" s="6">
        <v>9.919047619047619E-2</v>
      </c>
      <c r="G142" s="12" t="s">
        <v>641</v>
      </c>
      <c r="H142" s="2" t="s">
        <v>691</v>
      </c>
    </row>
    <row r="143" spans="1:8" x14ac:dyDescent="0.3">
      <c r="A143" s="8" t="s">
        <v>392</v>
      </c>
      <c r="B143" s="10">
        <v>45213</v>
      </c>
      <c r="C143" s="7">
        <v>1</v>
      </c>
      <c r="D143" s="9">
        <v>200000</v>
      </c>
      <c r="E143" s="9">
        <v>20000</v>
      </c>
      <c r="F143" s="11">
        <v>0.1</v>
      </c>
      <c r="G143" s="12" t="s">
        <v>641</v>
      </c>
      <c r="H143" s="7" t="s">
        <v>663</v>
      </c>
    </row>
    <row r="144" spans="1:8" x14ac:dyDescent="0.3">
      <c r="A144" s="3" t="s">
        <v>456</v>
      </c>
      <c r="B144" s="5">
        <v>45226</v>
      </c>
      <c r="C144" s="2">
        <v>1</v>
      </c>
      <c r="D144" s="4">
        <v>184000</v>
      </c>
      <c r="E144" s="4">
        <v>-27200</v>
      </c>
      <c r="F144" s="6">
        <v>-0.14782608695652169</v>
      </c>
      <c r="G144" s="12" t="s">
        <v>641</v>
      </c>
      <c r="H144" s="2" t="s">
        <v>663</v>
      </c>
    </row>
    <row r="145" spans="1:8" x14ac:dyDescent="0.3">
      <c r="A145" s="8" t="s">
        <v>563</v>
      </c>
      <c r="B145" s="10">
        <v>45243</v>
      </c>
      <c r="C145" s="7">
        <v>1</v>
      </c>
      <c r="D145" s="9">
        <v>180000</v>
      </c>
      <c r="E145" s="9">
        <v>-31200</v>
      </c>
      <c r="F145" s="11">
        <v>-0.17333333333333331</v>
      </c>
      <c r="G145" s="14" t="s">
        <v>650</v>
      </c>
      <c r="H145" s="7" t="s">
        <v>669</v>
      </c>
    </row>
    <row r="146" spans="1:8" x14ac:dyDescent="0.3">
      <c r="A146" s="3" t="s">
        <v>277</v>
      </c>
      <c r="B146" s="5">
        <v>45192</v>
      </c>
      <c r="C146" s="2">
        <v>1</v>
      </c>
      <c r="D146" s="4">
        <v>178000</v>
      </c>
      <c r="E146" s="4">
        <v>46888</v>
      </c>
      <c r="F146" s="6">
        <v>0.26341573033707871</v>
      </c>
      <c r="G146" s="12" t="s">
        <v>641</v>
      </c>
      <c r="H146" s="2" t="s">
        <v>678</v>
      </c>
    </row>
    <row r="147" spans="1:8" x14ac:dyDescent="0.3">
      <c r="A147" s="8" t="s">
        <v>358</v>
      </c>
      <c r="B147" s="10">
        <v>45205</v>
      </c>
      <c r="C147" s="7">
        <v>1</v>
      </c>
      <c r="D147" s="9">
        <v>168000</v>
      </c>
      <c r="E147" s="9">
        <v>30000</v>
      </c>
      <c r="F147" s="11">
        <v>0.1785714285714286</v>
      </c>
      <c r="G147" s="12" t="s">
        <v>641</v>
      </c>
      <c r="H147" s="7" t="s">
        <v>705</v>
      </c>
    </row>
    <row r="148" spans="1:8" x14ac:dyDescent="0.3">
      <c r="A148" s="3" t="s">
        <v>555</v>
      </c>
      <c r="B148" s="5">
        <v>45243</v>
      </c>
      <c r="C148" s="2">
        <v>1</v>
      </c>
      <c r="D148" s="4">
        <v>167000</v>
      </c>
      <c r="E148" s="4">
        <v>-8000</v>
      </c>
      <c r="F148" s="6">
        <v>-4.790419161676647E-2</v>
      </c>
      <c r="G148" s="14" t="s">
        <v>650</v>
      </c>
      <c r="H148" s="2" t="s">
        <v>669</v>
      </c>
    </row>
    <row r="149" spans="1:8" x14ac:dyDescent="0.3">
      <c r="A149" s="8" t="s">
        <v>626</v>
      </c>
      <c r="B149" s="10">
        <v>45260</v>
      </c>
      <c r="C149" s="7">
        <v>1</v>
      </c>
      <c r="D149" s="9">
        <v>164000</v>
      </c>
      <c r="E149" s="9">
        <v>14000</v>
      </c>
      <c r="F149" s="11">
        <v>8.5365853658536592E-2</v>
      </c>
      <c r="G149" s="14" t="s">
        <v>650</v>
      </c>
      <c r="H149" s="7" t="s">
        <v>670</v>
      </c>
    </row>
    <row r="150" spans="1:8" x14ac:dyDescent="0.3">
      <c r="A150" s="3" t="s">
        <v>542</v>
      </c>
      <c r="B150" s="5">
        <v>45240</v>
      </c>
      <c r="C150" s="2">
        <v>2</v>
      </c>
      <c r="D150" s="4">
        <v>157000</v>
      </c>
      <c r="E150" s="4">
        <v>19000</v>
      </c>
      <c r="F150" s="6">
        <v>0.12101910828025481</v>
      </c>
      <c r="G150" s="15" t="s">
        <v>656</v>
      </c>
      <c r="H150" s="2" t="s">
        <v>655</v>
      </c>
    </row>
    <row r="151" spans="1:8" x14ac:dyDescent="0.3">
      <c r="A151" s="8" t="s">
        <v>467</v>
      </c>
      <c r="B151" s="10">
        <v>45227</v>
      </c>
      <c r="C151" s="7">
        <v>1</v>
      </c>
      <c r="D151" s="9">
        <v>156000</v>
      </c>
      <c r="E151" s="9">
        <v>-25134</v>
      </c>
      <c r="F151" s="11">
        <v>-0.1611153846153846</v>
      </c>
      <c r="G151" s="15" t="s">
        <v>656</v>
      </c>
      <c r="H151" s="7" t="s">
        <v>655</v>
      </c>
    </row>
    <row r="152" spans="1:8" x14ac:dyDescent="0.3">
      <c r="A152" s="3" t="s">
        <v>506</v>
      </c>
      <c r="B152" s="5">
        <v>45234</v>
      </c>
      <c r="C152" s="2">
        <v>2</v>
      </c>
      <c r="D152" s="4">
        <v>146000</v>
      </c>
      <c r="E152" s="4">
        <v>20000</v>
      </c>
      <c r="F152" s="6">
        <v>0.13698630136986301</v>
      </c>
      <c r="G152" s="15" t="s">
        <v>656</v>
      </c>
      <c r="H152" s="2" t="s">
        <v>655</v>
      </c>
    </row>
    <row r="153" spans="1:8" x14ac:dyDescent="0.3">
      <c r="A153" s="8" t="s">
        <v>548</v>
      </c>
      <c r="B153" s="10">
        <v>45240</v>
      </c>
      <c r="C153" s="7">
        <v>1</v>
      </c>
      <c r="D153" s="9">
        <v>144000</v>
      </c>
      <c r="E153" s="9">
        <v>39600</v>
      </c>
      <c r="F153" s="11">
        <v>0.27500000000000002</v>
      </c>
      <c r="G153" s="15" t="s">
        <v>656</v>
      </c>
      <c r="H153" s="7" t="s">
        <v>692</v>
      </c>
    </row>
    <row r="154" spans="1:8" x14ac:dyDescent="0.3">
      <c r="A154" s="3" t="s">
        <v>130</v>
      </c>
      <c r="B154" s="5">
        <v>45180</v>
      </c>
      <c r="C154" s="2">
        <v>1</v>
      </c>
      <c r="D154" s="4">
        <v>144000</v>
      </c>
      <c r="E154" s="4">
        <v>54000</v>
      </c>
      <c r="F154" s="6">
        <v>0.375</v>
      </c>
      <c r="G154" s="12" t="s">
        <v>641</v>
      </c>
      <c r="H154" s="2" t="s">
        <v>705</v>
      </c>
    </row>
    <row r="155" spans="1:8" x14ac:dyDescent="0.3">
      <c r="A155" s="8" t="s">
        <v>307</v>
      </c>
      <c r="B155" s="10">
        <v>45212</v>
      </c>
      <c r="C155" s="7">
        <v>3</v>
      </c>
      <c r="D155" s="9">
        <v>141000</v>
      </c>
      <c r="E155" s="9">
        <v>33600</v>
      </c>
      <c r="F155" s="11">
        <v>0.23829787234042549</v>
      </c>
      <c r="G155" s="12" t="s">
        <v>641</v>
      </c>
      <c r="H155" s="7" t="s">
        <v>687</v>
      </c>
    </row>
    <row r="156" spans="1:8" x14ac:dyDescent="0.3">
      <c r="A156" s="3" t="s">
        <v>203</v>
      </c>
      <c r="B156" s="5">
        <v>45185</v>
      </c>
      <c r="C156" s="2">
        <v>3</v>
      </c>
      <c r="D156" s="4">
        <v>140000</v>
      </c>
      <c r="E156" s="4">
        <v>-5000</v>
      </c>
      <c r="F156" s="6">
        <v>-3.5714285714285712E-2</v>
      </c>
      <c r="G156" s="12" t="s">
        <v>641</v>
      </c>
      <c r="H156" s="2" t="s">
        <v>691</v>
      </c>
    </row>
    <row r="157" spans="1:8" x14ac:dyDescent="0.3">
      <c r="A157" s="8" t="s">
        <v>458</v>
      </c>
      <c r="B157" s="10">
        <v>45227</v>
      </c>
      <c r="C157" s="7">
        <v>1</v>
      </c>
      <c r="D157" s="9">
        <v>108000</v>
      </c>
      <c r="E157" s="9">
        <v>-12756</v>
      </c>
      <c r="F157" s="11">
        <v>-0.1181111111111111</v>
      </c>
      <c r="G157" s="15" t="s">
        <v>656</v>
      </c>
      <c r="H157" s="7" t="s">
        <v>655</v>
      </c>
    </row>
    <row r="158" spans="1:8" x14ac:dyDescent="0.3">
      <c r="A158" s="3" t="s">
        <v>346</v>
      </c>
      <c r="B158" s="5">
        <v>45204</v>
      </c>
      <c r="C158" s="2">
        <v>3</v>
      </c>
      <c r="D158" s="4">
        <v>105000</v>
      </c>
      <c r="E158" s="4">
        <v>26250</v>
      </c>
      <c r="F158" s="6">
        <v>0.25</v>
      </c>
      <c r="G158" s="12" t="s">
        <v>641</v>
      </c>
      <c r="H158" s="2" t="s">
        <v>691</v>
      </c>
    </row>
    <row r="159" spans="1:8" x14ac:dyDescent="0.3">
      <c r="A159" s="8" t="s">
        <v>628</v>
      </c>
      <c r="B159" s="10">
        <v>45260</v>
      </c>
      <c r="C159" s="7">
        <v>1</v>
      </c>
      <c r="D159" s="9">
        <v>100000</v>
      </c>
      <c r="E159" s="9">
        <v>23000</v>
      </c>
      <c r="F159" s="11">
        <v>0.23</v>
      </c>
      <c r="G159" s="14" t="s">
        <v>650</v>
      </c>
      <c r="H159" s="7" t="s">
        <v>670</v>
      </c>
    </row>
    <row r="160" spans="1:8" x14ac:dyDescent="0.3">
      <c r="A160" s="3" t="s">
        <v>466</v>
      </c>
      <c r="B160" s="5">
        <v>45227</v>
      </c>
      <c r="C160" s="2">
        <v>1</v>
      </c>
      <c r="D160" s="4">
        <v>54000</v>
      </c>
      <c r="E160" s="4">
        <v>-6378</v>
      </c>
      <c r="F160" s="6">
        <v>-0.1181111111111111</v>
      </c>
      <c r="G160" s="15" t="s">
        <v>656</v>
      </c>
      <c r="H160" s="2" t="s">
        <v>692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B6" sqref="B6"/>
    </sheetView>
  </sheetViews>
  <sheetFormatPr defaultRowHeight="14.4" x14ac:dyDescent="0.3"/>
  <cols>
    <col min="1" max="1" width="24" customWidth="1"/>
    <col min="2" max="2" width="15" customWidth="1"/>
    <col min="3" max="3" width="16" customWidth="1"/>
  </cols>
  <sheetData>
    <row r="1" spans="1:3" x14ac:dyDescent="0.3">
      <c r="A1" s="1" t="s">
        <v>639</v>
      </c>
      <c r="B1" s="1" t="s">
        <v>715</v>
      </c>
      <c r="C1" s="1" t="s">
        <v>716</v>
      </c>
    </row>
    <row r="2" spans="1:3" x14ac:dyDescent="0.3">
      <c r="A2" s="17" t="s">
        <v>659</v>
      </c>
      <c r="B2" s="2">
        <v>20</v>
      </c>
      <c r="C2" s="4">
        <v>82433156</v>
      </c>
    </row>
    <row r="3" spans="1:3" x14ac:dyDescent="0.3">
      <c r="A3" s="18" t="s">
        <v>644</v>
      </c>
      <c r="B3" s="7">
        <v>47</v>
      </c>
      <c r="C3" s="9">
        <v>102689500</v>
      </c>
    </row>
    <row r="4" spans="1:3" x14ac:dyDescent="0.3">
      <c r="A4" s="19" t="s">
        <v>656</v>
      </c>
      <c r="B4" s="2">
        <v>16</v>
      </c>
      <c r="C4" s="4">
        <v>5521000</v>
      </c>
    </row>
    <row r="5" spans="1:3" x14ac:dyDescent="0.3">
      <c r="A5" s="20" t="s">
        <v>650</v>
      </c>
      <c r="B5" s="7">
        <v>22</v>
      </c>
      <c r="C5" s="9">
        <v>25980700</v>
      </c>
    </row>
    <row r="6" spans="1:3" x14ac:dyDescent="0.3">
      <c r="A6" s="21" t="s">
        <v>641</v>
      </c>
      <c r="B6" s="2">
        <v>54</v>
      </c>
      <c r="C6" s="4">
        <v>52659100</v>
      </c>
    </row>
    <row r="7" spans="1:3" x14ac:dyDescent="0.3">
      <c r="A7" s="22" t="s">
        <v>717</v>
      </c>
      <c r="B7" s="23">
        <v>159</v>
      </c>
      <c r="C7" s="24">
        <v>269283456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0"/>
  <sheetViews>
    <sheetView zoomScaleNormal="100" workbookViewId="0">
      <selection activeCell="C1" sqref="C1"/>
    </sheetView>
  </sheetViews>
  <sheetFormatPr defaultRowHeight="14.4" x14ac:dyDescent="0.3"/>
  <cols>
    <col min="1" max="1" width="45" customWidth="1"/>
    <col min="2" max="2" width="10" customWidth="1"/>
    <col min="3" max="3" width="45" customWidth="1"/>
    <col min="4" max="5" width="15" customWidth="1"/>
    <col min="6" max="6" width="21" customWidth="1"/>
    <col min="7" max="7" width="35" customWidth="1"/>
  </cols>
  <sheetData>
    <row r="1" spans="1:7" x14ac:dyDescent="0.3">
      <c r="A1" s="1" t="s">
        <v>0</v>
      </c>
      <c r="B1" s="1" t="s">
        <v>1</v>
      </c>
      <c r="C1" s="1" t="s">
        <v>2</v>
      </c>
      <c r="D1" s="1" t="s">
        <v>718</v>
      </c>
      <c r="E1" s="1" t="s">
        <v>719</v>
      </c>
      <c r="F1" s="1" t="s">
        <v>720</v>
      </c>
      <c r="G1" s="1" t="s">
        <v>10</v>
      </c>
    </row>
    <row r="2" spans="1:7" x14ac:dyDescent="0.3">
      <c r="A2" s="25">
        <v>9</v>
      </c>
      <c r="B2" s="26" t="s">
        <v>721</v>
      </c>
      <c r="C2" s="26" t="s">
        <v>722</v>
      </c>
      <c r="D2" s="27">
        <v>10</v>
      </c>
      <c r="E2" s="27">
        <v>-90000</v>
      </c>
      <c r="F2" s="28">
        <v>45173</v>
      </c>
      <c r="G2" s="26" t="s">
        <v>42</v>
      </c>
    </row>
    <row r="3" spans="1:7" x14ac:dyDescent="0.3">
      <c r="A3" s="7">
        <v>13</v>
      </c>
      <c r="B3" s="8" t="s">
        <v>40</v>
      </c>
      <c r="C3" s="8" t="s">
        <v>41</v>
      </c>
      <c r="D3" s="29">
        <v>6</v>
      </c>
      <c r="E3" s="29">
        <v>-60000</v>
      </c>
      <c r="F3" s="10">
        <v>45173</v>
      </c>
      <c r="G3" s="8" t="s">
        <v>44</v>
      </c>
    </row>
    <row r="4" spans="1:7" x14ac:dyDescent="0.3">
      <c r="A4" s="25">
        <v>23</v>
      </c>
      <c r="B4" s="26" t="s">
        <v>723</v>
      </c>
      <c r="C4" s="26" t="s">
        <v>724</v>
      </c>
      <c r="D4" s="27">
        <v>1</v>
      </c>
      <c r="E4" s="27">
        <v>-233000</v>
      </c>
      <c r="F4" s="28">
        <v>45173</v>
      </c>
      <c r="G4" s="26" t="s">
        <v>64</v>
      </c>
    </row>
    <row r="5" spans="1:7" x14ac:dyDescent="0.3">
      <c r="A5" s="7">
        <v>37</v>
      </c>
      <c r="B5" s="8" t="s">
        <v>296</v>
      </c>
      <c r="C5" s="8" t="s">
        <v>297</v>
      </c>
      <c r="D5" s="29">
        <v>4</v>
      </c>
      <c r="E5" s="29">
        <v>-600000</v>
      </c>
      <c r="F5" s="10">
        <v>45180</v>
      </c>
      <c r="G5" s="8" t="s">
        <v>85</v>
      </c>
    </row>
    <row r="6" spans="1:7" x14ac:dyDescent="0.3">
      <c r="A6" s="25">
        <v>121</v>
      </c>
      <c r="B6" s="26" t="s">
        <v>121</v>
      </c>
      <c r="C6" s="26" t="s">
        <v>122</v>
      </c>
      <c r="D6" s="27">
        <v>6</v>
      </c>
      <c r="E6" s="27">
        <v>-720000</v>
      </c>
      <c r="F6" s="28">
        <v>45185</v>
      </c>
      <c r="G6" s="26" t="s">
        <v>207</v>
      </c>
    </row>
    <row r="7" spans="1:7" x14ac:dyDescent="0.3">
      <c r="A7" s="7">
        <v>131</v>
      </c>
      <c r="B7" s="8" t="s">
        <v>205</v>
      </c>
      <c r="C7" s="8" t="s">
        <v>206</v>
      </c>
      <c r="D7" s="29">
        <v>6</v>
      </c>
      <c r="E7" s="29">
        <v>-720000</v>
      </c>
      <c r="F7" s="10">
        <v>45185</v>
      </c>
      <c r="G7" s="8" t="s">
        <v>217</v>
      </c>
    </row>
    <row r="8" spans="1:7" x14ac:dyDescent="0.3">
      <c r="A8" s="25">
        <v>132</v>
      </c>
      <c r="B8" s="26" t="s">
        <v>119</v>
      </c>
      <c r="C8" s="26" t="s">
        <v>120</v>
      </c>
      <c r="D8" s="27">
        <v>6</v>
      </c>
      <c r="E8" s="27">
        <v>-720000</v>
      </c>
      <c r="F8" s="28">
        <v>45185</v>
      </c>
      <c r="G8" s="26" t="s">
        <v>217</v>
      </c>
    </row>
    <row r="9" spans="1:7" x14ac:dyDescent="0.3">
      <c r="A9" s="7">
        <v>145</v>
      </c>
      <c r="B9" s="8" t="s">
        <v>725</v>
      </c>
      <c r="C9" s="8" t="s">
        <v>726</v>
      </c>
      <c r="D9" s="29">
        <v>1</v>
      </c>
      <c r="E9" s="29">
        <v>-370000</v>
      </c>
      <c r="F9" s="10">
        <v>45185</v>
      </c>
      <c r="G9" s="8" t="s">
        <v>61</v>
      </c>
    </row>
    <row r="10" spans="1:7" x14ac:dyDescent="0.3">
      <c r="A10" s="25">
        <v>154</v>
      </c>
      <c r="B10" s="26" t="s">
        <v>205</v>
      </c>
      <c r="C10" s="26" t="s">
        <v>206</v>
      </c>
      <c r="D10" s="27">
        <v>6</v>
      </c>
      <c r="E10" s="27">
        <v>-720000</v>
      </c>
      <c r="F10" s="28">
        <v>45185</v>
      </c>
      <c r="G10" s="26" t="s">
        <v>239</v>
      </c>
    </row>
    <row r="11" spans="1:7" x14ac:dyDescent="0.3">
      <c r="A11" s="7">
        <v>155</v>
      </c>
      <c r="B11" s="8" t="s">
        <v>119</v>
      </c>
      <c r="C11" s="8" t="s">
        <v>120</v>
      </c>
      <c r="D11" s="29">
        <v>12</v>
      </c>
      <c r="E11" s="29">
        <v>-1440000</v>
      </c>
      <c r="F11" s="10">
        <v>45185</v>
      </c>
      <c r="G11" s="8" t="s">
        <v>239</v>
      </c>
    </row>
    <row r="12" spans="1:7" x14ac:dyDescent="0.3">
      <c r="A12" s="25">
        <v>176</v>
      </c>
      <c r="B12" s="26" t="s">
        <v>727</v>
      </c>
      <c r="C12" s="26" t="s">
        <v>728</v>
      </c>
      <c r="D12" s="27">
        <v>1</v>
      </c>
      <c r="E12" s="27">
        <v>-375000</v>
      </c>
      <c r="F12" s="28">
        <v>45192</v>
      </c>
      <c r="G12" s="26" t="s">
        <v>262</v>
      </c>
    </row>
    <row r="13" spans="1:7" x14ac:dyDescent="0.3">
      <c r="A13" s="7">
        <v>186</v>
      </c>
      <c r="B13" s="8" t="s">
        <v>205</v>
      </c>
      <c r="C13" s="8" t="s">
        <v>206</v>
      </c>
      <c r="D13" s="29">
        <v>6</v>
      </c>
      <c r="E13" s="29">
        <v>-660000</v>
      </c>
      <c r="F13" s="10">
        <v>45192</v>
      </c>
      <c r="G13" s="8" t="s">
        <v>273</v>
      </c>
    </row>
    <row r="14" spans="1:7" x14ac:dyDescent="0.3">
      <c r="A14" s="25">
        <v>190</v>
      </c>
      <c r="B14" s="26" t="s">
        <v>27</v>
      </c>
      <c r="C14" s="26" t="s">
        <v>28</v>
      </c>
      <c r="D14" s="27">
        <v>5</v>
      </c>
      <c r="E14" s="27">
        <v>-50000</v>
      </c>
      <c r="F14" s="28">
        <v>45192</v>
      </c>
      <c r="G14" s="26" t="s">
        <v>61</v>
      </c>
    </row>
    <row r="15" spans="1:7" x14ac:dyDescent="0.3">
      <c r="A15" s="7">
        <v>231</v>
      </c>
      <c r="B15" s="8" t="s">
        <v>205</v>
      </c>
      <c r="C15" s="8" t="s">
        <v>206</v>
      </c>
      <c r="D15" s="29">
        <v>6</v>
      </c>
      <c r="E15" s="29">
        <v>-660000</v>
      </c>
      <c r="F15" s="10">
        <v>45198</v>
      </c>
      <c r="G15" s="8" t="s">
        <v>311</v>
      </c>
    </row>
    <row r="16" spans="1:7" x14ac:dyDescent="0.3">
      <c r="A16" s="25">
        <v>233</v>
      </c>
      <c r="B16" s="26" t="s">
        <v>478</v>
      </c>
      <c r="C16" s="26" t="s">
        <v>479</v>
      </c>
      <c r="D16" s="27">
        <v>1</v>
      </c>
      <c r="E16" s="27">
        <v>-186000</v>
      </c>
      <c r="F16" s="28">
        <v>45199</v>
      </c>
      <c r="G16" s="26" t="s">
        <v>85</v>
      </c>
    </row>
    <row r="17" spans="1:7" x14ac:dyDescent="0.3">
      <c r="A17" s="7">
        <v>246</v>
      </c>
      <c r="B17" s="8" t="s">
        <v>729</v>
      </c>
      <c r="C17" s="8" t="s">
        <v>730</v>
      </c>
      <c r="D17" s="29">
        <v>1</v>
      </c>
      <c r="E17" s="29">
        <v>-282000</v>
      </c>
      <c r="F17" s="10">
        <v>45199</v>
      </c>
      <c r="G17" s="8" t="s">
        <v>33</v>
      </c>
    </row>
    <row r="18" spans="1:7" x14ac:dyDescent="0.3">
      <c r="A18" s="25">
        <v>248</v>
      </c>
      <c r="B18" s="26" t="s">
        <v>27</v>
      </c>
      <c r="C18" s="26" t="s">
        <v>28</v>
      </c>
      <c r="D18" s="27">
        <v>8</v>
      </c>
      <c r="E18" s="27">
        <v>-64000</v>
      </c>
      <c r="F18" s="28">
        <v>45199</v>
      </c>
      <c r="G18" s="26" t="s">
        <v>274</v>
      </c>
    </row>
    <row r="19" spans="1:7" x14ac:dyDescent="0.3">
      <c r="A19" s="7">
        <v>289</v>
      </c>
      <c r="B19" s="8" t="s">
        <v>497</v>
      </c>
      <c r="C19" s="8" t="s">
        <v>498</v>
      </c>
      <c r="D19" s="29">
        <v>5</v>
      </c>
      <c r="E19" s="29">
        <v>-55000</v>
      </c>
      <c r="F19" s="10">
        <v>45206</v>
      </c>
      <c r="G19" s="8" t="s">
        <v>199</v>
      </c>
    </row>
    <row r="20" spans="1:7" x14ac:dyDescent="0.3">
      <c r="A20" s="25">
        <v>316</v>
      </c>
      <c r="B20" s="26" t="s">
        <v>731</v>
      </c>
      <c r="C20" s="26" t="s">
        <v>732</v>
      </c>
      <c r="D20" s="27">
        <v>10</v>
      </c>
      <c r="E20" s="27">
        <v>-160000</v>
      </c>
      <c r="F20" s="28">
        <v>45212</v>
      </c>
      <c r="G20" s="26" t="s">
        <v>159</v>
      </c>
    </row>
    <row r="21" spans="1:7" x14ac:dyDescent="0.3">
      <c r="A21" s="7">
        <v>337</v>
      </c>
      <c r="B21" s="8" t="s">
        <v>252</v>
      </c>
      <c r="C21" s="8" t="s">
        <v>253</v>
      </c>
      <c r="D21" s="29">
        <v>1</v>
      </c>
      <c r="E21" s="29">
        <v>-31000</v>
      </c>
      <c r="F21" s="10">
        <v>45213</v>
      </c>
      <c r="G21" s="8" t="s">
        <v>204</v>
      </c>
    </row>
    <row r="22" spans="1:7" x14ac:dyDescent="0.3">
      <c r="A22" s="25">
        <v>340</v>
      </c>
      <c r="B22" s="26" t="s">
        <v>200</v>
      </c>
      <c r="C22" s="26" t="s">
        <v>201</v>
      </c>
      <c r="D22" s="27">
        <v>1</v>
      </c>
      <c r="E22" s="27">
        <v>-31000</v>
      </c>
      <c r="F22" s="28">
        <v>45213</v>
      </c>
      <c r="G22" s="26" t="s">
        <v>216</v>
      </c>
    </row>
    <row r="23" spans="1:7" x14ac:dyDescent="0.3">
      <c r="A23" s="7">
        <v>348</v>
      </c>
      <c r="B23" s="8" t="s">
        <v>200</v>
      </c>
      <c r="C23" s="8" t="s">
        <v>201</v>
      </c>
      <c r="D23" s="29">
        <v>2</v>
      </c>
      <c r="E23" s="29">
        <v>-63000</v>
      </c>
      <c r="F23" s="10">
        <v>45213</v>
      </c>
      <c r="G23" s="8" t="s">
        <v>393</v>
      </c>
    </row>
    <row r="24" spans="1:7" x14ac:dyDescent="0.3">
      <c r="A24" s="25">
        <v>376</v>
      </c>
      <c r="B24" s="26" t="s">
        <v>40</v>
      </c>
      <c r="C24" s="26" t="s">
        <v>41</v>
      </c>
      <c r="D24" s="27">
        <v>3</v>
      </c>
      <c r="E24" s="27">
        <v>-30000</v>
      </c>
      <c r="F24" s="28">
        <v>45220</v>
      </c>
      <c r="G24" s="26" t="s">
        <v>412</v>
      </c>
    </row>
    <row r="25" spans="1:7" x14ac:dyDescent="0.3">
      <c r="A25" s="7">
        <v>388</v>
      </c>
      <c r="B25" s="8" t="s">
        <v>205</v>
      </c>
      <c r="C25" s="8" t="s">
        <v>206</v>
      </c>
      <c r="D25" s="29">
        <v>3</v>
      </c>
      <c r="E25" s="29">
        <v>-327000</v>
      </c>
      <c r="F25" s="10">
        <v>45220</v>
      </c>
      <c r="G25" s="8" t="s">
        <v>99</v>
      </c>
    </row>
    <row r="26" spans="1:7" x14ac:dyDescent="0.3">
      <c r="A26" s="25">
        <v>391</v>
      </c>
      <c r="B26" s="26" t="s">
        <v>23</v>
      </c>
      <c r="C26" s="26" t="s">
        <v>24</v>
      </c>
      <c r="D26" s="27">
        <v>1</v>
      </c>
      <c r="E26" s="27">
        <v>-130000</v>
      </c>
      <c r="F26" s="28">
        <v>45220</v>
      </c>
      <c r="G26" s="26" t="s">
        <v>99</v>
      </c>
    </row>
    <row r="27" spans="1:7" x14ac:dyDescent="0.3">
      <c r="A27" s="7">
        <v>401</v>
      </c>
      <c r="B27" s="8" t="s">
        <v>27</v>
      </c>
      <c r="C27" s="8" t="s">
        <v>28</v>
      </c>
      <c r="D27" s="29">
        <v>8</v>
      </c>
      <c r="E27" s="29">
        <v>-80000</v>
      </c>
      <c r="F27" s="10">
        <v>45220</v>
      </c>
      <c r="G27" s="8" t="s">
        <v>274</v>
      </c>
    </row>
    <row r="28" spans="1:7" x14ac:dyDescent="0.3">
      <c r="A28" s="25">
        <v>411</v>
      </c>
      <c r="B28" s="26" t="s">
        <v>114</v>
      </c>
      <c r="C28" s="26" t="s">
        <v>115</v>
      </c>
      <c r="D28" s="27">
        <v>3</v>
      </c>
      <c r="E28" s="27">
        <v>-327000</v>
      </c>
      <c r="F28" s="28">
        <v>45220</v>
      </c>
      <c r="G28" s="26" t="s">
        <v>370</v>
      </c>
    </row>
    <row r="29" spans="1:7" x14ac:dyDescent="0.3">
      <c r="A29" s="7">
        <v>425</v>
      </c>
      <c r="B29" s="8" t="s">
        <v>729</v>
      </c>
      <c r="C29" s="8" t="s">
        <v>730</v>
      </c>
      <c r="D29" s="29">
        <v>1</v>
      </c>
      <c r="E29" s="29">
        <v>-282000</v>
      </c>
      <c r="F29" s="10">
        <v>45225</v>
      </c>
      <c r="G29" s="8" t="s">
        <v>159</v>
      </c>
    </row>
    <row r="30" spans="1:7" x14ac:dyDescent="0.3">
      <c r="A30" s="25">
        <v>458</v>
      </c>
      <c r="B30" s="26" t="s">
        <v>200</v>
      </c>
      <c r="C30" s="26" t="s">
        <v>201</v>
      </c>
      <c r="D30" s="27">
        <v>2</v>
      </c>
      <c r="E30" s="27">
        <v>-63000</v>
      </c>
      <c r="F30" s="28">
        <v>45227</v>
      </c>
      <c r="G30" s="26" t="s">
        <v>468</v>
      </c>
    </row>
    <row r="31" spans="1:7" x14ac:dyDescent="0.3">
      <c r="A31" s="7">
        <v>461</v>
      </c>
      <c r="B31" s="8" t="s">
        <v>200</v>
      </c>
      <c r="C31" s="8" t="s">
        <v>201</v>
      </c>
      <c r="D31" s="29">
        <v>2</v>
      </c>
      <c r="E31" s="29">
        <v>-63000</v>
      </c>
      <c r="F31" s="10">
        <v>45227</v>
      </c>
      <c r="G31" s="8" t="s">
        <v>470</v>
      </c>
    </row>
    <row r="32" spans="1:7" x14ac:dyDescent="0.3">
      <c r="A32" s="25">
        <v>463</v>
      </c>
      <c r="B32" s="26" t="s">
        <v>205</v>
      </c>
      <c r="C32" s="26" t="s">
        <v>206</v>
      </c>
      <c r="D32" s="27">
        <v>3</v>
      </c>
      <c r="E32" s="27">
        <v>-327000</v>
      </c>
      <c r="F32" s="28">
        <v>45227</v>
      </c>
      <c r="G32" s="26" t="s">
        <v>123</v>
      </c>
    </row>
    <row r="33" spans="1:7" x14ac:dyDescent="0.3">
      <c r="A33" s="7">
        <v>465</v>
      </c>
      <c r="B33" s="8" t="s">
        <v>121</v>
      </c>
      <c r="C33" s="8" t="s">
        <v>122</v>
      </c>
      <c r="D33" s="29">
        <v>3</v>
      </c>
      <c r="E33" s="29">
        <v>-327000</v>
      </c>
      <c r="F33" s="10">
        <v>45227</v>
      </c>
      <c r="G33" s="8" t="s">
        <v>123</v>
      </c>
    </row>
    <row r="34" spans="1:7" x14ac:dyDescent="0.3">
      <c r="A34" s="25">
        <v>473</v>
      </c>
      <c r="B34" s="26" t="s">
        <v>114</v>
      </c>
      <c r="C34" s="26" t="s">
        <v>115</v>
      </c>
      <c r="D34" s="27">
        <v>6</v>
      </c>
      <c r="E34" s="27">
        <v>-654000</v>
      </c>
      <c r="F34" s="28">
        <v>45227</v>
      </c>
      <c r="G34" s="26" t="s">
        <v>477</v>
      </c>
    </row>
    <row r="35" spans="1:7" x14ac:dyDescent="0.3">
      <c r="A35" s="7">
        <v>474</v>
      </c>
      <c r="B35" s="8" t="s">
        <v>733</v>
      </c>
      <c r="C35" s="8" t="s">
        <v>734</v>
      </c>
      <c r="D35" s="29">
        <v>6</v>
      </c>
      <c r="E35" s="29">
        <v>-654000</v>
      </c>
      <c r="F35" s="10">
        <v>45227</v>
      </c>
      <c r="G35" s="8" t="s">
        <v>477</v>
      </c>
    </row>
    <row r="36" spans="1:7" x14ac:dyDescent="0.3">
      <c r="A36" s="25">
        <v>496</v>
      </c>
      <c r="B36" s="26" t="s">
        <v>121</v>
      </c>
      <c r="C36" s="26" t="s">
        <v>122</v>
      </c>
      <c r="D36" s="27">
        <v>6</v>
      </c>
      <c r="E36" s="27">
        <v>-654000</v>
      </c>
      <c r="F36" s="28">
        <v>45227</v>
      </c>
      <c r="G36" s="26" t="s">
        <v>480</v>
      </c>
    </row>
    <row r="37" spans="1:7" x14ac:dyDescent="0.3">
      <c r="A37" s="7">
        <v>498</v>
      </c>
      <c r="B37" s="8" t="s">
        <v>200</v>
      </c>
      <c r="C37" s="8" t="s">
        <v>201</v>
      </c>
      <c r="D37" s="29">
        <v>2</v>
      </c>
      <c r="E37" s="29">
        <v>-63000</v>
      </c>
      <c r="F37" s="10">
        <v>45227</v>
      </c>
      <c r="G37" s="8" t="s">
        <v>481</v>
      </c>
    </row>
    <row r="38" spans="1:7" x14ac:dyDescent="0.3">
      <c r="A38" s="25">
        <v>552</v>
      </c>
      <c r="B38" s="26" t="s">
        <v>729</v>
      </c>
      <c r="C38" s="26" t="s">
        <v>730</v>
      </c>
      <c r="D38" s="27">
        <v>1</v>
      </c>
      <c r="E38" s="27">
        <v>-282000</v>
      </c>
      <c r="F38" s="28">
        <v>45234</v>
      </c>
      <c r="G38" s="26" t="s">
        <v>61</v>
      </c>
    </row>
    <row r="39" spans="1:7" x14ac:dyDescent="0.3">
      <c r="A39" s="7">
        <v>555</v>
      </c>
      <c r="B39" s="8" t="s">
        <v>114</v>
      </c>
      <c r="C39" s="8" t="s">
        <v>115</v>
      </c>
      <c r="D39" s="29">
        <v>6</v>
      </c>
      <c r="E39" s="29">
        <v>-654000</v>
      </c>
      <c r="F39" s="10">
        <v>45234</v>
      </c>
      <c r="G39" s="8" t="s">
        <v>523</v>
      </c>
    </row>
    <row r="40" spans="1:7" x14ac:dyDescent="0.3">
      <c r="A40" s="25">
        <v>557</v>
      </c>
      <c r="B40" s="26" t="s">
        <v>114</v>
      </c>
      <c r="C40" s="26" t="s">
        <v>115</v>
      </c>
      <c r="D40" s="27">
        <v>3</v>
      </c>
      <c r="E40" s="27">
        <v>-327000</v>
      </c>
      <c r="F40" s="28">
        <v>45234</v>
      </c>
      <c r="G40" s="26" t="s">
        <v>524</v>
      </c>
    </row>
    <row r="41" spans="1:7" x14ac:dyDescent="0.3">
      <c r="A41" s="7">
        <v>609</v>
      </c>
      <c r="B41" s="8" t="s">
        <v>121</v>
      </c>
      <c r="C41" s="8" t="s">
        <v>122</v>
      </c>
      <c r="D41" s="29">
        <v>6</v>
      </c>
      <c r="E41" s="29">
        <v>-654000</v>
      </c>
      <c r="F41" s="10">
        <v>45241</v>
      </c>
      <c r="G41" s="8" t="s">
        <v>552</v>
      </c>
    </row>
    <row r="42" spans="1:7" x14ac:dyDescent="0.3">
      <c r="A42" s="25">
        <v>620</v>
      </c>
      <c r="B42" s="26" t="s">
        <v>205</v>
      </c>
      <c r="C42" s="26" t="s">
        <v>206</v>
      </c>
      <c r="D42" s="27">
        <v>6</v>
      </c>
      <c r="E42" s="27">
        <v>-654000</v>
      </c>
      <c r="F42" s="28">
        <v>45243</v>
      </c>
      <c r="G42" s="26" t="s">
        <v>85</v>
      </c>
    </row>
    <row r="43" spans="1:7" x14ac:dyDescent="0.3">
      <c r="A43" s="7">
        <v>621</v>
      </c>
      <c r="B43" s="8" t="s">
        <v>119</v>
      </c>
      <c r="C43" s="8" t="s">
        <v>120</v>
      </c>
      <c r="D43" s="29">
        <v>3</v>
      </c>
      <c r="E43" s="29">
        <v>-327000</v>
      </c>
      <c r="F43" s="10">
        <v>45243</v>
      </c>
      <c r="G43" s="8" t="s">
        <v>85</v>
      </c>
    </row>
    <row r="44" spans="1:7" x14ac:dyDescent="0.3">
      <c r="A44" s="25">
        <v>632</v>
      </c>
      <c r="B44" s="26" t="s">
        <v>205</v>
      </c>
      <c r="C44" s="26" t="s">
        <v>206</v>
      </c>
      <c r="D44" s="27">
        <v>3</v>
      </c>
      <c r="E44" s="27">
        <v>-327000</v>
      </c>
      <c r="F44" s="28">
        <v>45243</v>
      </c>
      <c r="G44" s="26" t="s">
        <v>560</v>
      </c>
    </row>
    <row r="45" spans="1:7" x14ac:dyDescent="0.3">
      <c r="A45" s="7">
        <v>640</v>
      </c>
      <c r="B45" s="8" t="s">
        <v>119</v>
      </c>
      <c r="C45" s="8" t="s">
        <v>120</v>
      </c>
      <c r="D45" s="29">
        <v>18</v>
      </c>
      <c r="E45" s="29">
        <v>-1962000</v>
      </c>
      <c r="F45" s="10">
        <v>45243</v>
      </c>
      <c r="G45" s="8" t="s">
        <v>562</v>
      </c>
    </row>
    <row r="46" spans="1:7" x14ac:dyDescent="0.3">
      <c r="A46" s="25">
        <v>652</v>
      </c>
      <c r="B46" s="26" t="s">
        <v>187</v>
      </c>
      <c r="C46" s="26" t="s">
        <v>188</v>
      </c>
      <c r="D46" s="27">
        <v>3</v>
      </c>
      <c r="E46" s="27">
        <v>-3000</v>
      </c>
      <c r="F46" s="28">
        <v>45243</v>
      </c>
      <c r="G46" s="26" t="s">
        <v>207</v>
      </c>
    </row>
    <row r="47" spans="1:7" x14ac:dyDescent="0.3">
      <c r="A47" s="7">
        <v>655</v>
      </c>
      <c r="B47" s="8" t="s">
        <v>729</v>
      </c>
      <c r="C47" s="8" t="s">
        <v>730</v>
      </c>
      <c r="D47" s="29">
        <v>1</v>
      </c>
      <c r="E47" s="29">
        <v>-281000</v>
      </c>
      <c r="F47" s="10">
        <v>45243</v>
      </c>
      <c r="G47" s="8" t="s">
        <v>477</v>
      </c>
    </row>
    <row r="48" spans="1:7" x14ac:dyDescent="0.3">
      <c r="A48" s="25">
        <v>694</v>
      </c>
      <c r="B48" s="26" t="s">
        <v>729</v>
      </c>
      <c r="C48" s="26" t="s">
        <v>730</v>
      </c>
      <c r="D48" s="27">
        <v>1</v>
      </c>
      <c r="E48" s="27">
        <v>-281000</v>
      </c>
      <c r="F48" s="28">
        <v>45248</v>
      </c>
      <c r="G48" s="26" t="s">
        <v>559</v>
      </c>
    </row>
    <row r="49" spans="1:7" x14ac:dyDescent="0.3">
      <c r="A49" s="7">
        <v>711</v>
      </c>
      <c r="B49" s="8" t="s">
        <v>200</v>
      </c>
      <c r="C49" s="8" t="s">
        <v>201</v>
      </c>
      <c r="D49" s="29">
        <v>1</v>
      </c>
      <c r="E49" s="29">
        <v>-31000</v>
      </c>
      <c r="F49" s="10">
        <v>45248</v>
      </c>
      <c r="G49" s="8" t="s">
        <v>235</v>
      </c>
    </row>
    <row r="50" spans="1:7" x14ac:dyDescent="0.3">
      <c r="A50" s="25">
        <v>720</v>
      </c>
      <c r="B50" s="26" t="s">
        <v>205</v>
      </c>
      <c r="C50" s="26" t="s">
        <v>206</v>
      </c>
      <c r="D50" s="27">
        <v>12</v>
      </c>
      <c r="E50" s="27">
        <v>-1308000</v>
      </c>
      <c r="F50" s="28">
        <v>45250</v>
      </c>
      <c r="G50" s="26" t="s">
        <v>590</v>
      </c>
    </row>
    <row r="51" spans="1:7" x14ac:dyDescent="0.3">
      <c r="A51" s="7">
        <v>725</v>
      </c>
      <c r="B51" s="8" t="s">
        <v>121</v>
      </c>
      <c r="C51" s="8" t="s">
        <v>122</v>
      </c>
      <c r="D51" s="29">
        <v>6</v>
      </c>
      <c r="E51" s="29">
        <v>-654000</v>
      </c>
      <c r="F51" s="10">
        <v>45250</v>
      </c>
      <c r="G51" s="8" t="s">
        <v>591</v>
      </c>
    </row>
    <row r="52" spans="1:7" x14ac:dyDescent="0.3">
      <c r="A52" s="25">
        <v>728</v>
      </c>
      <c r="B52" s="26" t="s">
        <v>733</v>
      </c>
      <c r="C52" s="26" t="s">
        <v>734</v>
      </c>
      <c r="D52" s="27">
        <v>3</v>
      </c>
      <c r="E52" s="27">
        <v>-327000</v>
      </c>
      <c r="F52" s="28">
        <v>45250</v>
      </c>
      <c r="G52" s="26" t="s">
        <v>592</v>
      </c>
    </row>
    <row r="53" spans="1:7" x14ac:dyDescent="0.3">
      <c r="A53" s="7">
        <v>733</v>
      </c>
      <c r="B53" s="8" t="s">
        <v>121</v>
      </c>
      <c r="C53" s="8" t="s">
        <v>122</v>
      </c>
      <c r="D53" s="29">
        <v>6</v>
      </c>
      <c r="E53" s="29">
        <v>-654000</v>
      </c>
      <c r="F53" s="10">
        <v>45250</v>
      </c>
      <c r="G53" s="8" t="s">
        <v>593</v>
      </c>
    </row>
    <row r="54" spans="1:7" x14ac:dyDescent="0.3">
      <c r="A54" s="25">
        <v>756</v>
      </c>
      <c r="B54" s="26" t="s">
        <v>121</v>
      </c>
      <c r="C54" s="26" t="s">
        <v>122</v>
      </c>
      <c r="D54" s="27">
        <v>6</v>
      </c>
      <c r="E54" s="27">
        <v>-654000</v>
      </c>
      <c r="F54" s="28">
        <v>45252</v>
      </c>
      <c r="G54" s="26" t="s">
        <v>603</v>
      </c>
    </row>
    <row r="55" spans="1:7" x14ac:dyDescent="0.3">
      <c r="A55" s="7">
        <v>761</v>
      </c>
      <c r="B55" s="8" t="s">
        <v>86</v>
      </c>
      <c r="C55" s="8" t="s">
        <v>87</v>
      </c>
      <c r="D55" s="29">
        <v>12</v>
      </c>
      <c r="E55" s="29">
        <v>-318000</v>
      </c>
      <c r="F55" s="10">
        <v>45254</v>
      </c>
      <c r="G55" s="8" t="s">
        <v>341</v>
      </c>
    </row>
    <row r="56" spans="1:7" x14ac:dyDescent="0.3">
      <c r="A56" s="25">
        <v>768</v>
      </c>
      <c r="B56" s="26" t="s">
        <v>94</v>
      </c>
      <c r="C56" s="26" t="s">
        <v>95</v>
      </c>
      <c r="D56" s="27">
        <v>36</v>
      </c>
      <c r="E56" s="27">
        <v>-468000</v>
      </c>
      <c r="F56" s="28">
        <v>45255</v>
      </c>
      <c r="G56" s="26" t="s">
        <v>85</v>
      </c>
    </row>
    <row r="57" spans="1:7" x14ac:dyDescent="0.3">
      <c r="A57" s="7">
        <v>807</v>
      </c>
      <c r="B57" s="8" t="s">
        <v>733</v>
      </c>
      <c r="C57" s="8" t="s">
        <v>734</v>
      </c>
      <c r="D57" s="29">
        <v>3</v>
      </c>
      <c r="E57" s="29">
        <v>-327000</v>
      </c>
      <c r="F57" s="10">
        <v>45255</v>
      </c>
      <c r="G57" s="8" t="s">
        <v>131</v>
      </c>
    </row>
    <row r="58" spans="1:7" x14ac:dyDescent="0.3">
      <c r="A58" s="25">
        <v>829</v>
      </c>
      <c r="B58" s="26" t="s">
        <v>478</v>
      </c>
      <c r="C58" s="26" t="s">
        <v>479</v>
      </c>
      <c r="D58" s="27">
        <v>1</v>
      </c>
      <c r="E58" s="27">
        <v>-130000</v>
      </c>
      <c r="F58" s="28">
        <v>45260</v>
      </c>
      <c r="G58" s="26" t="s">
        <v>629</v>
      </c>
    </row>
    <row r="60" spans="1:7" x14ac:dyDescent="0.3">
      <c r="A60" s="115" t="s">
        <v>735</v>
      </c>
      <c r="B60" s="116"/>
      <c r="C60" s="116"/>
      <c r="D60" s="116"/>
      <c r="E60" s="116"/>
      <c r="F60" s="116"/>
      <c r="G60" s="116"/>
    </row>
  </sheetData>
  <mergeCells count="1">
    <mergeCell ref="A60:G6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workbookViewId="0">
      <selection activeCell="E22" sqref="E22"/>
    </sheetView>
  </sheetViews>
  <sheetFormatPr defaultRowHeight="14.4" x14ac:dyDescent="0.3"/>
  <cols>
    <col min="1" max="1" width="45" customWidth="1"/>
    <col min="2" max="2" width="10" customWidth="1"/>
    <col min="3" max="3" width="45" customWidth="1"/>
    <col min="4" max="4" width="8" customWidth="1"/>
    <col min="5" max="5" width="11" customWidth="1"/>
    <col min="6" max="6" width="12" customWidth="1"/>
    <col min="7" max="7" width="9" customWidth="1"/>
    <col min="8" max="9" width="11" customWidth="1"/>
    <col min="10" max="10" width="21" customWidth="1"/>
    <col min="11" max="11" width="32" customWidth="1"/>
    <col min="12" max="12" width="16" customWidth="1"/>
  </cols>
  <sheetData>
    <row r="1" spans="1:12" x14ac:dyDescent="0.3">
      <c r="A1" s="1" t="s">
        <v>0</v>
      </c>
      <c r="B1" s="1" t="s">
        <v>1</v>
      </c>
      <c r="C1" s="1" t="s">
        <v>2</v>
      </c>
      <c r="D1" s="1" t="s">
        <v>3</v>
      </c>
      <c r="E1" s="1" t="s">
        <v>4</v>
      </c>
      <c r="F1" s="1" t="s">
        <v>5</v>
      </c>
      <c r="G1" s="1" t="s">
        <v>6</v>
      </c>
      <c r="H1" s="1" t="s">
        <v>7</v>
      </c>
      <c r="I1" s="1" t="s">
        <v>8</v>
      </c>
      <c r="J1" s="1" t="s">
        <v>9</v>
      </c>
      <c r="K1" s="1" t="s">
        <v>10</v>
      </c>
      <c r="L1" s="1" t="s">
        <v>736</v>
      </c>
    </row>
    <row r="2" spans="1:12" x14ac:dyDescent="0.3">
      <c r="A2" s="30">
        <v>52</v>
      </c>
      <c r="B2" s="30" t="s">
        <v>737</v>
      </c>
      <c r="C2" s="30" t="s">
        <v>738</v>
      </c>
      <c r="D2" s="30" t="s">
        <v>47</v>
      </c>
      <c r="E2" s="31">
        <v>0</v>
      </c>
      <c r="F2" s="30">
        <v>1</v>
      </c>
      <c r="G2" s="30">
        <v>0</v>
      </c>
      <c r="H2" s="31">
        <v>0</v>
      </c>
      <c r="I2" s="31">
        <v>0</v>
      </c>
      <c r="J2" s="32">
        <v>45180</v>
      </c>
      <c r="K2" s="30" t="s">
        <v>116</v>
      </c>
      <c r="L2" s="33" t="s">
        <v>739</v>
      </c>
    </row>
    <row r="3" spans="1:12" x14ac:dyDescent="0.3">
      <c r="A3" s="30">
        <v>98</v>
      </c>
      <c r="B3" s="30" t="s">
        <v>94</v>
      </c>
      <c r="C3" s="30" t="s">
        <v>95</v>
      </c>
      <c r="D3" s="30" t="s">
        <v>22</v>
      </c>
      <c r="E3" s="31">
        <v>0</v>
      </c>
      <c r="F3" s="30">
        <v>2</v>
      </c>
      <c r="G3" s="30">
        <v>0</v>
      </c>
      <c r="H3" s="31">
        <v>0</v>
      </c>
      <c r="I3" s="31">
        <v>0</v>
      </c>
      <c r="J3" s="32">
        <v>45184</v>
      </c>
      <c r="K3" s="30" t="s">
        <v>173</v>
      </c>
      <c r="L3" s="33" t="s">
        <v>739</v>
      </c>
    </row>
    <row r="4" spans="1:12" x14ac:dyDescent="0.3">
      <c r="A4" s="30">
        <v>251</v>
      </c>
      <c r="B4" s="30" t="s">
        <v>725</v>
      </c>
      <c r="C4" s="30" t="s">
        <v>726</v>
      </c>
      <c r="D4" s="30" t="s">
        <v>72</v>
      </c>
      <c r="E4" s="31">
        <v>0</v>
      </c>
      <c r="F4" s="30">
        <v>1</v>
      </c>
      <c r="G4" s="30">
        <v>0</v>
      </c>
      <c r="H4" s="31">
        <v>0</v>
      </c>
      <c r="I4" s="31">
        <v>0</v>
      </c>
      <c r="J4" s="32">
        <v>45199</v>
      </c>
      <c r="K4" s="30" t="s">
        <v>61</v>
      </c>
      <c r="L4" s="33" t="s">
        <v>739</v>
      </c>
    </row>
    <row r="5" spans="1:12" x14ac:dyDescent="0.3">
      <c r="A5" s="30">
        <v>332</v>
      </c>
      <c r="B5" s="30" t="s">
        <v>740</v>
      </c>
      <c r="C5" s="30" t="s">
        <v>741</v>
      </c>
      <c r="D5" s="30" t="s">
        <v>25</v>
      </c>
      <c r="E5" s="31">
        <v>0</v>
      </c>
      <c r="F5" s="30">
        <v>1</v>
      </c>
      <c r="G5" s="30">
        <v>0</v>
      </c>
      <c r="H5" s="31">
        <v>0</v>
      </c>
      <c r="I5" s="31">
        <v>0</v>
      </c>
      <c r="J5" s="32">
        <v>45212</v>
      </c>
      <c r="K5" s="30" t="s">
        <v>303</v>
      </c>
      <c r="L5" s="33" t="s">
        <v>739</v>
      </c>
    </row>
    <row r="6" spans="1:12" x14ac:dyDescent="0.3">
      <c r="A6" s="30">
        <v>403</v>
      </c>
      <c r="B6" s="30" t="s">
        <v>336</v>
      </c>
      <c r="C6" s="30" t="s">
        <v>337</v>
      </c>
      <c r="D6" s="30" t="s">
        <v>47</v>
      </c>
      <c r="E6" s="31">
        <v>135900</v>
      </c>
      <c r="F6" s="30">
        <v>4</v>
      </c>
      <c r="G6" s="30">
        <v>3</v>
      </c>
      <c r="H6" s="31">
        <v>-25000</v>
      </c>
      <c r="I6" s="31">
        <v>-160900</v>
      </c>
      <c r="J6" s="32">
        <v>45220</v>
      </c>
      <c r="K6" s="30" t="s">
        <v>339</v>
      </c>
      <c r="L6" s="33" t="s">
        <v>742</v>
      </c>
    </row>
    <row r="7" spans="1:12" x14ac:dyDescent="0.3">
      <c r="A7" s="30">
        <v>590</v>
      </c>
      <c r="B7" s="30" t="s">
        <v>743</v>
      </c>
      <c r="C7" s="30" t="s">
        <v>744</v>
      </c>
      <c r="D7" s="30" t="s">
        <v>32</v>
      </c>
      <c r="E7" s="31">
        <v>0</v>
      </c>
      <c r="F7" s="30">
        <v>1</v>
      </c>
      <c r="G7" s="30">
        <v>0</v>
      </c>
      <c r="H7" s="31">
        <v>0</v>
      </c>
      <c r="I7" s="31">
        <v>0</v>
      </c>
      <c r="J7" s="32">
        <v>45239</v>
      </c>
      <c r="K7" s="30" t="s">
        <v>287</v>
      </c>
      <c r="L7" s="33" t="s">
        <v>739</v>
      </c>
    </row>
    <row r="8" spans="1:12" x14ac:dyDescent="0.3">
      <c r="A8" s="30">
        <v>635</v>
      </c>
      <c r="B8" s="30" t="s">
        <v>743</v>
      </c>
      <c r="C8" s="30" t="s">
        <v>744</v>
      </c>
      <c r="D8" s="30" t="s">
        <v>32</v>
      </c>
      <c r="E8" s="31">
        <v>0</v>
      </c>
      <c r="F8" s="30">
        <v>1</v>
      </c>
      <c r="G8" s="30">
        <v>0</v>
      </c>
      <c r="H8" s="31">
        <v>0</v>
      </c>
      <c r="I8" s="31">
        <v>0</v>
      </c>
      <c r="J8" s="32">
        <v>45243</v>
      </c>
      <c r="K8" s="30" t="s">
        <v>560</v>
      </c>
      <c r="L8" s="33" t="s">
        <v>739</v>
      </c>
    </row>
    <row r="9" spans="1:12" x14ac:dyDescent="0.3">
      <c r="A9" s="30">
        <v>775</v>
      </c>
      <c r="B9" s="30" t="s">
        <v>733</v>
      </c>
      <c r="C9" s="30" t="s">
        <v>734</v>
      </c>
      <c r="D9" s="30" t="s">
        <v>47</v>
      </c>
      <c r="E9" s="31">
        <v>0</v>
      </c>
      <c r="F9" s="30">
        <v>1</v>
      </c>
      <c r="G9" s="30">
        <v>0</v>
      </c>
      <c r="H9" s="31">
        <v>0</v>
      </c>
      <c r="I9" s="31">
        <v>0</v>
      </c>
      <c r="J9" s="32">
        <v>45255</v>
      </c>
      <c r="K9" s="30" t="s">
        <v>199</v>
      </c>
      <c r="L9" s="33" t="s">
        <v>739</v>
      </c>
    </row>
    <row r="10" spans="1:12" x14ac:dyDescent="0.3">
      <c r="A10" s="30">
        <v>797</v>
      </c>
      <c r="B10" s="30" t="s">
        <v>745</v>
      </c>
      <c r="C10" s="30" t="s">
        <v>746</v>
      </c>
      <c r="D10" s="30" t="s">
        <v>369</v>
      </c>
      <c r="E10" s="31">
        <v>0</v>
      </c>
      <c r="F10" s="30">
        <v>1</v>
      </c>
      <c r="G10" s="30">
        <v>0</v>
      </c>
      <c r="H10" s="31">
        <v>0</v>
      </c>
      <c r="I10" s="31">
        <v>0</v>
      </c>
      <c r="J10" s="32">
        <v>45255</v>
      </c>
      <c r="K10" s="30" t="s">
        <v>245</v>
      </c>
      <c r="L10" s="33" t="s">
        <v>739</v>
      </c>
    </row>
    <row r="12" spans="1:12" x14ac:dyDescent="0.3">
      <c r="A12" s="117" t="s">
        <v>747</v>
      </c>
      <c r="B12" s="116"/>
      <c r="C12" s="116"/>
      <c r="D12" s="116"/>
      <c r="E12" s="116"/>
      <c r="F12" s="116"/>
      <c r="G12" s="116"/>
      <c r="H12" s="116"/>
      <c r="I12" s="116"/>
      <c r="J12" s="116"/>
      <c r="K12" s="116"/>
      <c r="L12" s="116"/>
    </row>
  </sheetData>
  <mergeCells count="1">
    <mergeCell ref="A12:L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Dashboard</vt:lpstr>
      <vt:lpstr>Product Dashboard</vt:lpstr>
      <vt:lpstr>Strategic Insights</vt:lpstr>
      <vt:lpstr>Data Model</vt:lpstr>
      <vt:lpstr>Product Pivot</vt:lpstr>
      <vt:lpstr>Customer Pivot</vt:lpstr>
      <vt:lpstr>RFM Table</vt:lpstr>
      <vt:lpstr>Pivot Khách Hàng</vt:lpstr>
      <vt:lpstr>Segment Overview</vt:lpstr>
      <vt:lpstr>Log GD Ghi Giảm KM</vt:lpstr>
      <vt:lpstr>⚠️ Cần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dang5thuy@gmail.com</cp:lastModifiedBy>
  <dcterms:created xsi:type="dcterms:W3CDTF">2026-04-18T06:55:52Z</dcterms:created>
  <dcterms:modified xsi:type="dcterms:W3CDTF">2026-04-20T05:01:26Z</dcterms:modified>
</cp:coreProperties>
</file>